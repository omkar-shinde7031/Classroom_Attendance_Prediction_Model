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0B31BEBD-05A7-468B-9A00-E6325287294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Attendance_Data" sheetId="1" r:id="rId1"/>
    <sheet name="Data_Dictionary" sheetId="2" r:id="rId2"/>
    <sheet name="Faculty_Mapping" sheetId="3" r:id="rId3"/>
    <sheet name="Review_Needed" sheetId="4" r:id="rId4"/>
    <sheet name="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4" i="1" l="1" a="1"/>
  <c r="W4" i="1"/>
  <c r="W2" i="1" a="1"/>
  <c r="W2" i="1" s="1"/>
  <c r="W3" i="1" a="1"/>
  <c r="W3" i="1"/>
  <c r="W5" i="1" a="1"/>
  <c r="W5" i="1"/>
  <c r="W6" i="1" a="1"/>
  <c r="W6" i="1" s="1"/>
  <c r="W7" i="1" a="1"/>
  <c r="W7" i="1" s="1"/>
  <c r="W8" i="1" a="1"/>
  <c r="W8" i="1" s="1"/>
  <c r="W9" i="1" a="1"/>
  <c r="W9" i="1"/>
  <c r="W10" i="1" a="1"/>
  <c r="W10" i="1"/>
  <c r="W11" i="1" a="1"/>
  <c r="W11" i="1"/>
  <c r="W12" i="1" a="1"/>
  <c r="W12" i="1"/>
  <c r="W13" i="1" a="1"/>
  <c r="W13" i="1" s="1"/>
  <c r="W14" i="1" a="1"/>
  <c r="W14" i="1" s="1"/>
  <c r="W15" i="1" a="1"/>
  <c r="W15" i="1" s="1"/>
  <c r="W16" i="1" a="1"/>
  <c r="W16" i="1"/>
  <c r="W17" i="1" a="1"/>
  <c r="W17" i="1"/>
  <c r="W18" i="1" a="1"/>
  <c r="W18" i="1"/>
  <c r="W19" i="1" a="1"/>
  <c r="W19" i="1" s="1"/>
  <c r="W20" i="1" a="1"/>
  <c r="W20" i="1" s="1"/>
  <c r="W21" i="1" a="1"/>
  <c r="W21" i="1" s="1"/>
  <c r="W22" i="1" a="1"/>
  <c r="W22" i="1"/>
  <c r="W23" i="1" a="1"/>
  <c r="W23" i="1"/>
  <c r="W24" i="1" a="1"/>
  <c r="W24" i="1"/>
  <c r="W25" i="1" a="1"/>
  <c r="W25" i="1"/>
  <c r="W26" i="1" a="1"/>
  <c r="W26" i="1" s="1"/>
  <c r="W27" i="1" a="1"/>
  <c r="W27" i="1" s="1"/>
  <c r="W28" i="1" a="1"/>
  <c r="W28" i="1" s="1"/>
  <c r="W29" i="1" a="1"/>
  <c r="W29" i="1"/>
  <c r="W30" i="1" a="1"/>
  <c r="W30" i="1" s="1"/>
  <c r="W31" i="1" a="1"/>
  <c r="W31" i="1"/>
  <c r="W32" i="1" a="1"/>
  <c r="W32" i="1" s="1"/>
  <c r="W33" i="1" a="1"/>
  <c r="W33" i="1" s="1"/>
  <c r="W34" i="1" a="1"/>
  <c r="W34" i="1" s="1"/>
  <c r="W35" i="1" a="1"/>
  <c r="W35" i="1"/>
  <c r="W36" i="1" a="1"/>
  <c r="W36" i="1"/>
  <c r="W38" i="1" a="1"/>
  <c r="W38" i="1" s="1"/>
  <c r="W39" i="1" a="1"/>
  <c r="W39" i="1" s="1"/>
  <c r="W40" i="1" a="1"/>
  <c r="W40" i="1" s="1"/>
  <c r="W41" i="1" a="1"/>
  <c r="W41" i="1" s="1"/>
  <c r="W42" i="1" a="1"/>
  <c r="W42" i="1"/>
  <c r="W43" i="1" a="1"/>
  <c r="W43" i="1"/>
  <c r="W45" i="1" a="1"/>
  <c r="W45" i="1"/>
  <c r="W46" i="1" a="1"/>
  <c r="W46" i="1" s="1"/>
  <c r="W47" i="1" a="1"/>
  <c r="W47" i="1" s="1"/>
  <c r="W48" i="1" a="1"/>
  <c r="W48" i="1"/>
  <c r="W49" i="1" a="1"/>
  <c r="W49" i="1"/>
  <c r="W50" i="1" a="1"/>
  <c r="W50" i="1" s="1"/>
  <c r="W51" i="1" a="1"/>
  <c r="W51" i="1"/>
  <c r="W52" i="1" a="1"/>
  <c r="W52" i="1" s="1"/>
  <c r="W53" i="1" a="1"/>
  <c r="W53" i="1" s="1"/>
  <c r="W54" i="1" a="1"/>
  <c r="W54" i="1" s="1"/>
  <c r="W55" i="1" a="1"/>
  <c r="W55" i="1"/>
  <c r="W56" i="1" a="1"/>
  <c r="W56" i="1" s="1"/>
  <c r="W57" i="1" a="1"/>
  <c r="W57" i="1"/>
  <c r="W58" i="1" a="1"/>
  <c r="W58" i="1"/>
  <c r="W59" i="1" a="1"/>
  <c r="W59" i="1" s="1"/>
  <c r="W60" i="1" a="1"/>
  <c r="W60" i="1" s="1"/>
  <c r="W61" i="1" a="1"/>
  <c r="W61" i="1"/>
  <c r="W62" i="1" a="1"/>
  <c r="W62" i="1" s="1"/>
  <c r="W63" i="1" a="1"/>
  <c r="W63" i="1"/>
  <c r="W64" i="1" a="1"/>
  <c r="W64" i="1"/>
  <c r="W65" i="1" a="1"/>
  <c r="W65" i="1" s="1"/>
  <c r="W66" i="1" a="1"/>
  <c r="W66" i="1" s="1"/>
  <c r="W68" i="1" a="1"/>
  <c r="W68" i="1" s="1"/>
  <c r="W69" i="1" a="1"/>
  <c r="W69" i="1"/>
  <c r="W70" i="1" a="1"/>
  <c r="W70" i="1"/>
  <c r="W71" i="1" a="1"/>
  <c r="W71" i="1"/>
  <c r="W72" i="1" a="1"/>
  <c r="W72" i="1" s="1"/>
  <c r="W73" i="1" a="1"/>
  <c r="W73" i="1" s="1"/>
  <c r="W75" i="1" a="1"/>
  <c r="W75" i="1"/>
  <c r="W76" i="1" a="1"/>
  <c r="W76" i="1"/>
  <c r="W77" i="1" a="1"/>
  <c r="W77" i="1"/>
  <c r="W78" i="1" a="1"/>
  <c r="W78" i="1" s="1"/>
  <c r="W79" i="1" a="1"/>
  <c r="W79" i="1" s="1"/>
  <c r="W80" i="1" a="1"/>
  <c r="W80" i="1" s="1"/>
  <c r="W83" i="1" a="1"/>
  <c r="W83" i="1"/>
  <c r="W84" i="1" a="1"/>
  <c r="W84" i="1"/>
  <c r="W85" i="1" a="1"/>
  <c r="W85" i="1" s="1"/>
  <c r="W86" i="1" a="1"/>
  <c r="W86" i="1" s="1"/>
  <c r="W87" i="1" a="1"/>
  <c r="W87" i="1" s="1"/>
  <c r="W88" i="1" a="1"/>
  <c r="W88" i="1"/>
  <c r="W89" i="1" a="1"/>
  <c r="W89" i="1"/>
  <c r="W90" i="1" a="1"/>
  <c r="W90" i="1"/>
  <c r="W91" i="1" a="1"/>
  <c r="W91" i="1" s="1"/>
  <c r="W92" i="1" a="1"/>
  <c r="W92" i="1" s="1"/>
  <c r="W93" i="1" a="1"/>
  <c r="W93" i="1" s="1"/>
  <c r="W94" i="1" a="1"/>
  <c r="W94" i="1"/>
  <c r="W95" i="1" a="1"/>
  <c r="W95" i="1"/>
  <c r="W96" i="1" a="1"/>
  <c r="W96" i="1"/>
  <c r="W97" i="1" a="1"/>
  <c r="W97" i="1"/>
  <c r="W98" i="1" a="1"/>
  <c r="W98" i="1" s="1"/>
  <c r="W99" i="1" a="1"/>
  <c r="W99" i="1" s="1"/>
  <c r="W100" i="1" a="1"/>
  <c r="W100" i="1" s="1"/>
  <c r="W101" i="1" a="1"/>
  <c r="W101" i="1"/>
  <c r="W102" i="1" a="1"/>
  <c r="W102" i="1"/>
  <c r="W104" i="1" a="1"/>
  <c r="W104" i="1" s="1"/>
  <c r="W105" i="1" a="1"/>
  <c r="W105" i="1" s="1"/>
  <c r="W106" i="1" a="1"/>
  <c r="W106" i="1" s="1"/>
  <c r="W107" i="1" a="1"/>
  <c r="W107" i="1"/>
  <c r="W108" i="1" a="1"/>
  <c r="W108" i="1"/>
  <c r="W109" i="1" a="1"/>
  <c r="W109" i="1"/>
  <c r="W111" i="1" a="1"/>
  <c r="W111" i="1" s="1"/>
  <c r="W112" i="1" a="1"/>
  <c r="W112" i="1" s="1"/>
  <c r="W113" i="1" a="1"/>
  <c r="W113" i="1" s="1"/>
  <c r="W114" i="1" a="1"/>
  <c r="W114" i="1"/>
  <c r="W115" i="1" a="1"/>
  <c r="W115" i="1"/>
  <c r="W116" i="1" a="1"/>
  <c r="W116" i="1" s="1"/>
  <c r="W119" i="1" a="1"/>
  <c r="W119" i="1" s="1"/>
  <c r="W120" i="1" a="1"/>
  <c r="W120" i="1"/>
  <c r="W121" i="1" a="1"/>
  <c r="W121" i="1"/>
  <c r="W122" i="1" a="1"/>
  <c r="W122" i="1" s="1"/>
  <c r="W123" i="1" a="1"/>
  <c r="W123" i="1"/>
  <c r="W124" i="1" a="1"/>
  <c r="W124" i="1" s="1"/>
  <c r="W125" i="1" a="1"/>
  <c r="W125" i="1" s="1"/>
  <c r="W126" i="1" a="1"/>
  <c r="W126" i="1" s="1"/>
  <c r="W127" i="1" a="1"/>
  <c r="W127" i="1"/>
  <c r="W128" i="1" a="1"/>
  <c r="W128" i="1" s="1"/>
  <c r="W129" i="1" a="1"/>
  <c r="W129" i="1"/>
  <c r="W130" i="1" a="1"/>
  <c r="W130" i="1"/>
  <c r="W131" i="1" a="1"/>
  <c r="W131" i="1" s="1"/>
  <c r="W132" i="1" a="1"/>
  <c r="W132" i="1" s="1"/>
  <c r="W133" i="1" a="1"/>
  <c r="W133" i="1"/>
  <c r="W134" i="1" a="1"/>
  <c r="W134" i="1" s="1"/>
  <c r="W135" i="1" a="1"/>
  <c r="W135" i="1"/>
  <c r="W136" i="1" a="1"/>
  <c r="W136" i="1"/>
  <c r="W137" i="1" a="1"/>
  <c r="W137" i="1" s="1"/>
  <c r="W139" i="1" a="1"/>
  <c r="W139" i="1" s="1"/>
  <c r="W140" i="1" a="1"/>
  <c r="W140" i="1" s="1"/>
  <c r="W141" i="1" a="1"/>
  <c r="W141" i="1"/>
  <c r="W142" i="1" a="1"/>
  <c r="W142" i="1"/>
  <c r="W143" i="1" a="1"/>
  <c r="W143" i="1"/>
  <c r="W144" i="1" a="1"/>
  <c r="W144" i="1" s="1"/>
  <c r="W145" i="1" a="1"/>
  <c r="W145" i="1" s="1"/>
  <c r="W146" i="1" a="1"/>
  <c r="W146" i="1" s="1"/>
  <c r="W147" i="1" a="1"/>
  <c r="W147" i="1"/>
  <c r="W148" i="1" a="1"/>
  <c r="W148" i="1"/>
  <c r="W151" i="1" a="1"/>
  <c r="W151" i="1" s="1"/>
  <c r="W152" i="1" a="1"/>
  <c r="W152" i="1" s="1"/>
  <c r="W153" i="1" a="1"/>
  <c r="W153" i="1"/>
  <c r="W154" i="1" a="1"/>
  <c r="W154" i="1"/>
  <c r="W155" i="1" a="1"/>
  <c r="W155" i="1"/>
  <c r="W156" i="1" a="1"/>
  <c r="W156" i="1"/>
  <c r="W157" i="1" a="1"/>
  <c r="W157" i="1" s="1"/>
  <c r="W158" i="1" a="1"/>
  <c r="W158" i="1" s="1"/>
  <c r="W159" i="1" a="1"/>
  <c r="W159" i="1" s="1"/>
  <c r="W160" i="1" a="1"/>
  <c r="W160" i="1"/>
  <c r="W161" i="1" a="1"/>
  <c r="W161" i="1"/>
  <c r="W163" i="1" a="1"/>
  <c r="W163" i="1" s="1"/>
  <c r="W164" i="1" a="1"/>
  <c r="W164" i="1" s="1"/>
  <c r="W165" i="1" a="1"/>
  <c r="W165" i="1" s="1"/>
  <c r="W166" i="1" a="1"/>
  <c r="W166" i="1"/>
  <c r="W167" i="1" a="1"/>
  <c r="W167" i="1"/>
  <c r="W168" i="1" a="1"/>
  <c r="W168" i="1"/>
  <c r="W170" i="1" a="1"/>
  <c r="W170" i="1" s="1"/>
  <c r="W171" i="1" a="1"/>
  <c r="W171" i="1" s="1"/>
  <c r="W172" i="1" a="1"/>
  <c r="W172" i="1" s="1"/>
  <c r="W175" i="1" a="1"/>
  <c r="W175" i="1"/>
  <c r="W176" i="1" a="1"/>
  <c r="W176" i="1" s="1"/>
  <c r="W177" i="1" a="1"/>
  <c r="W177" i="1" s="1"/>
  <c r="W178" i="1" a="1"/>
  <c r="W178" i="1" s="1"/>
  <c r="W179" i="1" a="1"/>
  <c r="W179" i="1"/>
  <c r="W180" i="1" a="1"/>
  <c r="W180" i="1"/>
  <c r="W181" i="1" a="1"/>
  <c r="W181" i="1"/>
  <c r="W182" i="1" a="1"/>
  <c r="W182" i="1" s="1"/>
  <c r="W183" i="1" a="1"/>
  <c r="W183" i="1" s="1"/>
  <c r="W184" i="1" a="1"/>
  <c r="W184" i="1" s="1"/>
  <c r="W185" i="1" a="1"/>
  <c r="W185" i="1" s="1"/>
  <c r="W186" i="1" a="1"/>
  <c r="W186" i="1"/>
  <c r="W187" i="1" a="1"/>
  <c r="W187" i="1"/>
  <c r="W188" i="1" a="1"/>
  <c r="W188" i="1" s="1"/>
  <c r="W189" i="1" a="1"/>
  <c r="W189" i="1"/>
  <c r="W190" i="1" a="1"/>
  <c r="W190" i="1" s="1"/>
  <c r="W191" i="1" a="1"/>
  <c r="W191" i="1" s="1"/>
  <c r="W192" i="1" a="1"/>
  <c r="W192" i="1"/>
  <c r="W193" i="1" a="1"/>
  <c r="W193" i="1"/>
  <c r="W194" i="1" a="1"/>
  <c r="W194" i="1" s="1"/>
  <c r="W195" i="1" a="1"/>
  <c r="W195" i="1"/>
  <c r="W196" i="1" a="1"/>
  <c r="W196" i="1" s="1"/>
  <c r="W197" i="1" a="1"/>
  <c r="W197" i="1" s="1"/>
  <c r="W198" i="1" a="1"/>
  <c r="W198" i="1" s="1"/>
  <c r="W199" i="1" a="1"/>
  <c r="W199" i="1"/>
  <c r="W200" i="1" a="1"/>
  <c r="W200" i="1" s="1"/>
  <c r="W201" i="1" a="1"/>
  <c r="W201" i="1"/>
  <c r="W202" i="1" a="1"/>
  <c r="W202" i="1"/>
  <c r="W203" i="1" a="1"/>
  <c r="W203" i="1" s="1"/>
  <c r="W204" i="1" a="1"/>
  <c r="W204" i="1" s="1"/>
  <c r="W205" i="1" a="1"/>
  <c r="W205" i="1"/>
  <c r="W206" i="1" a="1"/>
  <c r="W206" i="1" s="1"/>
  <c r="W208" i="1" a="1"/>
  <c r="W208" i="1"/>
  <c r="W209" i="1" a="1"/>
  <c r="W209" i="1" s="1"/>
  <c r="W210" i="1" a="1"/>
  <c r="W210" i="1" s="1"/>
  <c r="W211" i="1" a="1"/>
  <c r="W211" i="1" s="1"/>
  <c r="W212" i="1" a="1"/>
  <c r="W212" i="1" s="1"/>
  <c r="W213" i="1" a="1"/>
  <c r="W213" i="1"/>
  <c r="W214" i="1" a="1"/>
  <c r="W214" i="1"/>
  <c r="W215" i="1" a="1"/>
  <c r="W215" i="1"/>
  <c r="W216" i="1" a="1"/>
  <c r="W216" i="1" s="1"/>
  <c r="W217" i="1" a="1"/>
  <c r="W217" i="1" s="1"/>
  <c r="W218" i="1" a="1"/>
  <c r="W218" i="1" s="1"/>
  <c r="W219" i="1" a="1"/>
  <c r="W219" i="1"/>
  <c r="W220" i="1" a="1"/>
  <c r="W220" i="1"/>
  <c r="W221" i="1" a="1"/>
  <c r="W221" i="1"/>
  <c r="W222" i="1" a="1"/>
  <c r="W222" i="1" s="1"/>
  <c r="W223" i="1" a="1"/>
  <c r="W223" i="1" s="1"/>
  <c r="W224" i="1" a="1"/>
  <c r="W224" i="1" s="1"/>
  <c r="W225" i="1" a="1"/>
  <c r="W225" i="1"/>
  <c r="W226" i="1" a="1"/>
  <c r="W226" i="1"/>
  <c r="W227" i="1" a="1"/>
  <c r="W227" i="1"/>
  <c r="W228" i="1" a="1"/>
  <c r="W228" i="1"/>
  <c r="W229" i="1" a="1"/>
  <c r="W229" i="1" s="1"/>
  <c r="W230" i="1" a="1"/>
  <c r="W230" i="1" s="1"/>
  <c r="W231" i="1" a="1"/>
  <c r="W231" i="1" s="1"/>
  <c r="W232" i="1" a="1"/>
  <c r="W232" i="1"/>
  <c r="W233" i="1" a="1"/>
  <c r="W233" i="1"/>
  <c r="W234" i="1" a="1"/>
  <c r="W234" i="1"/>
  <c r="W235" i="1" a="1"/>
  <c r="W235" i="1" s="1"/>
  <c r="W236" i="1" a="1"/>
  <c r="W236" i="1" s="1"/>
  <c r="W237" i="1" a="1"/>
  <c r="W237" i="1" s="1"/>
  <c r="W238" i="1" a="1"/>
  <c r="W238" i="1"/>
  <c r="W239" i="1" a="1"/>
  <c r="W239" i="1"/>
  <c r="W240" i="1" a="1"/>
  <c r="W240" i="1"/>
  <c r="W241" i="1" a="1"/>
  <c r="W241" i="1"/>
  <c r="W242" i="1" a="1"/>
  <c r="W242" i="1" s="1"/>
  <c r="W243" i="1" a="1"/>
  <c r="W243" i="1" s="1"/>
  <c r="W244" i="1" a="1"/>
  <c r="W244" i="1" s="1"/>
  <c r="W245" i="1" a="1"/>
  <c r="W245" i="1"/>
  <c r="W246" i="1" a="1"/>
  <c r="W246" i="1"/>
  <c r="W247" i="1" a="1"/>
  <c r="W247" i="1"/>
  <c r="W248" i="1" a="1"/>
  <c r="W248" i="1" s="1"/>
  <c r="W249" i="1" a="1"/>
  <c r="W249" i="1" s="1"/>
  <c r="W250" i="1" a="1"/>
  <c r="W250" i="1" s="1"/>
  <c r="W251" i="1" a="1"/>
  <c r="W251" i="1"/>
  <c r="W252" i="1" a="1"/>
  <c r="W252" i="1"/>
  <c r="W253" i="1" a="1"/>
  <c r="W253" i="1"/>
  <c r="W254" i="1" a="1"/>
  <c r="W254" i="1" s="1"/>
  <c r="W255" i="1" a="1"/>
  <c r="W255" i="1" s="1"/>
  <c r="W256" i="1" a="1"/>
  <c r="W256" i="1" s="1"/>
  <c r="W257" i="1" a="1"/>
  <c r="W257" i="1" s="1"/>
  <c r="W258" i="1" a="1"/>
  <c r="W258" i="1"/>
  <c r="W259" i="1" a="1"/>
  <c r="W259" i="1"/>
  <c r="W260" i="1" a="1"/>
  <c r="W260" i="1" s="1"/>
  <c r="W261" i="1" a="1"/>
  <c r="W261" i="1"/>
  <c r="W262" i="1" a="1"/>
  <c r="W262" i="1" s="1"/>
  <c r="W263" i="1" a="1"/>
  <c r="W263" i="1" s="1"/>
  <c r="W264" i="1" a="1"/>
  <c r="W264" i="1"/>
  <c r="W265" i="1" a="1"/>
  <c r="W265" i="1"/>
  <c r="W266" i="1" a="1"/>
  <c r="W266" i="1" s="1"/>
  <c r="W267" i="1" a="1"/>
  <c r="W267" i="1"/>
  <c r="W268" i="1" a="1"/>
  <c r="W268" i="1" s="1"/>
  <c r="W269" i="1" a="1"/>
  <c r="W269" i="1" s="1"/>
  <c r="W270" i="1" a="1"/>
  <c r="W270" i="1" s="1"/>
  <c r="W271" i="1" a="1"/>
  <c r="W271" i="1"/>
  <c r="W272" i="1" a="1"/>
  <c r="W272" i="1" s="1"/>
  <c r="W273" i="1" a="1"/>
  <c r="W273" i="1"/>
  <c r="W274" i="1" a="1"/>
  <c r="W274" i="1"/>
  <c r="W275" i="1" a="1"/>
  <c r="W275" i="1" s="1"/>
  <c r="W276" i="1" a="1"/>
  <c r="W276" i="1" s="1"/>
  <c r="W277" i="1" a="1"/>
  <c r="W277" i="1"/>
  <c r="W278" i="1" a="1"/>
  <c r="W278" i="1" s="1"/>
  <c r="W279" i="1" a="1"/>
  <c r="W279" i="1"/>
  <c r="W280" i="1" a="1"/>
  <c r="W280" i="1"/>
  <c r="W281" i="1" a="1"/>
  <c r="W281" i="1" s="1"/>
  <c r="W282" i="1" a="1"/>
  <c r="W282" i="1" s="1"/>
  <c r="W283" i="1" a="1"/>
  <c r="W283" i="1" s="1"/>
  <c r="W284" i="1" a="1"/>
  <c r="W284" i="1" s="1"/>
  <c r="W285" i="1" a="1"/>
  <c r="W285" i="1"/>
  <c r="W286" i="1" a="1"/>
  <c r="W286" i="1"/>
  <c r="W287" i="1" a="1"/>
  <c r="W287" i="1"/>
  <c r="W288" i="1" a="1"/>
  <c r="W288" i="1" s="1"/>
  <c r="W289" i="1" a="1"/>
  <c r="W289" i="1" s="1"/>
  <c r="W290" i="1" a="1"/>
  <c r="W290" i="1" s="1"/>
  <c r="W291" i="1" a="1"/>
  <c r="W291" i="1"/>
  <c r="W292" i="1" a="1"/>
  <c r="W292" i="1" s="1"/>
  <c r="W293" i="1" a="1"/>
  <c r="W293" i="1"/>
  <c r="W294" i="1" a="1"/>
  <c r="W294" i="1" s="1"/>
  <c r="W295" i="1" a="1"/>
  <c r="W295" i="1" s="1"/>
  <c r="W297" i="1" a="1"/>
  <c r="W297" i="1"/>
  <c r="W298" i="1" a="1"/>
  <c r="W298" i="1"/>
  <c r="W299" i="1" a="1"/>
  <c r="W299" i="1"/>
  <c r="W300" i="1" a="1"/>
  <c r="W300" i="1"/>
  <c r="W301" i="1" a="1"/>
  <c r="W301" i="1" s="1"/>
  <c r="W302" i="1" a="1"/>
  <c r="W302" i="1" s="1"/>
  <c r="W303" i="1" a="1"/>
  <c r="W303" i="1" s="1"/>
  <c r="W305" i="1" a="1"/>
  <c r="W305" i="1"/>
  <c r="W306" i="1" a="1"/>
  <c r="W306" i="1"/>
  <c r="W307" i="1" a="1"/>
  <c r="W307" i="1" s="1"/>
  <c r="W308" i="1" a="1"/>
  <c r="W308" i="1" s="1"/>
  <c r="W309" i="1" a="1"/>
  <c r="W309" i="1" s="1"/>
  <c r="W310" i="1" a="1"/>
  <c r="W310" i="1"/>
  <c r="W311" i="1" a="1"/>
  <c r="W311" i="1"/>
  <c r="W312" i="1" a="1"/>
  <c r="W312" i="1"/>
  <c r="W313" i="1" a="1"/>
  <c r="W313" i="1"/>
  <c r="W314" i="1" a="1"/>
  <c r="W314" i="1" s="1"/>
  <c r="W315" i="1" a="1"/>
  <c r="W315" i="1" s="1"/>
  <c r="W316" i="1" a="1"/>
  <c r="W316" i="1" s="1"/>
  <c r="W317" i="1" a="1"/>
  <c r="W317" i="1"/>
  <c r="W318" i="1" a="1"/>
  <c r="W318" i="1"/>
  <c r="W319" i="1" a="1"/>
  <c r="W319" i="1"/>
  <c r="W320" i="1" a="1"/>
  <c r="W320" i="1" s="1"/>
  <c r="W321" i="1" a="1"/>
  <c r="W321" i="1" s="1"/>
  <c r="W322" i="1" a="1"/>
  <c r="W322" i="1" s="1"/>
  <c r="W323" i="1" a="1"/>
  <c r="W323" i="1"/>
  <c r="W324" i="1" a="1"/>
  <c r="W324" i="1"/>
  <c r="W325" i="1" a="1"/>
  <c r="W325" i="1"/>
  <c r="W326" i="1" a="1"/>
  <c r="W326" i="1" s="1"/>
  <c r="W327" i="1" a="1"/>
  <c r="W327" i="1" s="1"/>
  <c r="W328" i="1" a="1"/>
  <c r="W328" i="1" s="1"/>
  <c r="W329" i="1" a="1"/>
  <c r="W329" i="1" s="1"/>
  <c r="W330" i="1" a="1"/>
  <c r="W330" i="1"/>
  <c r="W331" i="1" a="1"/>
  <c r="W331" i="1"/>
  <c r="W332" i="1" a="1"/>
  <c r="W332" i="1" s="1"/>
  <c r="W333" i="1" a="1"/>
  <c r="W333" i="1"/>
  <c r="W334" i="1" a="1"/>
  <c r="W334" i="1" s="1"/>
  <c r="W335" i="1" a="1"/>
  <c r="W335" i="1" s="1"/>
  <c r="W336" i="1" a="1"/>
  <c r="W336" i="1"/>
  <c r="W337" i="1" a="1"/>
  <c r="W337" i="1"/>
  <c r="W338" i="1" a="1"/>
  <c r="W338" i="1" s="1"/>
  <c r="W339" i="1" a="1"/>
  <c r="W339" i="1"/>
  <c r="W340" i="1" a="1"/>
  <c r="W340" i="1" s="1"/>
  <c r="W341" i="1" a="1"/>
  <c r="W341" i="1" s="1"/>
  <c r="W342" i="1" a="1"/>
  <c r="W342" i="1" s="1"/>
  <c r="W344" i="1" a="1"/>
  <c r="W344" i="1" s="1"/>
  <c r="W345" i="1" a="1"/>
  <c r="W345" i="1"/>
  <c r="W346" i="1" a="1"/>
  <c r="W346" i="1" s="1"/>
  <c r="W347" i="1" a="1"/>
  <c r="W347" i="1" s="1"/>
  <c r="W348" i="1" a="1"/>
  <c r="W348" i="1" s="1"/>
  <c r="W349" i="1" a="1"/>
  <c r="W349" i="1"/>
  <c r="W351" i="1" a="1"/>
  <c r="W351" i="1"/>
  <c r="W352" i="1" a="1"/>
  <c r="W352" i="1"/>
  <c r="W353" i="1" a="1"/>
  <c r="W353" i="1" s="1"/>
  <c r="W354" i="1" a="1"/>
  <c r="W354" i="1" s="1"/>
  <c r="W355" i="1" a="1"/>
  <c r="W355" i="1" s="1"/>
  <c r="W356" i="1" a="1"/>
  <c r="W356" i="1" s="1"/>
  <c r="W357" i="1" a="1"/>
  <c r="W357" i="1"/>
  <c r="W358" i="1" a="1"/>
  <c r="W358" i="1"/>
  <c r="W359" i="1" a="1"/>
  <c r="W359" i="1"/>
  <c r="W360" i="1" a="1"/>
  <c r="W360" i="1" s="1"/>
  <c r="W361" i="1" a="1"/>
  <c r="W361" i="1" s="1"/>
  <c r="W362" i="1" a="1"/>
  <c r="W362" i="1" s="1"/>
  <c r="W363" i="1" a="1"/>
  <c r="W363" i="1"/>
  <c r="W364" i="1" a="1"/>
  <c r="W364" i="1"/>
  <c r="W365" i="1" a="1"/>
  <c r="W365" i="1"/>
  <c r="W366" i="1" a="1"/>
  <c r="W366" i="1" s="1"/>
  <c r="W367" i="1" a="1"/>
  <c r="W367" i="1" s="1"/>
  <c r="W368" i="1" a="1"/>
  <c r="W368" i="1" s="1"/>
  <c r="W369" i="1" a="1"/>
  <c r="W369" i="1"/>
  <c r="W370" i="1" a="1"/>
  <c r="W370" i="1"/>
  <c r="W371" i="1" a="1"/>
  <c r="W371" i="1"/>
  <c r="W372" i="1" a="1"/>
  <c r="W372" i="1"/>
  <c r="W374" i="1" a="1"/>
  <c r="W374" i="1" s="1"/>
  <c r="W375" i="1" a="1"/>
  <c r="W375" i="1" s="1"/>
  <c r="W376" i="1" a="1"/>
  <c r="W376" i="1"/>
  <c r="W377" i="1" a="1"/>
  <c r="W377" i="1"/>
  <c r="W378" i="1" a="1"/>
  <c r="W378" i="1"/>
  <c r="W379" i="1" a="1"/>
  <c r="W379" i="1" s="1"/>
  <c r="W381" i="1" a="1"/>
  <c r="W381" i="1" s="1"/>
  <c r="W382" i="1" a="1"/>
  <c r="W382" i="1"/>
  <c r="W383" i="1" a="1"/>
  <c r="W383" i="1"/>
  <c r="W384" i="1" a="1"/>
  <c r="W384" i="1"/>
  <c r="W385" i="1" a="1"/>
  <c r="W385" i="1"/>
  <c r="W386" i="1" a="1"/>
  <c r="W386" i="1" s="1"/>
  <c r="W389" i="1" a="1"/>
  <c r="W389" i="1"/>
  <c r="W390" i="1" a="1"/>
  <c r="W390" i="1"/>
  <c r="W391" i="1" a="1"/>
  <c r="W391" i="1"/>
  <c r="W392" i="1" a="1"/>
  <c r="W392" i="1" s="1"/>
  <c r="W393" i="1" a="1"/>
  <c r="W393" i="1" s="1"/>
  <c r="W394" i="1" a="1"/>
  <c r="W394" i="1" s="1"/>
  <c r="W395" i="1" a="1"/>
  <c r="W395" i="1"/>
  <c r="W396" i="1" a="1"/>
  <c r="W396" i="1"/>
  <c r="W397" i="1" a="1"/>
  <c r="W397" i="1"/>
  <c r="W398" i="1" a="1"/>
  <c r="W398" i="1" s="1"/>
  <c r="W399" i="1" a="1"/>
  <c r="W399" i="1" s="1"/>
  <c r="W400" i="1" a="1"/>
  <c r="W400" i="1" s="1"/>
  <c r="W401" i="1" a="1"/>
  <c r="W401" i="1" s="1"/>
  <c r="W402" i="1" a="1"/>
  <c r="W402" i="1"/>
  <c r="W403" i="1" a="1"/>
  <c r="W403" i="1"/>
  <c r="W404" i="1" a="1"/>
  <c r="W404" i="1" s="1"/>
  <c r="W405" i="1" a="1"/>
  <c r="W405" i="1"/>
  <c r="W406" i="1" a="1"/>
  <c r="W406" i="1" s="1"/>
  <c r="W407" i="1" a="1"/>
  <c r="W407" i="1" s="1"/>
  <c r="W408" i="1" a="1"/>
  <c r="W408" i="1"/>
  <c r="W410" i="1" a="1"/>
  <c r="W410" i="1" s="1"/>
  <c r="W411" i="1" a="1"/>
  <c r="W411" i="1"/>
  <c r="W412" i="1" a="1"/>
  <c r="W412" i="1" s="1"/>
  <c r="W413" i="1" a="1"/>
  <c r="W413" i="1" s="1"/>
  <c r="W414" i="1" a="1"/>
  <c r="W414" i="1" s="1"/>
  <c r="W415" i="1" a="1"/>
  <c r="W415" i="1"/>
  <c r="W417" i="1" a="1"/>
  <c r="W417" i="1"/>
  <c r="W418" i="1" a="1"/>
  <c r="W418" i="1"/>
  <c r="W419" i="1" a="1"/>
  <c r="W419" i="1" s="1"/>
  <c r="W420" i="1" a="1"/>
  <c r="W420" i="1" s="1"/>
  <c r="W421" i="1" a="1"/>
  <c r="W421" i="1"/>
  <c r="W422" i="1" a="1"/>
  <c r="W422" i="1" s="1"/>
  <c r="W425" i="1" a="1"/>
  <c r="W425" i="1" s="1"/>
  <c r="W426" i="1" a="1"/>
  <c r="W426" i="1" s="1"/>
  <c r="W427" i="1" a="1"/>
  <c r="W427" i="1" s="1"/>
  <c r="W428" i="1" a="1"/>
  <c r="W428" i="1" s="1"/>
  <c r="W429" i="1" a="1"/>
  <c r="W429" i="1"/>
  <c r="W430" i="1" a="1"/>
  <c r="W430" i="1"/>
  <c r="W431" i="1" a="1"/>
  <c r="W431" i="1"/>
  <c r="W432" i="1" a="1"/>
  <c r="W432" i="1" s="1"/>
  <c r="W433" i="1" a="1"/>
  <c r="W433" i="1" s="1"/>
  <c r="W434" i="1" a="1"/>
  <c r="W434" i="1" s="1"/>
  <c r="W435" i="1" a="1"/>
  <c r="W435" i="1"/>
  <c r="W436" i="1" a="1"/>
  <c r="W436" i="1"/>
  <c r="W437" i="1" a="1"/>
  <c r="W437" i="1"/>
  <c r="W438" i="1" a="1"/>
  <c r="W438" i="1" s="1"/>
  <c r="W439" i="1" a="1"/>
  <c r="W439" i="1" s="1"/>
  <c r="W440" i="1" a="1"/>
  <c r="W440" i="1" s="1"/>
  <c r="W441" i="1" a="1"/>
  <c r="W441" i="1"/>
  <c r="W442" i="1" a="1"/>
  <c r="W442" i="1"/>
  <c r="W443" i="1" a="1"/>
  <c r="W443" i="1"/>
  <c r="W445" i="1" a="1"/>
  <c r="W445" i="1" s="1"/>
  <c r="W446" i="1" a="1"/>
  <c r="W446" i="1" s="1"/>
  <c r="W447" i="1" a="1"/>
  <c r="W447" i="1" s="1"/>
  <c r="W448" i="1" a="1"/>
  <c r="W448" i="1"/>
  <c r="W449" i="1" a="1"/>
  <c r="W449" i="1"/>
  <c r="W450" i="1" a="1"/>
  <c r="W450" i="1"/>
  <c r="W451" i="1" a="1"/>
  <c r="W451" i="1" s="1"/>
  <c r="W452" i="1" a="1"/>
  <c r="W452" i="1" s="1"/>
  <c r="W453" i="1" a="1"/>
  <c r="W453" i="1" s="1"/>
  <c r="W454" i="1" a="1"/>
  <c r="W454" i="1"/>
  <c r="W457" i="1" a="1"/>
  <c r="W457" i="1"/>
  <c r="W458" i="1" a="1"/>
  <c r="W458" i="1" s="1"/>
  <c r="W459" i="1" a="1"/>
  <c r="W459" i="1" s="1"/>
  <c r="W460" i="1" a="1"/>
  <c r="W460" i="1" s="1"/>
  <c r="W461" i="1" a="1"/>
  <c r="W461" i="1"/>
  <c r="W462" i="1" a="1"/>
  <c r="W462" i="1"/>
  <c r="W463" i="1" a="1"/>
  <c r="W463" i="1"/>
  <c r="W464" i="1" a="1"/>
  <c r="W464" i="1" s="1"/>
  <c r="W465" i="1" a="1"/>
  <c r="W465" i="1" s="1"/>
  <c r="W466" i="1" a="1"/>
  <c r="W466" i="1" s="1"/>
  <c r="W467" i="1" a="1"/>
  <c r="W467" i="1"/>
  <c r="W469" i="1" a="1"/>
  <c r="W469" i="1"/>
  <c r="W470" i="1" a="1"/>
  <c r="W470" i="1" s="1"/>
  <c r="W471" i="1" a="1"/>
  <c r="W471" i="1" s="1"/>
  <c r="W472" i="1" a="1"/>
  <c r="W472" i="1" s="1"/>
  <c r="W473" i="1" a="1"/>
  <c r="W473" i="1" s="1"/>
  <c r="W474" i="1" a="1"/>
  <c r="W474" i="1"/>
  <c r="W476" i="1" a="1"/>
  <c r="W476" i="1" s="1"/>
  <c r="W477" i="1" a="1"/>
  <c r="W477" i="1"/>
  <c r="W478" i="1" a="1"/>
  <c r="W478" i="1" s="1"/>
  <c r="W481" i="1" a="1"/>
  <c r="W481" i="1"/>
  <c r="W482" i="1" a="1"/>
  <c r="W482" i="1" s="1"/>
  <c r="W483" i="1" a="1"/>
  <c r="W483" i="1"/>
  <c r="W484" i="1" a="1"/>
  <c r="W484" i="1" s="1"/>
  <c r="W485" i="1" a="1"/>
  <c r="W485" i="1" s="1"/>
  <c r="W486" i="1" a="1"/>
  <c r="W486" i="1" s="1"/>
  <c r="W487" i="1" a="1"/>
  <c r="W487" i="1"/>
  <c r="W488" i="1" a="1"/>
  <c r="W488" i="1" s="1"/>
  <c r="W489" i="1" a="1"/>
  <c r="W489" i="1"/>
  <c r="W490" i="1" a="1"/>
  <c r="W490" i="1"/>
  <c r="W491" i="1" a="1"/>
  <c r="W491" i="1" s="1"/>
  <c r="W492" i="1" a="1"/>
  <c r="W492" i="1" s="1"/>
  <c r="W493" i="1" a="1"/>
  <c r="W493" i="1"/>
  <c r="W494" i="1" a="1"/>
  <c r="W494" i="1" s="1"/>
  <c r="W495" i="1" a="1"/>
  <c r="W495" i="1"/>
  <c r="W496" i="1" a="1"/>
  <c r="W496" i="1"/>
  <c r="W497" i="1" a="1"/>
  <c r="W497" i="1" s="1"/>
  <c r="W498" i="1" a="1"/>
  <c r="W498" i="1" s="1"/>
  <c r="W499" i="1" a="1"/>
  <c r="W499" i="1" s="1"/>
  <c r="W500" i="1" a="1"/>
  <c r="W500" i="1" s="1"/>
  <c r="W501" i="1" a="1"/>
  <c r="W501" i="1"/>
  <c r="W502" i="1" a="1"/>
  <c r="W502" i="1"/>
  <c r="W503" i="1" a="1"/>
  <c r="W503" i="1"/>
  <c r="W504" i="1" a="1"/>
  <c r="W504" i="1" s="1"/>
  <c r="W505" i="1" a="1"/>
  <c r="W505" i="1" s="1"/>
  <c r="W506" i="1" a="1"/>
  <c r="W506" i="1" s="1"/>
  <c r="W507" i="1" a="1"/>
  <c r="W507" i="1"/>
  <c r="W508" i="1" a="1"/>
  <c r="W508" i="1"/>
  <c r="W509" i="1" a="1"/>
  <c r="W509" i="1"/>
  <c r="W510" i="1" a="1"/>
  <c r="W510" i="1" s="1"/>
  <c r="W511" i="1" a="1"/>
  <c r="W511" i="1" s="1"/>
  <c r="W512" i="1" a="1"/>
  <c r="W512" i="1" s="1"/>
  <c r="W514" i="1" a="1"/>
  <c r="W514" i="1"/>
  <c r="W515" i="1" a="1"/>
  <c r="W515" i="1"/>
  <c r="W516" i="1" a="1"/>
  <c r="W516" i="1" s="1"/>
  <c r="W517" i="1" a="1"/>
  <c r="W517" i="1" s="1"/>
  <c r="W518" i="1" a="1"/>
  <c r="W518" i="1" s="1"/>
  <c r="W519" i="1" a="1"/>
  <c r="W519" i="1"/>
  <c r="W520" i="1" a="1"/>
  <c r="W520" i="1"/>
  <c r="W521" i="1" a="1"/>
  <c r="W521" i="1"/>
  <c r="W522" i="1" a="1"/>
  <c r="W522" i="1" s="1"/>
  <c r="W523" i="1" a="1"/>
  <c r="W523" i="1" s="1"/>
  <c r="W524" i="1" a="1"/>
  <c r="W524" i="1" s="1"/>
  <c r="W525" i="1" a="1"/>
  <c r="W525" i="1"/>
  <c r="W526" i="1" a="1"/>
  <c r="W526" i="1"/>
  <c r="W527" i="1" a="1"/>
  <c r="W527" i="1"/>
  <c r="W528" i="1" a="1"/>
  <c r="W528" i="1" s="1"/>
  <c r="W529" i="1" a="1"/>
  <c r="W529" i="1" s="1"/>
  <c r="W530" i="1" a="1"/>
  <c r="W530" i="1" s="1"/>
  <c r="W531" i="1" a="1"/>
  <c r="W531" i="1"/>
  <c r="W532" i="1" a="1"/>
  <c r="W532" i="1"/>
  <c r="W533" i="1" a="1"/>
  <c r="W533" i="1"/>
  <c r="W534" i="1" a="1"/>
  <c r="W534" i="1" s="1"/>
  <c r="W535" i="1" a="1"/>
  <c r="W535" i="1" s="1"/>
  <c r="W536" i="1" a="1"/>
  <c r="W536" i="1" s="1"/>
  <c r="W537" i="1" a="1"/>
  <c r="W537" i="1"/>
  <c r="W538" i="1" a="1"/>
  <c r="W538" i="1"/>
  <c r="W539" i="1" a="1"/>
  <c r="W539" i="1"/>
  <c r="W540" i="1" a="1"/>
  <c r="W540" i="1" s="1"/>
  <c r="W541" i="1" a="1"/>
  <c r="W541" i="1" s="1"/>
  <c r="W542" i="1" a="1"/>
  <c r="W542" i="1" s="1"/>
  <c r="W543" i="1" a="1"/>
  <c r="W543" i="1"/>
  <c r="W544" i="1" a="1"/>
  <c r="W544" i="1"/>
  <c r="W545" i="1" a="1"/>
  <c r="W545" i="1"/>
  <c r="W546" i="1" a="1"/>
  <c r="W546" i="1" s="1"/>
  <c r="W547" i="1" a="1"/>
  <c r="W547" i="1" s="1"/>
  <c r="W548" i="1" a="1"/>
  <c r="W548" i="1" s="1"/>
  <c r="W549" i="1" a="1"/>
  <c r="W549" i="1"/>
  <c r="W550" i="1" a="1"/>
  <c r="W550" i="1"/>
  <c r="W551" i="1" a="1"/>
  <c r="W551" i="1"/>
  <c r="W552" i="1" a="1"/>
  <c r="W552" i="1" s="1"/>
  <c r="W553" i="1" a="1"/>
  <c r="W553" i="1" s="1"/>
  <c r="W554" i="1" a="1"/>
  <c r="W554" i="1" s="1"/>
  <c r="W555" i="1" a="1"/>
  <c r="W555" i="1"/>
  <c r="W556" i="1" a="1"/>
  <c r="W556" i="1"/>
  <c r="W557" i="1" a="1"/>
  <c r="W557" i="1"/>
  <c r="W558" i="1" a="1"/>
  <c r="W558" i="1" s="1"/>
  <c r="W559" i="1" a="1"/>
  <c r="W559" i="1" s="1"/>
  <c r="W560" i="1" a="1"/>
  <c r="W560" i="1" s="1"/>
  <c r="W561" i="1" a="1"/>
  <c r="W561" i="1"/>
  <c r="W562" i="1" a="1"/>
  <c r="W562" i="1"/>
  <c r="W563" i="1" a="1"/>
  <c r="W563" i="1"/>
  <c r="W564" i="1" a="1"/>
  <c r="W564" i="1" s="1"/>
  <c r="W565" i="1" a="1"/>
  <c r="W565" i="1" s="1"/>
  <c r="W566" i="1" a="1"/>
  <c r="W566" i="1" s="1"/>
  <c r="W567" i="1" a="1"/>
  <c r="W567" i="1"/>
  <c r="W568" i="1" a="1"/>
  <c r="W568" i="1"/>
  <c r="W569" i="1" a="1"/>
  <c r="W569" i="1"/>
  <c r="W570" i="1" a="1"/>
  <c r="W570" i="1" s="1"/>
  <c r="W571" i="1" a="1"/>
  <c r="W571" i="1" s="1"/>
  <c r="W572" i="1" a="1"/>
  <c r="W572" i="1" s="1"/>
  <c r="W573" i="1" a="1"/>
  <c r="W573" i="1"/>
  <c r="W574" i="1" a="1"/>
  <c r="W574" i="1"/>
  <c r="W575" i="1" a="1"/>
  <c r="W575" i="1"/>
  <c r="W576" i="1" a="1"/>
  <c r="W576" i="1" s="1"/>
  <c r="W577" i="1" a="1"/>
  <c r="W577" i="1" s="1"/>
  <c r="W578" i="1" a="1"/>
  <c r="W578" i="1" s="1"/>
  <c r="W579" i="1" a="1"/>
  <c r="W579" i="1"/>
  <c r="W580" i="1" a="1"/>
  <c r="W580" i="1"/>
  <c r="W581" i="1" a="1"/>
  <c r="W581" i="1"/>
  <c r="W582" i="1" a="1"/>
  <c r="W582" i="1" s="1"/>
  <c r="W583" i="1" a="1"/>
  <c r="W583" i="1" s="1"/>
  <c r="W584" i="1" a="1"/>
  <c r="W584" i="1" s="1"/>
  <c r="W585" i="1" a="1"/>
  <c r="W585" i="1"/>
  <c r="W586" i="1" a="1"/>
  <c r="W586" i="1"/>
  <c r="W587" i="1" a="1"/>
  <c r="W587" i="1"/>
  <c r="W588" i="1" a="1"/>
  <c r="W588" i="1" s="1"/>
  <c r="W589" i="1" a="1"/>
  <c r="W589" i="1" s="1"/>
  <c r="W590" i="1" a="1"/>
  <c r="W590" i="1" s="1"/>
  <c r="W591" i="1" a="1"/>
  <c r="W591" i="1"/>
  <c r="W592" i="1" a="1"/>
  <c r="W592" i="1"/>
  <c r="W593" i="1" a="1"/>
  <c r="W593" i="1"/>
  <c r="W594" i="1" a="1"/>
  <c r="W594" i="1" s="1"/>
  <c r="W595" i="1" a="1"/>
  <c r="W595" i="1" s="1"/>
  <c r="W596" i="1" a="1"/>
  <c r="W596" i="1" s="1"/>
  <c r="W597" i="1" a="1"/>
  <c r="W597" i="1"/>
  <c r="W598" i="1" a="1"/>
  <c r="W598" i="1"/>
  <c r="W599" i="1" a="1"/>
  <c r="W599" i="1"/>
  <c r="W600" i="1" a="1"/>
  <c r="W600" i="1" s="1"/>
  <c r="W601" i="1" a="1"/>
  <c r="W601" i="1" s="1"/>
  <c r="W603" i="1" a="1"/>
  <c r="W603" i="1"/>
  <c r="W604" i="1" a="1"/>
  <c r="W604" i="1"/>
  <c r="W605" i="1" a="1"/>
  <c r="W605" i="1"/>
  <c r="W606" i="1" a="1"/>
  <c r="W606" i="1" s="1"/>
  <c r="W607" i="1" a="1"/>
  <c r="W607" i="1" s="1"/>
  <c r="W608" i="1" a="1"/>
  <c r="W608" i="1" s="1"/>
  <c r="W609" i="1" a="1"/>
  <c r="W609" i="1"/>
  <c r="W611" i="1" a="1"/>
  <c r="W611" i="1"/>
  <c r="W612" i="1" a="1"/>
  <c r="W612" i="1" s="1"/>
  <c r="W613" i="1" a="1"/>
  <c r="W613" i="1" s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2" i="1"/>
  <c r="O157" i="1" a="1"/>
  <c r="O157" i="1" s="1"/>
  <c r="N308" i="1"/>
  <c r="O309" i="1" s="1" a="1"/>
  <c r="O309" i="1" s="1"/>
  <c r="M2" i="1"/>
  <c r="N2" i="1" s="1"/>
  <c r="O3" i="1" s="1" a="1"/>
  <c r="O3" i="1" s="1"/>
  <c r="M3" i="1"/>
  <c r="N3" i="1" s="1"/>
  <c r="O6" i="1" s="1" a="1"/>
  <c r="O6" i="1" s="1"/>
  <c r="M4" i="1"/>
  <c r="N4" i="1" s="1"/>
  <c r="O5" i="1" s="1" a="1"/>
  <c r="O5" i="1" s="1"/>
  <c r="M5" i="1"/>
  <c r="N5" i="1" s="1"/>
  <c r="M6" i="1"/>
  <c r="N6" i="1" s="1"/>
  <c r="O7" i="1" s="1" a="1"/>
  <c r="O7" i="1" s="1"/>
  <c r="M7" i="1"/>
  <c r="N7" i="1" s="1"/>
  <c r="O10" i="1" s="1" a="1"/>
  <c r="O10" i="1" s="1"/>
  <c r="M8" i="1"/>
  <c r="N8" i="1" s="1"/>
  <c r="O9" i="1" s="1" a="1"/>
  <c r="O9" i="1" s="1"/>
  <c r="M9" i="1"/>
  <c r="N9" i="1" s="1"/>
  <c r="O12" i="1" s="1" a="1"/>
  <c r="O12" i="1" s="1"/>
  <c r="M10" i="1"/>
  <c r="N10" i="1" s="1"/>
  <c r="O11" i="1" s="1" a="1"/>
  <c r="O11" i="1" s="1"/>
  <c r="M11" i="1"/>
  <c r="N11" i="1" s="1"/>
  <c r="O14" i="1" s="1" a="1"/>
  <c r="O14" i="1" s="1"/>
  <c r="M12" i="1"/>
  <c r="N12" i="1" s="1"/>
  <c r="O13" i="1" s="1" a="1"/>
  <c r="O13" i="1" s="1"/>
  <c r="M13" i="1"/>
  <c r="N13" i="1" s="1"/>
  <c r="O16" i="1" s="1" a="1"/>
  <c r="O16" i="1" s="1"/>
  <c r="M14" i="1"/>
  <c r="N14" i="1" s="1"/>
  <c r="O15" i="1" s="1" a="1"/>
  <c r="O15" i="1" s="1"/>
  <c r="M15" i="1"/>
  <c r="N15" i="1" s="1"/>
  <c r="O18" i="1" s="1" a="1"/>
  <c r="O18" i="1" s="1"/>
  <c r="M16" i="1"/>
  <c r="N16" i="1" s="1"/>
  <c r="O17" i="1" s="1" a="1"/>
  <c r="O17" i="1" s="1"/>
  <c r="M17" i="1"/>
  <c r="N17" i="1" s="1"/>
  <c r="O20" i="1" s="1" a="1"/>
  <c r="O20" i="1" s="1"/>
  <c r="M18" i="1"/>
  <c r="N18" i="1" s="1"/>
  <c r="O19" i="1" s="1" a="1"/>
  <c r="O19" i="1" s="1"/>
  <c r="M19" i="1"/>
  <c r="N19" i="1" s="1"/>
  <c r="M20" i="1"/>
  <c r="N20" i="1" s="1"/>
  <c r="O21" i="1" s="1" a="1"/>
  <c r="O21" i="1" s="1"/>
  <c r="M21" i="1"/>
  <c r="N21" i="1" s="1"/>
  <c r="M22" i="1"/>
  <c r="N22" i="1" s="1"/>
  <c r="M23" i="1"/>
  <c r="N23" i="1" s="1"/>
  <c r="O24" i="1" s="1" a="1"/>
  <c r="O24" i="1" s="1"/>
  <c r="M24" i="1"/>
  <c r="N24" i="1" s="1"/>
  <c r="O29" i="1" s="1" a="1"/>
  <c r="O29" i="1" s="1"/>
  <c r="M25" i="1"/>
  <c r="N25" i="1" s="1"/>
  <c r="O26" i="1" s="1" a="1"/>
  <c r="O26" i="1" s="1"/>
  <c r="M26" i="1"/>
  <c r="N26" i="1" s="1"/>
  <c r="O39" i="1" s="1" a="1"/>
  <c r="O39" i="1" s="1"/>
  <c r="M27" i="1"/>
  <c r="N27" i="1" s="1"/>
  <c r="O28" i="1" s="1" a="1"/>
  <c r="O28" i="1" s="1"/>
  <c r="M28" i="1"/>
  <c r="N28" i="1" s="1"/>
  <c r="O57" i="1" s="1" a="1"/>
  <c r="O57" i="1" s="1"/>
  <c r="M29" i="1"/>
  <c r="N29" i="1" s="1"/>
  <c r="O30" i="1" s="1" a="1"/>
  <c r="O30" i="1" s="1"/>
  <c r="M30" i="1"/>
  <c r="N30" i="1" s="1"/>
  <c r="O35" i="1" s="1" a="1"/>
  <c r="O35" i="1" s="1"/>
  <c r="M31" i="1"/>
  <c r="N31" i="1" s="1"/>
  <c r="O38" i="1" s="1" a="1"/>
  <c r="O38" i="1" s="1"/>
  <c r="M32" i="1"/>
  <c r="N32" i="1" s="1"/>
  <c r="O43" i="1" s="1" a="1"/>
  <c r="O43" i="1" s="1"/>
  <c r="M33" i="1"/>
  <c r="N33" i="1" s="1"/>
  <c r="O34" i="1" s="1" a="1"/>
  <c r="O34" i="1" s="1"/>
  <c r="M34" i="1"/>
  <c r="N34" i="1" s="1"/>
  <c r="O63" i="1" s="1" a="1"/>
  <c r="O63" i="1" s="1"/>
  <c r="M35" i="1"/>
  <c r="N35" i="1" s="1"/>
  <c r="O36" i="1" s="1" a="1"/>
  <c r="O36" i="1" s="1"/>
  <c r="M36" i="1"/>
  <c r="N36" i="1" s="1"/>
  <c r="O41" i="1" s="1" a="1"/>
  <c r="O41" i="1" s="1"/>
  <c r="M37" i="1"/>
  <c r="N37" i="1" s="1"/>
  <c r="O44" i="1" s="1" a="1"/>
  <c r="O44" i="1" s="1"/>
  <c r="M38" i="1"/>
  <c r="N38" i="1" s="1"/>
  <c r="O61" i="1" s="1" a="1"/>
  <c r="O61" i="1" s="1"/>
  <c r="M39" i="1"/>
  <c r="N39" i="1" s="1"/>
  <c r="O40" i="1" s="1" a="1"/>
  <c r="O40" i="1" s="1"/>
  <c r="M40" i="1"/>
  <c r="N40" i="1" s="1"/>
  <c r="O55" i="1" s="1" a="1"/>
  <c r="O55" i="1" s="1"/>
  <c r="M41" i="1"/>
  <c r="N41" i="1" s="1"/>
  <c r="O42" i="1" s="1" a="1"/>
  <c r="O42" i="1" s="1"/>
  <c r="M42" i="1"/>
  <c r="N42" i="1" s="1"/>
  <c r="O53" i="1" s="1" a="1"/>
  <c r="O53" i="1" s="1"/>
  <c r="M43" i="1"/>
  <c r="N43" i="1" s="1"/>
  <c r="O62" i="1" s="1" a="1"/>
  <c r="O62" i="1" s="1"/>
  <c r="M44" i="1"/>
  <c r="N44" i="1" s="1"/>
  <c r="O67" i="1" s="1" a="1"/>
  <c r="O67" i="1" s="1"/>
  <c r="M45" i="1"/>
  <c r="N45" i="1" s="1"/>
  <c r="O46" i="1" s="1" a="1"/>
  <c r="O46" i="1" s="1"/>
  <c r="M46" i="1"/>
  <c r="N46" i="1" s="1"/>
  <c r="O75" i="1" s="1" a="1"/>
  <c r="O75" i="1" s="1"/>
  <c r="M47" i="1"/>
  <c r="N47" i="1" s="1"/>
  <c r="O48" i="1" s="1" a="1"/>
  <c r="O48" i="1" s="1"/>
  <c r="M48" i="1"/>
  <c r="N48" i="1" s="1"/>
  <c r="O83" i="1" s="1" a="1"/>
  <c r="O83" i="1" s="1"/>
  <c r="M49" i="1"/>
  <c r="N49" i="1" s="1"/>
  <c r="O50" i="1" s="1" a="1"/>
  <c r="O50" i="1" s="1"/>
  <c r="M50" i="1"/>
  <c r="N50" i="1" s="1"/>
  <c r="O51" i="1" s="1" a="1"/>
  <c r="O51" i="1" s="1"/>
  <c r="M51" i="1"/>
  <c r="N51" i="1" s="1"/>
  <c r="O52" i="1" s="1" a="1"/>
  <c r="O52" i="1" s="1"/>
  <c r="M52" i="1"/>
  <c r="N52" i="1" s="1"/>
  <c r="O85" i="1" s="1" a="1"/>
  <c r="O85" i="1" s="1"/>
  <c r="M53" i="1"/>
  <c r="N53" i="1" s="1"/>
  <c r="O54" i="1" s="1" a="1"/>
  <c r="O54" i="1" s="1"/>
  <c r="M54" i="1"/>
  <c r="N54" i="1" s="1"/>
  <c r="O59" i="1" s="1" a="1"/>
  <c r="O59" i="1" s="1"/>
  <c r="M55" i="1"/>
  <c r="N55" i="1" s="1"/>
  <c r="O56" i="1" s="1" a="1"/>
  <c r="O56" i="1" s="1"/>
  <c r="M56" i="1"/>
  <c r="N56" i="1" s="1"/>
  <c r="O69" i="1" s="1" a="1"/>
  <c r="O69" i="1" s="1"/>
  <c r="M57" i="1"/>
  <c r="N57" i="1" s="1"/>
  <c r="O58" i="1" s="1" a="1"/>
  <c r="O58" i="1" s="1"/>
  <c r="M58" i="1"/>
  <c r="N58" i="1" s="1"/>
  <c r="O93" i="1" s="1" a="1"/>
  <c r="O93" i="1" s="1"/>
  <c r="M59" i="1"/>
  <c r="N59" i="1" s="1"/>
  <c r="O60" i="1" s="1" a="1"/>
  <c r="O60" i="1" s="1"/>
  <c r="M60" i="1"/>
  <c r="N60" i="1" s="1"/>
  <c r="O65" i="1" s="1" a="1"/>
  <c r="O65" i="1" s="1"/>
  <c r="M61" i="1"/>
  <c r="N61" i="1" s="1"/>
  <c r="O68" i="1" s="1" a="1"/>
  <c r="O68" i="1" s="1"/>
  <c r="M62" i="1"/>
  <c r="N62" i="1" s="1"/>
  <c r="O73" i="1" s="1" a="1"/>
  <c r="O73" i="1" s="1"/>
  <c r="M63" i="1"/>
  <c r="N63" i="1" s="1"/>
  <c r="O64" i="1" s="1" a="1"/>
  <c r="O64" i="1" s="1"/>
  <c r="M64" i="1"/>
  <c r="N64" i="1" s="1"/>
  <c r="O99" i="1" s="1" a="1"/>
  <c r="O99" i="1" s="1"/>
  <c r="M65" i="1"/>
  <c r="N65" i="1" s="1"/>
  <c r="O66" i="1" s="1" a="1"/>
  <c r="O66" i="1" s="1"/>
  <c r="M66" i="1"/>
  <c r="N66" i="1" s="1"/>
  <c r="O71" i="1" s="1" a="1"/>
  <c r="O71" i="1" s="1"/>
  <c r="M67" i="1"/>
  <c r="N67" i="1" s="1"/>
  <c r="O74" i="1" s="1" a="1"/>
  <c r="O74" i="1" s="1"/>
  <c r="M68" i="1"/>
  <c r="N68" i="1" s="1"/>
  <c r="O80" i="1" s="1" a="1"/>
  <c r="O80" i="1" s="1"/>
  <c r="M69" i="1"/>
  <c r="N69" i="1" s="1"/>
  <c r="O70" i="1" s="1" a="1"/>
  <c r="O70" i="1" s="1"/>
  <c r="M70" i="1"/>
  <c r="N70" i="1" s="1"/>
  <c r="O91" i="1" s="1" a="1"/>
  <c r="O91" i="1" s="1"/>
  <c r="M71" i="1"/>
  <c r="N71" i="1" s="1"/>
  <c r="O72" i="1" s="1" a="1"/>
  <c r="O72" i="1" s="1"/>
  <c r="M72" i="1"/>
  <c r="N72" i="1" s="1"/>
  <c r="O77" i="1" s="1" a="1"/>
  <c r="O77" i="1" s="1"/>
  <c r="M73" i="1"/>
  <c r="N73" i="1" s="1"/>
  <c r="O79" i="1" s="1" a="1"/>
  <c r="O79" i="1" s="1"/>
  <c r="M74" i="1"/>
  <c r="N74" i="1" s="1"/>
  <c r="O81" i="1" s="1" a="1"/>
  <c r="O81" i="1" s="1"/>
  <c r="M75" i="1"/>
  <c r="N75" i="1" s="1"/>
  <c r="O76" i="1" s="1" a="1"/>
  <c r="O76" i="1" s="1"/>
  <c r="M76" i="1"/>
  <c r="N76" i="1" s="1"/>
  <c r="O111" i="1" s="1" a="1"/>
  <c r="O111" i="1" s="1"/>
  <c r="M77" i="1"/>
  <c r="N77" i="1" s="1"/>
  <c r="O78" i="1" s="1" a="1"/>
  <c r="O78" i="1" s="1"/>
  <c r="M78" i="1"/>
  <c r="N78" i="1" s="1"/>
  <c r="O89" i="1" s="1" a="1"/>
  <c r="O89" i="1" s="1"/>
  <c r="M79" i="1"/>
  <c r="N79" i="1" s="1"/>
  <c r="O98" i="1" s="1" a="1"/>
  <c r="O98" i="1" s="1"/>
  <c r="M80" i="1"/>
  <c r="N80" i="1" s="1"/>
  <c r="O97" i="1" s="1" a="1"/>
  <c r="O97" i="1" s="1"/>
  <c r="M81" i="1"/>
  <c r="N81" i="1" s="1"/>
  <c r="O82" i="1" s="1" a="1"/>
  <c r="O82" i="1" s="1"/>
  <c r="M82" i="1"/>
  <c r="N82" i="1" s="1"/>
  <c r="O103" i="1" s="1" a="1"/>
  <c r="O103" i="1" s="1"/>
  <c r="M83" i="1"/>
  <c r="N83" i="1" s="1"/>
  <c r="O84" i="1" s="1" a="1"/>
  <c r="O84" i="1" s="1"/>
  <c r="M84" i="1"/>
  <c r="N84" i="1" s="1"/>
  <c r="O119" i="1" s="1" a="1"/>
  <c r="O119" i="1" s="1"/>
  <c r="M85" i="1"/>
  <c r="N85" i="1" s="1"/>
  <c r="O86" i="1" s="1" a="1"/>
  <c r="O86" i="1" s="1"/>
  <c r="M86" i="1"/>
  <c r="N86" i="1" s="1"/>
  <c r="O87" i="1" s="1" a="1"/>
  <c r="O87" i="1" s="1"/>
  <c r="M87" i="1"/>
  <c r="N87" i="1" s="1"/>
  <c r="O88" i="1" s="1" a="1"/>
  <c r="O88" i="1" s="1"/>
  <c r="M88" i="1"/>
  <c r="N88" i="1" s="1"/>
  <c r="O121" i="1" s="1" a="1"/>
  <c r="O121" i="1" s="1"/>
  <c r="M89" i="1"/>
  <c r="N89" i="1" s="1"/>
  <c r="O90" i="1" s="1" a="1"/>
  <c r="O90" i="1" s="1"/>
  <c r="M90" i="1"/>
  <c r="N90" i="1" s="1"/>
  <c r="O95" i="1" s="1" a="1"/>
  <c r="O95" i="1" s="1"/>
  <c r="M91" i="1"/>
  <c r="N91" i="1" s="1"/>
  <c r="O92" i="1" s="1" a="1"/>
  <c r="O92" i="1" s="1"/>
  <c r="M92" i="1"/>
  <c r="N92" i="1" s="1"/>
  <c r="O105" i="1" s="1" a="1"/>
  <c r="O105" i="1" s="1"/>
  <c r="M93" i="1"/>
  <c r="N93" i="1" s="1"/>
  <c r="O94" i="1" s="1" a="1"/>
  <c r="O94" i="1" s="1"/>
  <c r="M94" i="1"/>
  <c r="N94" i="1" s="1"/>
  <c r="O129" i="1" s="1" a="1"/>
  <c r="O129" i="1" s="1"/>
  <c r="M95" i="1"/>
  <c r="N95" i="1" s="1"/>
  <c r="O96" i="1" s="1" a="1"/>
  <c r="O96" i="1" s="1"/>
  <c r="M96" i="1"/>
  <c r="N96" i="1" s="1"/>
  <c r="O101" i="1" s="1" a="1"/>
  <c r="O101" i="1" s="1"/>
  <c r="M97" i="1"/>
  <c r="N97" i="1" s="1"/>
  <c r="O104" i="1" s="1" a="1"/>
  <c r="O104" i="1" s="1"/>
  <c r="M98" i="1"/>
  <c r="N98" i="1" s="1"/>
  <c r="O109" i="1" s="1" a="1"/>
  <c r="O109" i="1" s="1"/>
  <c r="M99" i="1"/>
  <c r="N99" i="1" s="1"/>
  <c r="O100" i="1" s="1" a="1"/>
  <c r="O100" i="1" s="1"/>
  <c r="M100" i="1"/>
  <c r="N100" i="1" s="1"/>
  <c r="O134" i="1" s="1" a="1"/>
  <c r="O134" i="1" s="1"/>
  <c r="M101" i="1"/>
  <c r="N101" i="1" s="1"/>
  <c r="O102" i="1" s="1" a="1"/>
  <c r="O102" i="1" s="1"/>
  <c r="M102" i="1"/>
  <c r="N102" i="1" s="1"/>
  <c r="O107" i="1" s="1" a="1"/>
  <c r="O107" i="1" s="1"/>
  <c r="M103" i="1"/>
  <c r="N103" i="1" s="1"/>
  <c r="O110" i="1" s="1" a="1"/>
  <c r="O110" i="1" s="1"/>
  <c r="M104" i="1"/>
  <c r="N104" i="1" s="1"/>
  <c r="O116" i="1" s="1" a="1"/>
  <c r="O116" i="1" s="1"/>
  <c r="M105" i="1"/>
  <c r="N105" i="1" s="1"/>
  <c r="O106" i="1" s="1" a="1"/>
  <c r="O106" i="1" s="1"/>
  <c r="M106" i="1"/>
  <c r="N106" i="1" s="1"/>
  <c r="O127" i="1" s="1" a="1"/>
  <c r="O127" i="1" s="1"/>
  <c r="M107" i="1"/>
  <c r="N107" i="1" s="1"/>
  <c r="O108" i="1" s="1" a="1"/>
  <c r="O108" i="1" s="1"/>
  <c r="M108" i="1"/>
  <c r="N108" i="1" s="1"/>
  <c r="O113" i="1" s="1" a="1"/>
  <c r="O113" i="1" s="1"/>
  <c r="M109" i="1"/>
  <c r="N109" i="1" s="1"/>
  <c r="O115" i="1" s="1" a="1"/>
  <c r="O115" i="1" s="1"/>
  <c r="M110" i="1"/>
  <c r="N110" i="1" s="1"/>
  <c r="O117" i="1" s="1" a="1"/>
  <c r="O117" i="1" s="1"/>
  <c r="M111" i="1"/>
  <c r="N111" i="1" s="1"/>
  <c r="O112" i="1" s="1" a="1"/>
  <c r="O112" i="1" s="1"/>
  <c r="M112" i="1"/>
  <c r="N112" i="1" s="1"/>
  <c r="O144" i="1" s="1" a="1"/>
  <c r="O144" i="1" s="1"/>
  <c r="M113" i="1"/>
  <c r="N113" i="1" s="1"/>
  <c r="O114" i="1" s="1" a="1"/>
  <c r="O114" i="1" s="1"/>
  <c r="M114" i="1"/>
  <c r="N114" i="1" s="1"/>
  <c r="O125" i="1" s="1" a="1"/>
  <c r="O125" i="1" s="1"/>
  <c r="M115" i="1"/>
  <c r="N115" i="1" s="1"/>
  <c r="O143" i="1" s="1" a="1"/>
  <c r="O143" i="1" s="1"/>
  <c r="M116" i="1"/>
  <c r="N116" i="1" s="1"/>
  <c r="O133" i="1" s="1" a="1"/>
  <c r="O133" i="1" s="1"/>
  <c r="M117" i="1"/>
  <c r="N117" i="1" s="1"/>
  <c r="O118" i="1" s="1" a="1"/>
  <c r="O118" i="1" s="1"/>
  <c r="M118" i="1"/>
  <c r="N118" i="1" s="1"/>
  <c r="O138" i="1" s="1" a="1"/>
  <c r="O138" i="1" s="1"/>
  <c r="M119" i="1"/>
  <c r="N119" i="1" s="1"/>
  <c r="O120" i="1" s="1" a="1"/>
  <c r="O120" i="1" s="1"/>
  <c r="M120" i="1"/>
  <c r="N120" i="1" s="1"/>
  <c r="O151" i="1" s="1" a="1"/>
  <c r="O151" i="1" s="1"/>
  <c r="M121" i="1"/>
  <c r="N121" i="1" s="1"/>
  <c r="O122" i="1" s="1" a="1"/>
  <c r="O122" i="1" s="1"/>
  <c r="M122" i="1"/>
  <c r="N122" i="1" s="1"/>
  <c r="O123" i="1" s="1" a="1"/>
  <c r="O123" i="1" s="1"/>
  <c r="M123" i="1"/>
  <c r="N123" i="1" s="1"/>
  <c r="O124" i="1" s="1" a="1"/>
  <c r="O124" i="1" s="1"/>
  <c r="M124" i="1"/>
  <c r="N124" i="1" s="1"/>
  <c r="O153" i="1" s="1" a="1"/>
  <c r="O153" i="1" s="1"/>
  <c r="M125" i="1"/>
  <c r="N125" i="1" s="1"/>
  <c r="O126" i="1" s="1" a="1"/>
  <c r="O126" i="1" s="1"/>
  <c r="M126" i="1"/>
  <c r="N126" i="1" s="1"/>
  <c r="O131" i="1" s="1" a="1"/>
  <c r="O131" i="1" s="1"/>
  <c r="M127" i="1"/>
  <c r="N127" i="1" s="1"/>
  <c r="O128" i="1" s="1" a="1"/>
  <c r="O128" i="1" s="1"/>
  <c r="M128" i="1"/>
  <c r="N128" i="1" s="1"/>
  <c r="O139" i="1" s="1" a="1"/>
  <c r="O139" i="1" s="1"/>
  <c r="M129" i="1"/>
  <c r="N129" i="1" s="1"/>
  <c r="O130" i="1" s="1" a="1"/>
  <c r="O130" i="1" s="1"/>
  <c r="M130" i="1"/>
  <c r="N130" i="1" s="1"/>
  <c r="M131" i="1"/>
  <c r="N131" i="1" s="1"/>
  <c r="O132" i="1" s="1" a="1"/>
  <c r="O132" i="1" s="1"/>
  <c r="M132" i="1"/>
  <c r="N132" i="1" s="1"/>
  <c r="O136" i="1" s="1" a="1"/>
  <c r="O136" i="1" s="1"/>
  <c r="M133" i="1"/>
  <c r="N133" i="1" s="1"/>
  <c r="O163" i="1" s="1" a="1"/>
  <c r="O163" i="1" s="1"/>
  <c r="M134" i="1"/>
  <c r="N134" i="1" s="1"/>
  <c r="O135" i="1" s="1" a="1"/>
  <c r="O135" i="1" s="1"/>
  <c r="M135" i="1"/>
  <c r="N135" i="1" s="1"/>
  <c r="O232" i="1" s="1" a="1"/>
  <c r="O232" i="1" s="1"/>
  <c r="M136" i="1"/>
  <c r="N136" i="1" s="1"/>
  <c r="O137" i="1" s="1" a="1"/>
  <c r="O137" i="1" s="1"/>
  <c r="M137" i="1"/>
  <c r="N137" i="1" s="1"/>
  <c r="O141" i="1" s="1" a="1"/>
  <c r="O141" i="1" s="1"/>
  <c r="M138" i="1"/>
  <c r="N138" i="1" s="1"/>
  <c r="O149" i="1" s="1" a="1"/>
  <c r="O149" i="1" s="1"/>
  <c r="M139" i="1"/>
  <c r="N139" i="1" s="1"/>
  <c r="O140" i="1" s="1" a="1"/>
  <c r="O140" i="1" s="1"/>
  <c r="M140" i="1"/>
  <c r="N140" i="1" s="1"/>
  <c r="O158" i="1" s="1" a="1"/>
  <c r="O158" i="1" s="1"/>
  <c r="M141" i="1"/>
  <c r="N141" i="1" s="1"/>
  <c r="O142" i="1" s="1" a="1"/>
  <c r="O142" i="1" s="1"/>
  <c r="M142" i="1"/>
  <c r="N142" i="1" s="1"/>
  <c r="O146" i="1" s="1" a="1"/>
  <c r="O146" i="1" s="1"/>
  <c r="M143" i="1"/>
  <c r="N143" i="1" s="1"/>
  <c r="O148" i="1" s="1" a="1"/>
  <c r="O148" i="1" s="1"/>
  <c r="M144" i="1"/>
  <c r="N144" i="1" s="1"/>
  <c r="O145" i="1" s="1" a="1"/>
  <c r="O145" i="1" s="1"/>
  <c r="M145" i="1"/>
  <c r="N145" i="1" s="1"/>
  <c r="O208" i="1" s="1" a="1"/>
  <c r="O208" i="1" s="1"/>
  <c r="M146" i="1"/>
  <c r="N146" i="1" s="1"/>
  <c r="O147" i="1" s="1" a="1"/>
  <c r="O147" i="1" s="1"/>
  <c r="M147" i="1"/>
  <c r="N147" i="1" s="1"/>
  <c r="O160" i="1" s="1" a="1"/>
  <c r="O160" i="1" s="1"/>
  <c r="M148" i="1"/>
  <c r="N148" i="1" s="1"/>
  <c r="O167" i="1" s="1" a="1"/>
  <c r="O167" i="1" s="1"/>
  <c r="M149" i="1"/>
  <c r="N149" i="1" s="1"/>
  <c r="O150" i="1" s="1" a="1"/>
  <c r="O150" i="1" s="1"/>
  <c r="M150" i="1"/>
  <c r="N150" i="1" s="1"/>
  <c r="O162" i="1" s="1" a="1"/>
  <c r="O162" i="1" s="1"/>
  <c r="M151" i="1"/>
  <c r="N151" i="1" s="1"/>
  <c r="O152" i="1" s="1" a="1"/>
  <c r="O152" i="1" s="1"/>
  <c r="M152" i="1"/>
  <c r="N152" i="1" s="1"/>
  <c r="O175" i="1" s="1" a="1"/>
  <c r="O175" i="1" s="1"/>
  <c r="M153" i="1"/>
  <c r="N153" i="1" s="1"/>
  <c r="O154" i="1" s="1" a="1"/>
  <c r="O154" i="1" s="1"/>
  <c r="M154" i="1"/>
  <c r="N154" i="1" s="1"/>
  <c r="O155" i="1" s="1" a="1"/>
  <c r="O155" i="1" s="1"/>
  <c r="M155" i="1"/>
  <c r="N155" i="1" s="1"/>
  <c r="O156" i="1" s="1" a="1"/>
  <c r="O156" i="1" s="1"/>
  <c r="M156" i="1"/>
  <c r="N156" i="1" s="1"/>
  <c r="O177" i="1" s="1" a="1"/>
  <c r="O177" i="1" s="1"/>
  <c r="M157" i="1"/>
  <c r="N157" i="1" s="1"/>
  <c r="M158" i="1"/>
  <c r="N158" i="1" s="1"/>
  <c r="O159" i="1" s="1" a="1"/>
  <c r="O159" i="1" s="1"/>
  <c r="M159" i="1"/>
  <c r="N159" i="1" s="1"/>
  <c r="O164" i="1" s="1" a="1"/>
  <c r="O164" i="1" s="1"/>
  <c r="M160" i="1"/>
  <c r="N160" i="1" s="1"/>
  <c r="O161" i="1" s="1" a="1"/>
  <c r="O161" i="1" s="1"/>
  <c r="M161" i="1"/>
  <c r="N161" i="1" s="1"/>
  <c r="O166" i="1" s="1" a="1"/>
  <c r="O166" i="1" s="1"/>
  <c r="M162" i="1"/>
  <c r="N162" i="1" s="1"/>
  <c r="O169" i="1" s="1" a="1"/>
  <c r="O169" i="1" s="1"/>
  <c r="M163" i="1"/>
  <c r="N163" i="1" s="1"/>
  <c r="O230" i="1" s="1" a="1"/>
  <c r="O230" i="1" s="1"/>
  <c r="M164" i="1"/>
  <c r="N164" i="1" s="1"/>
  <c r="O165" i="1" s="1" a="1"/>
  <c r="O165" i="1" s="1"/>
  <c r="M165" i="1"/>
  <c r="N165" i="1" s="1"/>
  <c r="O182" i="1" s="1" a="1"/>
  <c r="O182" i="1" s="1"/>
  <c r="M166" i="1"/>
  <c r="N166" i="1" s="1"/>
  <c r="O170" i="1" s="1" a="1"/>
  <c r="O170" i="1" s="1"/>
  <c r="M167" i="1"/>
  <c r="N167" i="1" s="1"/>
  <c r="O172" i="1" s="1" a="1"/>
  <c r="O172" i="1" s="1"/>
  <c r="M168" i="1"/>
  <c r="N168" i="1" s="1"/>
  <c r="M169" i="1"/>
  <c r="N169" i="1" s="1"/>
  <c r="O173" i="1" s="1" a="1"/>
  <c r="O173" i="1" s="1"/>
  <c r="M170" i="1"/>
  <c r="N170" i="1" s="1"/>
  <c r="O171" i="1" s="1" a="1"/>
  <c r="O171" i="1" s="1"/>
  <c r="M171" i="1"/>
  <c r="N171" i="1" s="1"/>
  <c r="O181" i="1" s="1" a="1"/>
  <c r="O181" i="1" s="1"/>
  <c r="M172" i="1"/>
  <c r="N172" i="1" s="1"/>
  <c r="O184" i="1" s="1" a="1"/>
  <c r="O184" i="1" s="1"/>
  <c r="M173" i="1"/>
  <c r="N173" i="1" s="1"/>
  <c r="O174" i="1" s="1" a="1"/>
  <c r="O174" i="1" s="1"/>
  <c r="M174" i="1"/>
  <c r="N174" i="1" s="1"/>
  <c r="O207" i="1" s="1" a="1"/>
  <c r="O207" i="1" s="1"/>
  <c r="M175" i="1"/>
  <c r="N175" i="1" s="1"/>
  <c r="O176" i="1" s="1" a="1"/>
  <c r="O176" i="1" s="1"/>
  <c r="M176" i="1"/>
  <c r="N176" i="1" s="1"/>
  <c r="O216" i="1" s="1" a="1"/>
  <c r="O216" i="1" s="1"/>
  <c r="M177" i="1"/>
  <c r="N177" i="1" s="1"/>
  <c r="O178" i="1" s="1" a="1"/>
  <c r="O178" i="1" s="1"/>
  <c r="M178" i="1"/>
  <c r="N178" i="1" s="1"/>
  <c r="O179" i="1" s="1" a="1"/>
  <c r="O179" i="1" s="1"/>
  <c r="M179" i="1"/>
  <c r="N179" i="1" s="1"/>
  <c r="O180" i="1" s="1" a="1"/>
  <c r="O180" i="1" s="1"/>
  <c r="M180" i="1"/>
  <c r="N180" i="1" s="1"/>
  <c r="O218" i="1" s="1" a="1"/>
  <c r="O218" i="1" s="1"/>
  <c r="M181" i="1"/>
  <c r="N181" i="1" s="1"/>
  <c r="O188" i="1" s="1" a="1"/>
  <c r="O188" i="1" s="1"/>
  <c r="M182" i="1"/>
  <c r="N182" i="1" s="1"/>
  <c r="O183" i="1" s="1" a="1"/>
  <c r="O183" i="1" s="1"/>
  <c r="M183" i="1"/>
  <c r="N183" i="1" s="1"/>
  <c r="O201" i="1" s="1" a="1"/>
  <c r="O201" i="1" s="1"/>
  <c r="M184" i="1"/>
  <c r="N184" i="1" s="1"/>
  <c r="O192" i="1" s="1" a="1"/>
  <c r="O192" i="1" s="1"/>
  <c r="M185" i="1"/>
  <c r="N185" i="1" s="1"/>
  <c r="O186" i="1" s="1" a="1"/>
  <c r="O186" i="1" s="1"/>
  <c r="M186" i="1"/>
  <c r="N186" i="1" s="1"/>
  <c r="O187" i="1" s="1" a="1"/>
  <c r="O187" i="1" s="1"/>
  <c r="M187" i="1"/>
  <c r="N187" i="1" s="1"/>
  <c r="O189" i="1" s="1" a="1"/>
  <c r="O189" i="1" s="1"/>
  <c r="M188" i="1"/>
  <c r="N188" i="1" s="1"/>
  <c r="O196" i="1" s="1" a="1"/>
  <c r="O196" i="1" s="1"/>
  <c r="M189" i="1"/>
  <c r="N189" i="1" s="1"/>
  <c r="O190" i="1" s="1" a="1"/>
  <c r="O190" i="1" s="1"/>
  <c r="M190" i="1"/>
  <c r="N190" i="1" s="1"/>
  <c r="O191" i="1" s="1" a="1"/>
  <c r="O191" i="1" s="1"/>
  <c r="M191" i="1"/>
  <c r="N191" i="1" s="1"/>
  <c r="O197" i="1" s="1" a="1"/>
  <c r="O197" i="1" s="1"/>
  <c r="M192" i="1"/>
  <c r="N192" i="1" s="1"/>
  <c r="O193" i="1" s="1" a="1"/>
  <c r="O193" i="1" s="1"/>
  <c r="M193" i="1"/>
  <c r="N193" i="1" s="1"/>
  <c r="O194" i="1" s="1" a="1"/>
  <c r="O194" i="1" s="1"/>
  <c r="M194" i="1"/>
  <c r="N194" i="1" s="1"/>
  <c r="O195" i="1" s="1" a="1"/>
  <c r="O195" i="1" s="1"/>
  <c r="M195" i="1"/>
  <c r="N195" i="1" s="1"/>
  <c r="O200" i="1" s="1" a="1"/>
  <c r="O200" i="1" s="1"/>
  <c r="M196" i="1"/>
  <c r="N196" i="1" s="1"/>
  <c r="O204" i="1" s="1" a="1"/>
  <c r="O204" i="1" s="1"/>
  <c r="M197" i="1"/>
  <c r="N197" i="1" s="1"/>
  <c r="O198" i="1" s="1" a="1"/>
  <c r="O198" i="1" s="1"/>
  <c r="M198" i="1"/>
  <c r="N198" i="1" s="1"/>
  <c r="O199" i="1" s="1" a="1"/>
  <c r="O199" i="1" s="1"/>
  <c r="M199" i="1"/>
  <c r="N199" i="1" s="1"/>
  <c r="O210" i="1" s="1" a="1"/>
  <c r="O210" i="1" s="1"/>
  <c r="M200" i="1"/>
  <c r="N200" i="1" s="1"/>
  <c r="O206" i="1" s="1" a="1"/>
  <c r="O206" i="1" s="1"/>
  <c r="M201" i="1"/>
  <c r="N201" i="1" s="1"/>
  <c r="O202" i="1" s="1" a="1"/>
  <c r="O202" i="1" s="1"/>
  <c r="M202" i="1"/>
  <c r="N202" i="1" s="1"/>
  <c r="O203" i="1" s="1" a="1"/>
  <c r="O203" i="1" s="1"/>
  <c r="M203" i="1"/>
  <c r="N203" i="1" s="1"/>
  <c r="O222" i="1" s="1" a="1"/>
  <c r="O222" i="1" s="1"/>
  <c r="M204" i="1"/>
  <c r="N204" i="1" s="1"/>
  <c r="O205" i="1" s="1" a="1"/>
  <c r="O205" i="1" s="1"/>
  <c r="M205" i="1"/>
  <c r="N205" i="1" s="1"/>
  <c r="O228" i="1" s="1" a="1"/>
  <c r="O228" i="1" s="1"/>
  <c r="M206" i="1"/>
  <c r="N206" i="1" s="1"/>
  <c r="O213" i="1" s="1" a="1"/>
  <c r="O213" i="1" s="1"/>
  <c r="M207" i="1"/>
  <c r="N207" i="1" s="1"/>
  <c r="O296" i="1" s="1" a="1"/>
  <c r="O296" i="1" s="1"/>
  <c r="M208" i="1"/>
  <c r="N208" i="1" s="1"/>
  <c r="O209" i="1" s="1" a="1"/>
  <c r="O209" i="1" s="1"/>
  <c r="M209" i="1"/>
  <c r="N209" i="1" s="1"/>
  <c r="M210" i="1"/>
  <c r="N210" i="1" s="1"/>
  <c r="O211" i="1" s="1" a="1"/>
  <c r="O211" i="1" s="1"/>
  <c r="M211" i="1"/>
  <c r="N211" i="1" s="1"/>
  <c r="O212" i="1" s="1" a="1"/>
  <c r="O212" i="1" s="1"/>
  <c r="M212" i="1"/>
  <c r="N212" i="1" s="1"/>
  <c r="O234" i="1" s="1" a="1"/>
  <c r="O234" i="1" s="1"/>
  <c r="M213" i="1"/>
  <c r="N213" i="1" s="1"/>
  <c r="O224" i="1" s="1" a="1"/>
  <c r="O224" i="1" s="1"/>
  <c r="M214" i="1"/>
  <c r="N214" i="1" s="1"/>
  <c r="O215" i="1" s="1" a="1"/>
  <c r="O215" i="1" s="1"/>
  <c r="M215" i="1"/>
  <c r="N215" i="1" s="1"/>
  <c r="M216" i="1"/>
  <c r="N216" i="1" s="1"/>
  <c r="O217" i="1" s="1" a="1"/>
  <c r="O217" i="1" s="1"/>
  <c r="M217" i="1"/>
  <c r="N217" i="1" s="1"/>
  <c r="O252" i="1" s="1" a="1"/>
  <c r="O252" i="1" s="1"/>
  <c r="M218" i="1"/>
  <c r="N218" i="1" s="1"/>
  <c r="O219" i="1" s="1" a="1"/>
  <c r="O219" i="1" s="1"/>
  <c r="M219" i="1"/>
  <c r="N219" i="1" s="1"/>
  <c r="O220" i="1" s="1" a="1"/>
  <c r="O220" i="1" s="1"/>
  <c r="M220" i="1"/>
  <c r="N220" i="1" s="1"/>
  <c r="O221" i="1" s="1" a="1"/>
  <c r="O221" i="1" s="1"/>
  <c r="M221" i="1"/>
  <c r="N221" i="1" s="1"/>
  <c r="O254" i="1" s="1" a="1"/>
  <c r="O254" i="1" s="1"/>
  <c r="M222" i="1"/>
  <c r="N222" i="1" s="1"/>
  <c r="O223" i="1" s="1" a="1"/>
  <c r="O223" i="1" s="1"/>
  <c r="M223" i="1"/>
  <c r="N223" i="1" s="1"/>
  <c r="O238" i="1" s="1" a="1"/>
  <c r="O238" i="1" s="1"/>
  <c r="M224" i="1"/>
  <c r="N224" i="1" s="1"/>
  <c r="O231" i="1" s="1" a="1"/>
  <c r="O231" i="1" s="1"/>
  <c r="M225" i="1"/>
  <c r="N225" i="1" s="1"/>
  <c r="O226" i="1" s="1" a="1"/>
  <c r="O226" i="1" s="1"/>
  <c r="M226" i="1"/>
  <c r="N226" i="1" s="1"/>
  <c r="O227" i="1" s="1" a="1"/>
  <c r="O227" i="1" s="1"/>
  <c r="M227" i="1"/>
  <c r="N227" i="1" s="1"/>
  <c r="M228" i="1"/>
  <c r="N228" i="1" s="1"/>
  <c r="O229" i="1" s="1" a="1"/>
  <c r="O229" i="1" s="1"/>
  <c r="M229" i="1"/>
  <c r="N229" i="1" s="1"/>
  <c r="O273" i="1" s="1" a="1"/>
  <c r="O273" i="1" s="1"/>
  <c r="M230" i="1"/>
  <c r="N230" i="1" s="1"/>
  <c r="O276" i="1" s="1" a="1"/>
  <c r="O276" i="1" s="1"/>
  <c r="M231" i="1"/>
  <c r="N231" i="1" s="1"/>
  <c r="O275" i="1" s="1" a="1"/>
  <c r="O275" i="1" s="1"/>
  <c r="M232" i="1"/>
  <c r="N232" i="1" s="1"/>
  <c r="O233" i="1" s="1" a="1"/>
  <c r="O233" i="1" s="1"/>
  <c r="M233" i="1"/>
  <c r="N233" i="1" s="1"/>
  <c r="M234" i="1"/>
  <c r="N234" i="1" s="1"/>
  <c r="O235" i="1" s="1" a="1"/>
  <c r="O235" i="1" s="1"/>
  <c r="M235" i="1"/>
  <c r="N235" i="1" s="1"/>
  <c r="O236" i="1" s="1" a="1"/>
  <c r="O236" i="1" s="1"/>
  <c r="M236" i="1"/>
  <c r="N236" i="1" s="1"/>
  <c r="O237" i="1" s="1" a="1"/>
  <c r="O237" i="1" s="1"/>
  <c r="M237" i="1"/>
  <c r="N237" i="1" s="1"/>
  <c r="M238" i="1"/>
  <c r="N238" i="1" s="1"/>
  <c r="O239" i="1" s="1" a="1"/>
  <c r="O239" i="1" s="1"/>
  <c r="M239" i="1"/>
  <c r="N239" i="1" s="1"/>
  <c r="O282" i="1" s="1" a="1"/>
  <c r="O282" i="1" s="1"/>
  <c r="M240" i="1"/>
  <c r="N240" i="1" s="1"/>
  <c r="O241" i="1" s="1" a="1"/>
  <c r="O241" i="1" s="1"/>
  <c r="M241" i="1"/>
  <c r="N241" i="1" s="1"/>
  <c r="O242" i="1" s="1" a="1"/>
  <c r="O242" i="1" s="1"/>
  <c r="M242" i="1"/>
  <c r="N242" i="1" s="1"/>
  <c r="O246" i="1" s="1" a="1"/>
  <c r="O246" i="1" s="1"/>
  <c r="M243" i="1"/>
  <c r="N243" i="1" s="1"/>
  <c r="O244" i="1" s="1" a="1"/>
  <c r="O244" i="1" s="1"/>
  <c r="M244" i="1"/>
  <c r="N244" i="1" s="1"/>
  <c r="O245" i="1" s="1" a="1"/>
  <c r="O245" i="1" s="1"/>
  <c r="M245" i="1"/>
  <c r="N245" i="1" s="1"/>
  <c r="O249" i="1" s="1" a="1"/>
  <c r="O249" i="1" s="1"/>
  <c r="M246" i="1"/>
  <c r="N246" i="1" s="1"/>
  <c r="O247" i="1" s="1" a="1"/>
  <c r="O247" i="1" s="1"/>
  <c r="M247" i="1"/>
  <c r="N247" i="1" s="1"/>
  <c r="O248" i="1" s="1" a="1"/>
  <c r="O248" i="1" s="1"/>
  <c r="M248" i="1"/>
  <c r="N248" i="1" s="1"/>
  <c r="M249" i="1"/>
  <c r="N249" i="1" s="1"/>
  <c r="O250" i="1" s="1" a="1"/>
  <c r="O250" i="1" s="1"/>
  <c r="M250" i="1"/>
  <c r="N250" i="1" s="1"/>
  <c r="O251" i="1" s="1" a="1"/>
  <c r="O251" i="1" s="1"/>
  <c r="M251" i="1"/>
  <c r="N251" i="1" s="1"/>
  <c r="O270" i="1" s="1" a="1"/>
  <c r="O270" i="1" s="1"/>
  <c r="M252" i="1"/>
  <c r="N252" i="1" s="1"/>
  <c r="O253" i="1" s="1" a="1"/>
  <c r="O253" i="1" s="1"/>
  <c r="M253" i="1"/>
  <c r="N253" i="1" s="1"/>
  <c r="M254" i="1"/>
  <c r="N254" i="1" s="1"/>
  <c r="O255" i="1" s="1" a="1"/>
  <c r="O255" i="1" s="1"/>
  <c r="M255" i="1"/>
  <c r="N255" i="1" s="1"/>
  <c r="O256" i="1" s="1" a="1"/>
  <c r="O256" i="1" s="1"/>
  <c r="M256" i="1"/>
  <c r="N256" i="1" s="1"/>
  <c r="O257" i="1" s="1" a="1"/>
  <c r="O257" i="1" s="1"/>
  <c r="M257" i="1"/>
  <c r="N257" i="1" s="1"/>
  <c r="M258" i="1"/>
  <c r="N258" i="1" s="1"/>
  <c r="O259" i="1" s="1" a="1"/>
  <c r="O259" i="1" s="1"/>
  <c r="M259" i="1"/>
  <c r="N259" i="1" s="1"/>
  <c r="O260" i="1" s="1" a="1"/>
  <c r="O260" i="1" s="1"/>
  <c r="M260" i="1"/>
  <c r="N260" i="1" s="1"/>
  <c r="O261" i="1" s="1" a="1"/>
  <c r="O261" i="1" s="1"/>
  <c r="M261" i="1"/>
  <c r="N261" i="1" s="1"/>
  <c r="O262" i="1" s="1" a="1"/>
  <c r="O262" i="1" s="1"/>
  <c r="M262" i="1"/>
  <c r="N262" i="1" s="1"/>
  <c r="O263" i="1" s="1" a="1"/>
  <c r="O263" i="1" s="1"/>
  <c r="M263" i="1"/>
  <c r="N263" i="1" s="1"/>
  <c r="M264" i="1"/>
  <c r="N264" i="1" s="1"/>
  <c r="O265" i="1" s="1" a="1"/>
  <c r="O265" i="1" s="1"/>
  <c r="M265" i="1"/>
  <c r="N265" i="1" s="1"/>
  <c r="O266" i="1" s="1" a="1"/>
  <c r="O266" i="1" s="1"/>
  <c r="M266" i="1"/>
  <c r="N266" i="1" s="1"/>
  <c r="O267" i="1" s="1" a="1"/>
  <c r="O267" i="1" s="1"/>
  <c r="M267" i="1"/>
  <c r="N267" i="1" s="1"/>
  <c r="O268" i="1" s="1" a="1"/>
  <c r="O268" i="1" s="1"/>
  <c r="M268" i="1"/>
  <c r="N268" i="1" s="1"/>
  <c r="O269" i="1" s="1" a="1"/>
  <c r="O269" i="1" s="1"/>
  <c r="M269" i="1"/>
  <c r="N269" i="1" s="1"/>
  <c r="M270" i="1"/>
  <c r="N270" i="1" s="1"/>
  <c r="O271" i="1" s="1" a="1"/>
  <c r="O271" i="1" s="1"/>
  <c r="M271" i="1"/>
  <c r="N271" i="1" s="1"/>
  <c r="O272" i="1" s="1" a="1"/>
  <c r="O272" i="1" s="1"/>
  <c r="M272" i="1"/>
  <c r="N272" i="1" s="1"/>
  <c r="O277" i="1" s="1" a="1"/>
  <c r="O277" i="1" s="1"/>
  <c r="M273" i="1"/>
  <c r="N273" i="1" s="1"/>
  <c r="O274" i="1" s="1" a="1"/>
  <c r="O274" i="1" s="1"/>
  <c r="M274" i="1"/>
  <c r="N274" i="1" s="1"/>
  <c r="O280" i="1" s="1" a="1"/>
  <c r="O280" i="1" s="1"/>
  <c r="M275" i="1"/>
  <c r="N275" i="1" s="1"/>
  <c r="O290" i="1" s="1" a="1"/>
  <c r="O290" i="1" s="1"/>
  <c r="M276" i="1"/>
  <c r="N276" i="1" s="1"/>
  <c r="O289" i="1" s="1" a="1"/>
  <c r="O289" i="1" s="1"/>
  <c r="M277" i="1"/>
  <c r="N277" i="1" s="1"/>
  <c r="O278" i="1" s="1" a="1"/>
  <c r="O278" i="1" s="1"/>
  <c r="M278" i="1"/>
  <c r="N278" i="1" s="1"/>
  <c r="O279" i="1" s="1" a="1"/>
  <c r="O279" i="1" s="1"/>
  <c r="M279" i="1"/>
  <c r="N279" i="1" s="1"/>
  <c r="O284" i="1" s="1" a="1"/>
  <c r="O284" i="1" s="1"/>
  <c r="M280" i="1"/>
  <c r="N280" i="1" s="1"/>
  <c r="O281" i="1" s="1" a="1"/>
  <c r="O281" i="1" s="1"/>
  <c r="M281" i="1"/>
  <c r="N281" i="1" s="1"/>
  <c r="O287" i="1" s="1" a="1"/>
  <c r="O287" i="1" s="1"/>
  <c r="M282" i="1"/>
  <c r="N282" i="1" s="1"/>
  <c r="O283" i="1" s="1" a="1"/>
  <c r="O283" i="1" s="1"/>
  <c r="M283" i="1"/>
  <c r="N283" i="1" s="1"/>
  <c r="M284" i="1"/>
  <c r="N284" i="1" s="1"/>
  <c r="O285" i="1" s="1" a="1"/>
  <c r="O285" i="1" s="1"/>
  <c r="M285" i="1"/>
  <c r="N285" i="1" s="1"/>
  <c r="O286" i="1" s="1" a="1"/>
  <c r="O286" i="1" s="1"/>
  <c r="M286" i="1"/>
  <c r="N286" i="1" s="1"/>
  <c r="O291" i="1" s="1" a="1"/>
  <c r="O291" i="1" s="1"/>
  <c r="M287" i="1"/>
  <c r="N287" i="1" s="1"/>
  <c r="O288" i="1" s="1" a="1"/>
  <c r="O288" i="1" s="1"/>
  <c r="M288" i="1"/>
  <c r="N288" i="1" s="1"/>
  <c r="O294" i="1" s="1" a="1"/>
  <c r="O294" i="1" s="1"/>
  <c r="M289" i="1"/>
  <c r="N289" i="1" s="1"/>
  <c r="O297" i="1" s="1" a="1"/>
  <c r="O297" i="1" s="1"/>
  <c r="M290" i="1"/>
  <c r="N290" i="1" s="1"/>
  <c r="O303" i="1" s="1" a="1"/>
  <c r="O303" i="1" s="1"/>
  <c r="M291" i="1"/>
  <c r="N291" i="1" s="1"/>
  <c r="O292" i="1" s="1" a="1"/>
  <c r="O292" i="1" s="1"/>
  <c r="M292" i="1"/>
  <c r="N292" i="1" s="1"/>
  <c r="O293" i="1" s="1" a="1"/>
  <c r="O293" i="1" s="1"/>
  <c r="M293" i="1"/>
  <c r="N293" i="1" s="1"/>
  <c r="O298" i="1" s="1" a="1"/>
  <c r="O298" i="1" s="1"/>
  <c r="M294" i="1"/>
  <c r="N294" i="1" s="1"/>
  <c r="O295" i="1" s="1" a="1"/>
  <c r="O295" i="1" s="1"/>
  <c r="M295" i="1"/>
  <c r="N295" i="1" s="1"/>
  <c r="O301" i="1" s="1" a="1"/>
  <c r="O301" i="1" s="1"/>
  <c r="M296" i="1"/>
  <c r="N296" i="1" s="1"/>
  <c r="O304" i="1" s="1" a="1"/>
  <c r="O304" i="1" s="1"/>
  <c r="M297" i="1"/>
  <c r="N297" i="1" s="1"/>
  <c r="M298" i="1"/>
  <c r="N298" i="1" s="1"/>
  <c r="O299" i="1" s="1" a="1"/>
  <c r="O299" i="1" s="1"/>
  <c r="M299" i="1"/>
  <c r="N299" i="1" s="1"/>
  <c r="O300" i="1" s="1" a="1"/>
  <c r="O300" i="1" s="1"/>
  <c r="M300" i="1"/>
  <c r="N300" i="1" s="1"/>
  <c r="O305" i="1" s="1" a="1"/>
  <c r="O305" i="1" s="1"/>
  <c r="M301" i="1"/>
  <c r="N301" i="1" s="1"/>
  <c r="O302" i="1" s="1" a="1"/>
  <c r="O302" i="1" s="1"/>
  <c r="M302" i="1"/>
  <c r="N302" i="1" s="1"/>
  <c r="M303" i="1"/>
  <c r="N303" i="1" s="1"/>
  <c r="M304" i="1"/>
  <c r="N304" i="1" s="1"/>
  <c r="M305" i="1"/>
  <c r="N305" i="1" s="1"/>
  <c r="O306" i="1" s="1" a="1"/>
  <c r="O306" i="1" s="1"/>
  <c r="M306" i="1"/>
  <c r="N306" i="1" s="1"/>
  <c r="O307" i="1" s="1" a="1"/>
  <c r="O307" i="1" s="1"/>
  <c r="M307" i="1"/>
  <c r="N307" i="1" s="1"/>
  <c r="M308" i="1"/>
  <c r="M309" i="1"/>
  <c r="N309" i="1" s="1"/>
  <c r="O312" i="1" s="1" a="1"/>
  <c r="O312" i="1" s="1"/>
  <c r="M310" i="1"/>
  <c r="N310" i="1" s="1"/>
  <c r="O311" i="1" s="1" a="1"/>
  <c r="O311" i="1" s="1"/>
  <c r="M311" i="1"/>
  <c r="N311" i="1" s="1"/>
  <c r="M312" i="1"/>
  <c r="N312" i="1" s="1"/>
  <c r="O313" i="1" s="1" a="1"/>
  <c r="O313" i="1" s="1"/>
  <c r="M313" i="1"/>
  <c r="N313" i="1" s="1"/>
  <c r="O316" i="1" s="1" a="1"/>
  <c r="O316" i="1" s="1"/>
  <c r="M314" i="1"/>
  <c r="N314" i="1" s="1"/>
  <c r="M315" i="1"/>
  <c r="N315" i="1" s="1"/>
  <c r="O318" i="1" s="1" a="1"/>
  <c r="O318" i="1" s="1"/>
  <c r="M316" i="1"/>
  <c r="N316" i="1" s="1"/>
  <c r="O317" i="1" s="1" a="1"/>
  <c r="O317" i="1" s="1"/>
  <c r="M317" i="1"/>
  <c r="N317" i="1" s="1"/>
  <c r="O320" i="1" s="1" a="1"/>
  <c r="O320" i="1" s="1"/>
  <c r="M318" i="1"/>
  <c r="N318" i="1" s="1"/>
  <c r="O319" i="1" s="1" a="1"/>
  <c r="O319" i="1" s="1"/>
  <c r="M319" i="1"/>
  <c r="N319" i="1" s="1"/>
  <c r="O322" i="1" s="1" a="1"/>
  <c r="O322" i="1" s="1"/>
  <c r="M320" i="1"/>
  <c r="N320" i="1" s="1"/>
  <c r="O321" i="1" s="1" a="1"/>
  <c r="O321" i="1" s="1"/>
  <c r="M321" i="1"/>
  <c r="N321" i="1" s="1"/>
  <c r="O324" i="1" s="1" a="1"/>
  <c r="O324" i="1" s="1"/>
  <c r="M322" i="1"/>
  <c r="N322" i="1" s="1"/>
  <c r="O323" i="1" s="1" a="1"/>
  <c r="O323" i="1" s="1"/>
  <c r="M323" i="1"/>
  <c r="N323" i="1" s="1"/>
  <c r="O326" i="1" s="1" a="1"/>
  <c r="O326" i="1" s="1"/>
  <c r="M324" i="1"/>
  <c r="N324" i="1" s="1"/>
  <c r="O325" i="1" s="1" a="1"/>
  <c r="O325" i="1" s="1"/>
  <c r="M325" i="1"/>
  <c r="N325" i="1" s="1"/>
  <c r="M326" i="1"/>
  <c r="N326" i="1" s="1"/>
  <c r="O327" i="1" s="1" a="1"/>
  <c r="O327" i="1" s="1"/>
  <c r="M327" i="1"/>
  <c r="N327" i="1" s="1"/>
  <c r="M328" i="1"/>
  <c r="N328" i="1" s="1"/>
  <c r="M329" i="1"/>
  <c r="N329" i="1" s="1"/>
  <c r="O330" i="1" s="1" a="1"/>
  <c r="O330" i="1" s="1"/>
  <c r="M330" i="1"/>
  <c r="N330" i="1" s="1"/>
  <c r="O335" i="1" s="1" a="1"/>
  <c r="O335" i="1" s="1"/>
  <c r="M331" i="1"/>
  <c r="N331" i="1" s="1"/>
  <c r="O332" i="1" s="1" a="1"/>
  <c r="O332" i="1" s="1"/>
  <c r="M332" i="1"/>
  <c r="N332" i="1" s="1"/>
  <c r="O345" i="1" s="1" a="1"/>
  <c r="O345" i="1" s="1"/>
  <c r="M333" i="1"/>
  <c r="N333" i="1" s="1"/>
  <c r="O334" i="1" s="1" a="1"/>
  <c r="O334" i="1" s="1"/>
  <c r="M334" i="1"/>
  <c r="N334" i="1" s="1"/>
  <c r="O363" i="1" s="1" a="1"/>
  <c r="O363" i="1" s="1"/>
  <c r="M335" i="1"/>
  <c r="N335" i="1" s="1"/>
  <c r="O336" i="1" s="1" a="1"/>
  <c r="O336" i="1" s="1"/>
  <c r="M336" i="1"/>
  <c r="N336" i="1" s="1"/>
  <c r="O341" i="1" s="1" a="1"/>
  <c r="O341" i="1" s="1"/>
  <c r="M337" i="1"/>
  <c r="N337" i="1" s="1"/>
  <c r="O344" i="1" s="1" a="1"/>
  <c r="O344" i="1" s="1"/>
  <c r="M338" i="1"/>
  <c r="N338" i="1" s="1"/>
  <c r="O349" i="1" s="1" a="1"/>
  <c r="O349" i="1" s="1"/>
  <c r="M339" i="1"/>
  <c r="N339" i="1" s="1"/>
  <c r="O340" i="1" s="1" a="1"/>
  <c r="O340" i="1" s="1"/>
  <c r="M340" i="1"/>
  <c r="N340" i="1" s="1"/>
  <c r="O369" i="1" s="1" a="1"/>
  <c r="O369" i="1" s="1"/>
  <c r="M341" i="1"/>
  <c r="N341" i="1" s="1"/>
  <c r="O342" i="1" s="1" a="1"/>
  <c r="O342" i="1" s="1"/>
  <c r="M342" i="1"/>
  <c r="N342" i="1" s="1"/>
  <c r="O347" i="1" s="1" a="1"/>
  <c r="O347" i="1" s="1"/>
  <c r="M343" i="1"/>
  <c r="N343" i="1" s="1"/>
  <c r="O350" i="1" s="1" a="1"/>
  <c r="O350" i="1" s="1"/>
  <c r="M344" i="1"/>
  <c r="N344" i="1" s="1"/>
  <c r="O367" i="1" s="1" a="1"/>
  <c r="O367" i="1" s="1"/>
  <c r="M345" i="1"/>
  <c r="N345" i="1" s="1"/>
  <c r="O346" i="1" s="1" a="1"/>
  <c r="O346" i="1" s="1"/>
  <c r="M346" i="1"/>
  <c r="N346" i="1" s="1"/>
  <c r="O361" i="1" s="1" a="1"/>
  <c r="O361" i="1" s="1"/>
  <c r="M347" i="1"/>
  <c r="N347" i="1" s="1"/>
  <c r="O348" i="1" s="1" a="1"/>
  <c r="O348" i="1" s="1"/>
  <c r="M348" i="1"/>
  <c r="N348" i="1" s="1"/>
  <c r="O359" i="1" s="1" a="1"/>
  <c r="O359" i="1" s="1"/>
  <c r="M349" i="1"/>
  <c r="N349" i="1" s="1"/>
  <c r="O368" i="1" s="1" a="1"/>
  <c r="O368" i="1" s="1"/>
  <c r="M350" i="1"/>
  <c r="N350" i="1" s="1"/>
  <c r="O373" i="1" s="1" a="1"/>
  <c r="O373" i="1" s="1"/>
  <c r="M351" i="1"/>
  <c r="N351" i="1" s="1"/>
  <c r="O352" i="1" s="1" a="1"/>
  <c r="O352" i="1" s="1"/>
  <c r="M352" i="1"/>
  <c r="N352" i="1" s="1"/>
  <c r="O381" i="1" s="1" a="1"/>
  <c r="O381" i="1" s="1"/>
  <c r="M353" i="1"/>
  <c r="N353" i="1" s="1"/>
  <c r="O354" i="1" s="1" a="1"/>
  <c r="O354" i="1" s="1"/>
  <c r="M354" i="1"/>
  <c r="N354" i="1" s="1"/>
  <c r="O389" i="1" s="1" a="1"/>
  <c r="O389" i="1" s="1"/>
  <c r="M355" i="1"/>
  <c r="N355" i="1" s="1"/>
  <c r="O356" i="1" s="1" a="1"/>
  <c r="O356" i="1" s="1"/>
  <c r="M356" i="1"/>
  <c r="N356" i="1" s="1"/>
  <c r="O357" i="1" s="1" a="1"/>
  <c r="O357" i="1" s="1"/>
  <c r="M357" i="1"/>
  <c r="N357" i="1" s="1"/>
  <c r="O358" i="1" s="1" a="1"/>
  <c r="O358" i="1" s="1"/>
  <c r="M358" i="1"/>
  <c r="N358" i="1" s="1"/>
  <c r="O391" i="1" s="1" a="1"/>
  <c r="O391" i="1" s="1"/>
  <c r="M359" i="1"/>
  <c r="N359" i="1" s="1"/>
  <c r="O360" i="1" s="1" a="1"/>
  <c r="O360" i="1" s="1"/>
  <c r="M360" i="1"/>
  <c r="N360" i="1" s="1"/>
  <c r="O365" i="1" s="1" a="1"/>
  <c r="O365" i="1" s="1"/>
  <c r="M361" i="1"/>
  <c r="N361" i="1" s="1"/>
  <c r="O362" i="1" s="1" a="1"/>
  <c r="O362" i="1" s="1"/>
  <c r="M362" i="1"/>
  <c r="N362" i="1" s="1"/>
  <c r="O375" i="1" s="1" a="1"/>
  <c r="O375" i="1" s="1"/>
  <c r="M363" i="1"/>
  <c r="N363" i="1" s="1"/>
  <c r="O364" i="1" s="1" a="1"/>
  <c r="O364" i="1" s="1"/>
  <c r="M364" i="1"/>
  <c r="N364" i="1" s="1"/>
  <c r="O399" i="1" s="1" a="1"/>
  <c r="O399" i="1" s="1"/>
  <c r="M365" i="1"/>
  <c r="N365" i="1" s="1"/>
  <c r="O366" i="1" s="1" a="1"/>
  <c r="O366" i="1" s="1"/>
  <c r="M366" i="1"/>
  <c r="N366" i="1" s="1"/>
  <c r="O371" i="1" s="1" a="1"/>
  <c r="O371" i="1" s="1"/>
  <c r="M367" i="1"/>
  <c r="N367" i="1" s="1"/>
  <c r="O374" i="1" s="1" a="1"/>
  <c r="O374" i="1" s="1"/>
  <c r="M368" i="1"/>
  <c r="N368" i="1" s="1"/>
  <c r="O379" i="1" s="1" a="1"/>
  <c r="O379" i="1" s="1"/>
  <c r="M369" i="1"/>
  <c r="N369" i="1" s="1"/>
  <c r="O370" i="1" s="1" a="1"/>
  <c r="O370" i="1" s="1"/>
  <c r="M370" i="1"/>
  <c r="N370" i="1" s="1"/>
  <c r="O405" i="1" s="1" a="1"/>
  <c r="O405" i="1" s="1"/>
  <c r="M371" i="1"/>
  <c r="N371" i="1" s="1"/>
  <c r="O372" i="1" s="1" a="1"/>
  <c r="O372" i="1" s="1"/>
  <c r="M372" i="1"/>
  <c r="N372" i="1" s="1"/>
  <c r="O377" i="1" s="1" a="1"/>
  <c r="O377" i="1" s="1"/>
  <c r="M373" i="1"/>
  <c r="N373" i="1" s="1"/>
  <c r="O380" i="1" s="1" a="1"/>
  <c r="O380" i="1" s="1"/>
  <c r="M374" i="1"/>
  <c r="N374" i="1" s="1"/>
  <c r="O386" i="1" s="1" a="1"/>
  <c r="O386" i="1" s="1"/>
  <c r="M375" i="1"/>
  <c r="N375" i="1" s="1"/>
  <c r="O376" i="1" s="1" a="1"/>
  <c r="O376" i="1" s="1"/>
  <c r="M376" i="1"/>
  <c r="N376" i="1" s="1"/>
  <c r="O397" i="1" s="1" a="1"/>
  <c r="O397" i="1" s="1"/>
  <c r="M377" i="1"/>
  <c r="N377" i="1" s="1"/>
  <c r="O378" i="1" s="1" a="1"/>
  <c r="O378" i="1" s="1"/>
  <c r="M378" i="1"/>
  <c r="N378" i="1" s="1"/>
  <c r="O383" i="1" s="1" a="1"/>
  <c r="O383" i="1" s="1"/>
  <c r="M379" i="1"/>
  <c r="N379" i="1" s="1"/>
  <c r="O385" i="1" s="1" a="1"/>
  <c r="O385" i="1" s="1"/>
  <c r="M380" i="1"/>
  <c r="N380" i="1" s="1"/>
  <c r="O387" i="1" s="1" a="1"/>
  <c r="O387" i="1" s="1"/>
  <c r="M381" i="1"/>
  <c r="N381" i="1" s="1"/>
  <c r="O382" i="1" s="1" a="1"/>
  <c r="O382" i="1" s="1"/>
  <c r="M382" i="1"/>
  <c r="N382" i="1" s="1"/>
  <c r="O417" i="1" s="1" a="1"/>
  <c r="O417" i="1" s="1"/>
  <c r="M383" i="1"/>
  <c r="N383" i="1" s="1"/>
  <c r="O384" i="1" s="1" a="1"/>
  <c r="O384" i="1" s="1"/>
  <c r="M384" i="1"/>
  <c r="N384" i="1" s="1"/>
  <c r="O395" i="1" s="1" a="1"/>
  <c r="O395" i="1" s="1"/>
  <c r="M385" i="1"/>
  <c r="N385" i="1" s="1"/>
  <c r="O404" i="1" s="1" a="1"/>
  <c r="O404" i="1" s="1"/>
  <c r="M386" i="1"/>
  <c r="N386" i="1" s="1"/>
  <c r="O403" i="1" s="1" a="1"/>
  <c r="O403" i="1" s="1"/>
  <c r="M387" i="1"/>
  <c r="N387" i="1" s="1"/>
  <c r="O388" i="1" s="1" a="1"/>
  <c r="O388" i="1" s="1"/>
  <c r="M388" i="1"/>
  <c r="N388" i="1" s="1"/>
  <c r="O409" i="1" s="1" a="1"/>
  <c r="O409" i="1" s="1"/>
  <c r="M389" i="1"/>
  <c r="N389" i="1" s="1"/>
  <c r="O390" i="1" s="1" a="1"/>
  <c r="O390" i="1" s="1"/>
  <c r="M390" i="1"/>
  <c r="N390" i="1" s="1"/>
  <c r="O425" i="1" s="1" a="1"/>
  <c r="O425" i="1" s="1"/>
  <c r="M391" i="1"/>
  <c r="N391" i="1" s="1"/>
  <c r="O392" i="1" s="1" a="1"/>
  <c r="O392" i="1" s="1"/>
  <c r="M392" i="1"/>
  <c r="N392" i="1" s="1"/>
  <c r="O393" i="1" s="1" a="1"/>
  <c r="O393" i="1" s="1"/>
  <c r="M393" i="1"/>
  <c r="N393" i="1" s="1"/>
  <c r="O394" i="1" s="1" a="1"/>
  <c r="O394" i="1" s="1"/>
  <c r="M394" i="1"/>
  <c r="N394" i="1" s="1"/>
  <c r="O427" i="1" s="1" a="1"/>
  <c r="O427" i="1" s="1"/>
  <c r="M395" i="1"/>
  <c r="N395" i="1" s="1"/>
  <c r="O396" i="1" s="1" a="1"/>
  <c r="O396" i="1" s="1"/>
  <c r="M396" i="1"/>
  <c r="N396" i="1" s="1"/>
  <c r="O401" i="1" s="1" a="1"/>
  <c r="O401" i="1" s="1"/>
  <c r="M397" i="1"/>
  <c r="N397" i="1" s="1"/>
  <c r="O398" i="1" s="1" a="1"/>
  <c r="O398" i="1" s="1"/>
  <c r="M398" i="1"/>
  <c r="N398" i="1" s="1"/>
  <c r="O411" i="1" s="1" a="1"/>
  <c r="O411" i="1" s="1"/>
  <c r="M399" i="1"/>
  <c r="N399" i="1" s="1"/>
  <c r="O400" i="1" s="1" a="1"/>
  <c r="O400" i="1" s="1"/>
  <c r="M400" i="1"/>
  <c r="N400" i="1" s="1"/>
  <c r="O435" i="1" s="1" a="1"/>
  <c r="O435" i="1" s="1"/>
  <c r="M401" i="1"/>
  <c r="N401" i="1" s="1"/>
  <c r="O402" i="1" s="1" a="1"/>
  <c r="O402" i="1" s="1"/>
  <c r="M402" i="1"/>
  <c r="N402" i="1" s="1"/>
  <c r="O407" i="1" s="1" a="1"/>
  <c r="O407" i="1" s="1"/>
  <c r="M403" i="1"/>
  <c r="N403" i="1" s="1"/>
  <c r="O410" i="1" s="1" a="1"/>
  <c r="O410" i="1" s="1"/>
  <c r="M404" i="1"/>
  <c r="N404" i="1" s="1"/>
  <c r="O415" i="1" s="1" a="1"/>
  <c r="O415" i="1" s="1"/>
  <c r="M405" i="1"/>
  <c r="N405" i="1" s="1"/>
  <c r="O406" i="1" s="1" a="1"/>
  <c r="O406" i="1" s="1"/>
  <c r="M406" i="1"/>
  <c r="N406" i="1" s="1"/>
  <c r="O440" i="1" s="1" a="1"/>
  <c r="O440" i="1" s="1"/>
  <c r="M407" i="1"/>
  <c r="N407" i="1" s="1"/>
  <c r="O408" i="1" s="1" a="1"/>
  <c r="O408" i="1" s="1"/>
  <c r="M408" i="1"/>
  <c r="N408" i="1" s="1"/>
  <c r="O413" i="1" s="1" a="1"/>
  <c r="O413" i="1" s="1"/>
  <c r="M409" i="1"/>
  <c r="N409" i="1" s="1"/>
  <c r="O416" i="1" s="1" a="1"/>
  <c r="O416" i="1" s="1"/>
  <c r="M410" i="1"/>
  <c r="N410" i="1" s="1"/>
  <c r="O422" i="1" s="1" a="1"/>
  <c r="O422" i="1" s="1"/>
  <c r="M411" i="1"/>
  <c r="N411" i="1" s="1"/>
  <c r="O412" i="1" s="1" a="1"/>
  <c r="O412" i="1" s="1"/>
  <c r="M412" i="1"/>
  <c r="N412" i="1" s="1"/>
  <c r="O433" i="1" s="1" a="1"/>
  <c r="O433" i="1" s="1"/>
  <c r="M413" i="1"/>
  <c r="N413" i="1" s="1"/>
  <c r="O414" i="1" s="1" a="1"/>
  <c r="O414" i="1" s="1"/>
  <c r="M414" i="1"/>
  <c r="N414" i="1" s="1"/>
  <c r="O419" i="1" s="1" a="1"/>
  <c r="O419" i="1" s="1"/>
  <c r="M415" i="1"/>
  <c r="N415" i="1" s="1"/>
  <c r="O421" i="1" s="1" a="1"/>
  <c r="O421" i="1" s="1"/>
  <c r="M416" i="1"/>
  <c r="N416" i="1" s="1"/>
  <c r="O423" i="1" s="1" a="1"/>
  <c r="O423" i="1" s="1"/>
  <c r="M417" i="1"/>
  <c r="N417" i="1" s="1"/>
  <c r="O418" i="1" s="1" a="1"/>
  <c r="O418" i="1" s="1"/>
  <c r="M418" i="1"/>
  <c r="N418" i="1" s="1"/>
  <c r="O450" i="1" s="1" a="1"/>
  <c r="O450" i="1" s="1"/>
  <c r="M419" i="1"/>
  <c r="N419" i="1" s="1"/>
  <c r="O420" i="1" s="1" a="1"/>
  <c r="O420" i="1" s="1"/>
  <c r="M420" i="1"/>
  <c r="N420" i="1" s="1"/>
  <c r="O431" i="1" s="1" a="1"/>
  <c r="O431" i="1" s="1"/>
  <c r="M421" i="1"/>
  <c r="N421" i="1" s="1"/>
  <c r="O449" i="1" s="1" a="1"/>
  <c r="O449" i="1" s="1"/>
  <c r="M422" i="1"/>
  <c r="N422" i="1" s="1"/>
  <c r="O439" i="1" s="1" a="1"/>
  <c r="O439" i="1" s="1"/>
  <c r="M423" i="1"/>
  <c r="N423" i="1" s="1"/>
  <c r="O424" i="1" s="1" a="1"/>
  <c r="O424" i="1" s="1"/>
  <c r="M424" i="1"/>
  <c r="N424" i="1" s="1"/>
  <c r="O444" i="1" s="1" a="1"/>
  <c r="O444" i="1" s="1"/>
  <c r="M425" i="1"/>
  <c r="N425" i="1" s="1"/>
  <c r="O426" i="1" s="1" a="1"/>
  <c r="O426" i="1" s="1"/>
  <c r="M426" i="1"/>
  <c r="N426" i="1" s="1"/>
  <c r="O457" i="1" s="1" a="1"/>
  <c r="O457" i="1" s="1"/>
  <c r="M427" i="1"/>
  <c r="N427" i="1" s="1"/>
  <c r="O428" i="1" s="1" a="1"/>
  <c r="O428" i="1" s="1"/>
  <c r="M428" i="1"/>
  <c r="N428" i="1" s="1"/>
  <c r="O429" i="1" s="1" a="1"/>
  <c r="O429" i="1" s="1"/>
  <c r="M429" i="1"/>
  <c r="N429" i="1" s="1"/>
  <c r="O430" i="1" s="1" a="1"/>
  <c r="O430" i="1" s="1"/>
  <c r="M430" i="1"/>
  <c r="N430" i="1" s="1"/>
  <c r="O459" i="1" s="1" a="1"/>
  <c r="O459" i="1" s="1"/>
  <c r="M431" i="1"/>
  <c r="N431" i="1" s="1"/>
  <c r="O432" i="1" s="1" a="1"/>
  <c r="O432" i="1" s="1"/>
  <c r="M432" i="1"/>
  <c r="N432" i="1" s="1"/>
  <c r="O437" i="1" s="1" a="1"/>
  <c r="O437" i="1" s="1"/>
  <c r="M433" i="1"/>
  <c r="N433" i="1" s="1"/>
  <c r="O434" i="1" s="1" a="1"/>
  <c r="O434" i="1" s="1"/>
  <c r="M434" i="1"/>
  <c r="N434" i="1" s="1"/>
  <c r="O445" i="1" s="1" a="1"/>
  <c r="O445" i="1" s="1"/>
  <c r="M435" i="1"/>
  <c r="N435" i="1" s="1"/>
  <c r="O436" i="1" s="1" a="1"/>
  <c r="O436" i="1" s="1"/>
  <c r="M436" i="1"/>
  <c r="N436" i="1" s="1"/>
  <c r="M437" i="1"/>
  <c r="N437" i="1" s="1"/>
  <c r="O438" i="1" s="1" a="1"/>
  <c r="O438" i="1" s="1"/>
  <c r="M438" i="1"/>
  <c r="N438" i="1" s="1"/>
  <c r="O442" i="1" s="1" a="1"/>
  <c r="O442" i="1" s="1"/>
  <c r="M439" i="1"/>
  <c r="N439" i="1" s="1"/>
  <c r="O469" i="1" s="1" a="1"/>
  <c r="O469" i="1" s="1"/>
  <c r="M440" i="1"/>
  <c r="N440" i="1" s="1"/>
  <c r="O441" i="1" s="1" a="1"/>
  <c r="O441" i="1" s="1"/>
  <c r="M441" i="1"/>
  <c r="N441" i="1" s="1"/>
  <c r="O538" i="1" s="1" a="1"/>
  <c r="O538" i="1" s="1"/>
  <c r="M442" i="1"/>
  <c r="N442" i="1" s="1"/>
  <c r="O443" i="1" s="1" a="1"/>
  <c r="O443" i="1" s="1"/>
  <c r="M443" i="1"/>
  <c r="N443" i="1" s="1"/>
  <c r="O447" i="1" s="1" a="1"/>
  <c r="O447" i="1" s="1"/>
  <c r="M444" i="1"/>
  <c r="N444" i="1" s="1"/>
  <c r="O455" i="1" s="1" a="1"/>
  <c r="O455" i="1" s="1"/>
  <c r="M445" i="1"/>
  <c r="N445" i="1" s="1"/>
  <c r="O446" i="1" s="1" a="1"/>
  <c r="O446" i="1" s="1"/>
  <c r="M446" i="1"/>
  <c r="N446" i="1" s="1"/>
  <c r="O464" i="1" s="1" a="1"/>
  <c r="O464" i="1" s="1"/>
  <c r="M447" i="1"/>
  <c r="N447" i="1" s="1"/>
  <c r="O448" i="1" s="1" a="1"/>
  <c r="O448" i="1" s="1"/>
  <c r="M448" i="1"/>
  <c r="N448" i="1" s="1"/>
  <c r="O452" i="1" s="1" a="1"/>
  <c r="O452" i="1" s="1"/>
  <c r="M449" i="1"/>
  <c r="N449" i="1" s="1"/>
  <c r="O454" i="1" s="1" a="1"/>
  <c r="O454" i="1" s="1"/>
  <c r="M450" i="1"/>
  <c r="N450" i="1" s="1"/>
  <c r="O451" i="1" s="1" a="1"/>
  <c r="O451" i="1" s="1"/>
  <c r="M451" i="1"/>
  <c r="N451" i="1" s="1"/>
  <c r="O514" i="1" s="1" a="1"/>
  <c r="O514" i="1" s="1"/>
  <c r="M452" i="1"/>
  <c r="N452" i="1" s="1"/>
  <c r="O453" i="1" s="1" a="1"/>
  <c r="O453" i="1" s="1"/>
  <c r="M453" i="1"/>
  <c r="N453" i="1" s="1"/>
  <c r="O466" i="1" s="1" a="1"/>
  <c r="O466" i="1" s="1"/>
  <c r="M454" i="1"/>
  <c r="N454" i="1" s="1"/>
  <c r="O473" i="1" s="1" a="1"/>
  <c r="O473" i="1" s="1"/>
  <c r="M455" i="1"/>
  <c r="N455" i="1" s="1"/>
  <c r="O456" i="1" s="1" a="1"/>
  <c r="O456" i="1" s="1"/>
  <c r="M456" i="1"/>
  <c r="N456" i="1" s="1"/>
  <c r="O468" i="1" s="1" a="1"/>
  <c r="O468" i="1" s="1"/>
  <c r="M457" i="1"/>
  <c r="N457" i="1" s="1"/>
  <c r="O458" i="1" s="1" a="1"/>
  <c r="O458" i="1" s="1"/>
  <c r="M458" i="1"/>
  <c r="N458" i="1" s="1"/>
  <c r="O481" i="1" s="1" a="1"/>
  <c r="O481" i="1" s="1"/>
  <c r="M459" i="1"/>
  <c r="N459" i="1" s="1"/>
  <c r="O460" i="1" s="1" a="1"/>
  <c r="O460" i="1" s="1"/>
  <c r="M460" i="1"/>
  <c r="N460" i="1" s="1"/>
  <c r="O461" i="1" s="1" a="1"/>
  <c r="O461" i="1" s="1"/>
  <c r="M461" i="1"/>
  <c r="N461" i="1" s="1"/>
  <c r="O462" i="1" s="1" a="1"/>
  <c r="O462" i="1" s="1"/>
  <c r="M462" i="1"/>
  <c r="N462" i="1" s="1"/>
  <c r="O483" i="1" s="1" a="1"/>
  <c r="O483" i="1" s="1"/>
  <c r="M463" i="1"/>
  <c r="N463" i="1" s="1"/>
  <c r="M464" i="1"/>
  <c r="N464" i="1" s="1"/>
  <c r="O465" i="1" s="1" a="1"/>
  <c r="O465" i="1" s="1"/>
  <c r="M465" i="1"/>
  <c r="N465" i="1" s="1"/>
  <c r="O470" i="1" s="1" a="1"/>
  <c r="O470" i="1" s="1"/>
  <c r="M466" i="1"/>
  <c r="N466" i="1" s="1"/>
  <c r="O467" i="1" s="1" a="1"/>
  <c r="O467" i="1" s="1"/>
  <c r="M467" i="1"/>
  <c r="N467" i="1" s="1"/>
  <c r="O472" i="1" s="1" a="1"/>
  <c r="O472" i="1" s="1"/>
  <c r="M468" i="1"/>
  <c r="N468" i="1" s="1"/>
  <c r="O475" i="1" s="1" a="1"/>
  <c r="O475" i="1" s="1"/>
  <c r="M469" i="1"/>
  <c r="N469" i="1" s="1"/>
  <c r="O536" i="1" s="1" a="1"/>
  <c r="O536" i="1" s="1"/>
  <c r="M470" i="1"/>
  <c r="N470" i="1" s="1"/>
  <c r="O471" i="1" s="1" a="1"/>
  <c r="O471" i="1" s="1"/>
  <c r="M471" i="1"/>
  <c r="N471" i="1" s="1"/>
  <c r="O488" i="1" s="1" a="1"/>
  <c r="O488" i="1" s="1"/>
  <c r="M472" i="1"/>
  <c r="N472" i="1" s="1"/>
  <c r="O476" i="1" s="1" a="1"/>
  <c r="O476" i="1" s="1"/>
  <c r="M473" i="1"/>
  <c r="N473" i="1" s="1"/>
  <c r="O478" i="1" s="1" a="1"/>
  <c r="O478" i="1" s="1"/>
  <c r="M474" i="1"/>
  <c r="N474" i="1" s="1"/>
  <c r="M475" i="1"/>
  <c r="N475" i="1" s="1"/>
  <c r="O479" i="1" s="1" a="1"/>
  <c r="O479" i="1" s="1"/>
  <c r="M476" i="1"/>
  <c r="N476" i="1" s="1"/>
  <c r="O477" i="1" s="1" a="1"/>
  <c r="O477" i="1" s="1"/>
  <c r="M477" i="1"/>
  <c r="N477" i="1" s="1"/>
  <c r="O487" i="1" s="1" a="1"/>
  <c r="O487" i="1" s="1"/>
  <c r="M478" i="1"/>
  <c r="N478" i="1" s="1"/>
  <c r="O490" i="1" s="1" a="1"/>
  <c r="O490" i="1" s="1"/>
  <c r="M479" i="1"/>
  <c r="N479" i="1" s="1"/>
  <c r="O480" i="1" s="1" a="1"/>
  <c r="O480" i="1" s="1"/>
  <c r="M480" i="1"/>
  <c r="N480" i="1" s="1"/>
  <c r="O513" i="1" s="1" a="1"/>
  <c r="O513" i="1" s="1"/>
  <c r="M481" i="1"/>
  <c r="N481" i="1" s="1"/>
  <c r="O482" i="1" s="1" a="1"/>
  <c r="O482" i="1" s="1"/>
  <c r="M482" i="1"/>
  <c r="N482" i="1" s="1"/>
  <c r="O522" i="1" s="1" a="1"/>
  <c r="O522" i="1" s="1"/>
  <c r="M483" i="1"/>
  <c r="N483" i="1" s="1"/>
  <c r="O484" i="1" s="1" a="1"/>
  <c r="O484" i="1" s="1"/>
  <c r="M484" i="1"/>
  <c r="N484" i="1" s="1"/>
  <c r="O485" i="1" s="1" a="1"/>
  <c r="O485" i="1" s="1"/>
  <c r="M485" i="1"/>
  <c r="N485" i="1" s="1"/>
  <c r="O486" i="1" s="1" a="1"/>
  <c r="O486" i="1" s="1"/>
  <c r="M486" i="1"/>
  <c r="N486" i="1" s="1"/>
  <c r="O524" i="1" s="1" a="1"/>
  <c r="O524" i="1" s="1"/>
  <c r="M487" i="1"/>
  <c r="N487" i="1" s="1"/>
  <c r="O494" i="1" s="1" a="1"/>
  <c r="O494" i="1" s="1"/>
  <c r="M488" i="1"/>
  <c r="N488" i="1" s="1"/>
  <c r="O489" i="1" s="1" a="1"/>
  <c r="O489" i="1" s="1"/>
  <c r="M489" i="1"/>
  <c r="N489" i="1" s="1"/>
  <c r="O507" i="1" s="1" a="1"/>
  <c r="O507" i="1" s="1"/>
  <c r="M490" i="1"/>
  <c r="N490" i="1" s="1"/>
  <c r="O498" i="1" s="1" a="1"/>
  <c r="O498" i="1" s="1"/>
  <c r="M491" i="1"/>
  <c r="N491" i="1" s="1"/>
  <c r="O492" i="1" s="1" a="1"/>
  <c r="O492" i="1" s="1"/>
  <c r="M492" i="1"/>
  <c r="N492" i="1" s="1"/>
  <c r="O493" i="1" s="1" a="1"/>
  <c r="O493" i="1" s="1"/>
  <c r="M493" i="1"/>
  <c r="N493" i="1" s="1"/>
  <c r="O495" i="1" s="1" a="1"/>
  <c r="O495" i="1" s="1"/>
  <c r="M494" i="1"/>
  <c r="N494" i="1" s="1"/>
  <c r="O502" i="1" s="1" a="1"/>
  <c r="O502" i="1" s="1"/>
  <c r="M495" i="1"/>
  <c r="N495" i="1" s="1"/>
  <c r="O496" i="1" s="1" a="1"/>
  <c r="O496" i="1" s="1"/>
  <c r="M496" i="1"/>
  <c r="N496" i="1" s="1"/>
  <c r="O497" i="1" s="1" a="1"/>
  <c r="O497" i="1" s="1"/>
  <c r="M497" i="1"/>
  <c r="N497" i="1" s="1"/>
  <c r="O503" i="1" s="1" a="1"/>
  <c r="O503" i="1" s="1"/>
  <c r="M498" i="1"/>
  <c r="N498" i="1" s="1"/>
  <c r="O499" i="1" s="1" a="1"/>
  <c r="O499" i="1" s="1"/>
  <c r="M499" i="1"/>
  <c r="N499" i="1" s="1"/>
  <c r="O500" i="1" s="1" a="1"/>
  <c r="O500" i="1" s="1"/>
  <c r="M500" i="1"/>
  <c r="N500" i="1" s="1"/>
  <c r="O501" i="1" s="1" a="1"/>
  <c r="O501" i="1" s="1"/>
  <c r="M501" i="1"/>
  <c r="N501" i="1" s="1"/>
  <c r="O506" i="1" s="1" a="1"/>
  <c r="O506" i="1" s="1"/>
  <c r="M502" i="1"/>
  <c r="N502" i="1" s="1"/>
  <c r="O510" i="1" s="1" a="1"/>
  <c r="O510" i="1" s="1"/>
  <c r="M503" i="1"/>
  <c r="N503" i="1" s="1"/>
  <c r="O504" i="1" s="1" a="1"/>
  <c r="O504" i="1" s="1"/>
  <c r="M504" i="1"/>
  <c r="N504" i="1" s="1"/>
  <c r="O505" i="1" s="1" a="1"/>
  <c r="O505" i="1" s="1"/>
  <c r="M505" i="1"/>
  <c r="N505" i="1" s="1"/>
  <c r="O516" i="1" s="1" a="1"/>
  <c r="O516" i="1" s="1"/>
  <c r="M506" i="1"/>
  <c r="N506" i="1" s="1"/>
  <c r="O512" i="1" s="1" a="1"/>
  <c r="O512" i="1" s="1"/>
  <c r="M507" i="1"/>
  <c r="N507" i="1" s="1"/>
  <c r="O508" i="1" s="1" a="1"/>
  <c r="O508" i="1" s="1"/>
  <c r="M508" i="1"/>
  <c r="N508" i="1" s="1"/>
  <c r="O509" i="1" s="1" a="1"/>
  <c r="O509" i="1" s="1"/>
  <c r="M509" i="1"/>
  <c r="N509" i="1" s="1"/>
  <c r="O528" i="1" s="1" a="1"/>
  <c r="O528" i="1" s="1"/>
  <c r="M510" i="1"/>
  <c r="N510" i="1" s="1"/>
  <c r="O511" i="1" s="1" a="1"/>
  <c r="O511" i="1" s="1"/>
  <c r="M511" i="1"/>
  <c r="N511" i="1" s="1"/>
  <c r="O534" i="1" s="1" a="1"/>
  <c r="O534" i="1" s="1"/>
  <c r="M512" i="1"/>
  <c r="N512" i="1" s="1"/>
  <c r="O519" i="1" s="1" a="1"/>
  <c r="O519" i="1" s="1"/>
  <c r="M513" i="1"/>
  <c r="N513" i="1" s="1"/>
  <c r="O602" i="1" s="1" a="1"/>
  <c r="O602" i="1" s="1"/>
  <c r="M514" i="1"/>
  <c r="N514" i="1" s="1"/>
  <c r="O515" i="1" s="1" a="1"/>
  <c r="O515" i="1" s="1"/>
  <c r="M515" i="1"/>
  <c r="N515" i="1" s="1"/>
  <c r="M516" i="1"/>
  <c r="N516" i="1" s="1"/>
  <c r="O517" i="1" s="1" a="1"/>
  <c r="O517" i="1" s="1"/>
  <c r="M517" i="1"/>
  <c r="N517" i="1" s="1"/>
  <c r="O518" i="1" s="1" a="1"/>
  <c r="O518" i="1" s="1"/>
  <c r="M518" i="1"/>
  <c r="N518" i="1" s="1"/>
  <c r="O540" i="1" s="1" a="1"/>
  <c r="O540" i="1" s="1"/>
  <c r="M519" i="1"/>
  <c r="N519" i="1" s="1"/>
  <c r="O530" i="1" s="1" a="1"/>
  <c r="O530" i="1" s="1"/>
  <c r="M520" i="1"/>
  <c r="N520" i="1" s="1"/>
  <c r="O521" i="1" s="1" a="1"/>
  <c r="O521" i="1" s="1"/>
  <c r="M521" i="1"/>
  <c r="N521" i="1" s="1"/>
  <c r="M522" i="1"/>
  <c r="N522" i="1" s="1"/>
  <c r="O523" i="1" s="1" a="1"/>
  <c r="O523" i="1" s="1"/>
  <c r="M523" i="1"/>
  <c r="N523" i="1" s="1"/>
  <c r="O558" i="1" s="1" a="1"/>
  <c r="O558" i="1" s="1"/>
  <c r="M524" i="1"/>
  <c r="N524" i="1" s="1"/>
  <c r="O525" i="1" s="1" a="1"/>
  <c r="O525" i="1" s="1"/>
  <c r="M525" i="1"/>
  <c r="N525" i="1" s="1"/>
  <c r="O526" i="1" s="1" a="1"/>
  <c r="O526" i="1" s="1"/>
  <c r="M526" i="1"/>
  <c r="N526" i="1" s="1"/>
  <c r="O527" i="1" s="1" a="1"/>
  <c r="O527" i="1" s="1"/>
  <c r="M527" i="1"/>
  <c r="N527" i="1" s="1"/>
  <c r="O560" i="1" s="1" a="1"/>
  <c r="O560" i="1" s="1"/>
  <c r="M528" i="1"/>
  <c r="N528" i="1" s="1"/>
  <c r="O529" i="1" s="1" a="1"/>
  <c r="O529" i="1" s="1"/>
  <c r="M529" i="1"/>
  <c r="N529" i="1" s="1"/>
  <c r="O544" i="1" s="1" a="1"/>
  <c r="O544" i="1" s="1"/>
  <c r="M530" i="1"/>
  <c r="N530" i="1" s="1"/>
  <c r="O537" i="1" s="1" a="1"/>
  <c r="O537" i="1" s="1"/>
  <c r="M531" i="1"/>
  <c r="N531" i="1" s="1"/>
  <c r="O532" i="1" s="1" a="1"/>
  <c r="O532" i="1" s="1"/>
  <c r="M532" i="1"/>
  <c r="N532" i="1" s="1"/>
  <c r="O533" i="1" s="1" a="1"/>
  <c r="O533" i="1" s="1"/>
  <c r="M533" i="1"/>
  <c r="N533" i="1" s="1"/>
  <c r="M534" i="1"/>
  <c r="N534" i="1" s="1"/>
  <c r="O535" i="1" s="1" a="1"/>
  <c r="O535" i="1" s="1"/>
  <c r="M535" i="1"/>
  <c r="N535" i="1" s="1"/>
  <c r="O579" i="1" s="1" a="1"/>
  <c r="O579" i="1" s="1"/>
  <c r="M536" i="1"/>
  <c r="N536" i="1" s="1"/>
  <c r="O582" i="1" s="1" a="1"/>
  <c r="O582" i="1" s="1"/>
  <c r="M537" i="1"/>
  <c r="N537" i="1" s="1"/>
  <c r="O581" i="1" s="1" a="1"/>
  <c r="O581" i="1" s="1"/>
  <c r="M538" i="1"/>
  <c r="N538" i="1" s="1"/>
  <c r="O539" i="1" s="1" a="1"/>
  <c r="O539" i="1" s="1"/>
  <c r="M539" i="1"/>
  <c r="N539" i="1" s="1"/>
  <c r="M540" i="1"/>
  <c r="N540" i="1" s="1"/>
  <c r="O541" i="1" s="1" a="1"/>
  <c r="O541" i="1" s="1"/>
  <c r="M541" i="1"/>
  <c r="N541" i="1" s="1"/>
  <c r="O542" i="1" s="1" a="1"/>
  <c r="O542" i="1" s="1"/>
  <c r="M542" i="1"/>
  <c r="N542" i="1" s="1"/>
  <c r="O543" i="1" s="1" a="1"/>
  <c r="O543" i="1" s="1"/>
  <c r="M543" i="1"/>
  <c r="N543" i="1" s="1"/>
  <c r="M544" i="1"/>
  <c r="N544" i="1" s="1"/>
  <c r="O545" i="1" s="1" a="1"/>
  <c r="O545" i="1" s="1"/>
  <c r="M545" i="1"/>
  <c r="N545" i="1" s="1"/>
  <c r="O588" i="1" s="1" a="1"/>
  <c r="O588" i="1" s="1"/>
  <c r="M546" i="1"/>
  <c r="N546" i="1" s="1"/>
  <c r="O547" i="1" s="1" a="1"/>
  <c r="O547" i="1" s="1"/>
  <c r="M547" i="1"/>
  <c r="N547" i="1" s="1"/>
  <c r="O548" i="1" s="1" a="1"/>
  <c r="O548" i="1" s="1"/>
  <c r="M548" i="1"/>
  <c r="N548" i="1" s="1"/>
  <c r="O552" i="1" s="1" a="1"/>
  <c r="O552" i="1" s="1"/>
  <c r="M549" i="1"/>
  <c r="N549" i="1" s="1"/>
  <c r="O550" i="1" s="1" a="1"/>
  <c r="O550" i="1" s="1"/>
  <c r="M550" i="1"/>
  <c r="N550" i="1" s="1"/>
  <c r="O551" i="1" s="1" a="1"/>
  <c r="O551" i="1" s="1"/>
  <c r="M551" i="1"/>
  <c r="N551" i="1" s="1"/>
  <c r="O555" i="1" s="1" a="1"/>
  <c r="O555" i="1" s="1"/>
  <c r="M552" i="1"/>
  <c r="N552" i="1" s="1"/>
  <c r="O553" i="1" s="1" a="1"/>
  <c r="O553" i="1" s="1"/>
  <c r="M553" i="1"/>
  <c r="N553" i="1" s="1"/>
  <c r="O554" i="1" s="1" a="1"/>
  <c r="O554" i="1" s="1"/>
  <c r="M554" i="1"/>
  <c r="N554" i="1" s="1"/>
  <c r="M555" i="1"/>
  <c r="N555" i="1" s="1"/>
  <c r="O556" i="1" s="1" a="1"/>
  <c r="O556" i="1" s="1"/>
  <c r="M556" i="1"/>
  <c r="N556" i="1" s="1"/>
  <c r="O557" i="1" s="1" a="1"/>
  <c r="O557" i="1" s="1"/>
  <c r="M557" i="1"/>
  <c r="N557" i="1" s="1"/>
  <c r="O576" i="1" s="1" a="1"/>
  <c r="O576" i="1" s="1"/>
  <c r="M558" i="1"/>
  <c r="N558" i="1" s="1"/>
  <c r="O559" i="1" s="1" a="1"/>
  <c r="O559" i="1" s="1"/>
  <c r="M559" i="1"/>
  <c r="N559" i="1" s="1"/>
  <c r="M560" i="1"/>
  <c r="N560" i="1" s="1"/>
  <c r="O561" i="1" s="1" a="1"/>
  <c r="O561" i="1" s="1"/>
  <c r="M561" i="1"/>
  <c r="N561" i="1" s="1"/>
  <c r="O562" i="1" s="1" a="1"/>
  <c r="O562" i="1" s="1"/>
  <c r="M562" i="1"/>
  <c r="N562" i="1" s="1"/>
  <c r="O563" i="1" s="1" a="1"/>
  <c r="O563" i="1" s="1"/>
  <c r="M563" i="1"/>
  <c r="N563" i="1" s="1"/>
  <c r="M564" i="1"/>
  <c r="N564" i="1" s="1"/>
  <c r="O565" i="1" s="1" a="1"/>
  <c r="O565" i="1" s="1"/>
  <c r="M565" i="1"/>
  <c r="N565" i="1" s="1"/>
  <c r="O566" i="1" s="1" a="1"/>
  <c r="O566" i="1" s="1"/>
  <c r="M566" i="1"/>
  <c r="N566" i="1" s="1"/>
  <c r="O567" i="1" s="1" a="1"/>
  <c r="O567" i="1" s="1"/>
  <c r="M567" i="1"/>
  <c r="N567" i="1" s="1"/>
  <c r="O568" i="1" s="1" a="1"/>
  <c r="O568" i="1" s="1"/>
  <c r="M568" i="1"/>
  <c r="N568" i="1" s="1"/>
  <c r="O569" i="1" s="1" a="1"/>
  <c r="O569" i="1" s="1"/>
  <c r="M569" i="1"/>
  <c r="N569" i="1" s="1"/>
  <c r="M570" i="1"/>
  <c r="N570" i="1" s="1"/>
  <c r="O571" i="1" s="1" a="1"/>
  <c r="O571" i="1" s="1"/>
  <c r="M571" i="1"/>
  <c r="N571" i="1" s="1"/>
  <c r="O572" i="1" s="1" a="1"/>
  <c r="O572" i="1" s="1"/>
  <c r="M572" i="1"/>
  <c r="N572" i="1" s="1"/>
  <c r="O573" i="1" s="1" a="1"/>
  <c r="O573" i="1" s="1"/>
  <c r="M573" i="1"/>
  <c r="N573" i="1" s="1"/>
  <c r="O574" i="1" s="1" a="1"/>
  <c r="O574" i="1" s="1"/>
  <c r="M574" i="1"/>
  <c r="N574" i="1" s="1"/>
  <c r="O575" i="1" s="1" a="1"/>
  <c r="O575" i="1" s="1"/>
  <c r="M575" i="1"/>
  <c r="N575" i="1" s="1"/>
  <c r="M576" i="1"/>
  <c r="N576" i="1" s="1"/>
  <c r="O577" i="1" s="1" a="1"/>
  <c r="O577" i="1" s="1"/>
  <c r="M577" i="1"/>
  <c r="N577" i="1" s="1"/>
  <c r="O578" i="1" s="1" a="1"/>
  <c r="O578" i="1" s="1"/>
  <c r="M578" i="1"/>
  <c r="N578" i="1" s="1"/>
  <c r="O583" i="1" s="1" a="1"/>
  <c r="O583" i="1" s="1"/>
  <c r="M579" i="1"/>
  <c r="N579" i="1" s="1"/>
  <c r="O580" i="1" s="1" a="1"/>
  <c r="O580" i="1" s="1"/>
  <c r="M580" i="1"/>
  <c r="N580" i="1" s="1"/>
  <c r="O586" i="1" s="1" a="1"/>
  <c r="O586" i="1" s="1"/>
  <c r="M581" i="1"/>
  <c r="N581" i="1" s="1"/>
  <c r="O596" i="1" s="1" a="1"/>
  <c r="O596" i="1" s="1"/>
  <c r="M582" i="1"/>
  <c r="N582" i="1" s="1"/>
  <c r="O595" i="1" s="1" a="1"/>
  <c r="O595" i="1" s="1"/>
  <c r="M583" i="1"/>
  <c r="N583" i="1" s="1"/>
  <c r="O584" i="1" s="1" a="1"/>
  <c r="O584" i="1" s="1"/>
  <c r="M584" i="1"/>
  <c r="N584" i="1" s="1"/>
  <c r="O585" i="1" s="1" a="1"/>
  <c r="O585" i="1" s="1"/>
  <c r="M585" i="1"/>
  <c r="N585" i="1" s="1"/>
  <c r="O590" i="1" s="1" a="1"/>
  <c r="O590" i="1" s="1"/>
  <c r="M586" i="1"/>
  <c r="N586" i="1" s="1"/>
  <c r="O587" i="1" s="1" a="1"/>
  <c r="O587" i="1" s="1"/>
  <c r="M587" i="1"/>
  <c r="N587" i="1" s="1"/>
  <c r="O593" i="1" s="1" a="1"/>
  <c r="O593" i="1" s="1"/>
  <c r="M588" i="1"/>
  <c r="N588" i="1" s="1"/>
  <c r="O589" i="1" s="1" a="1"/>
  <c r="O589" i="1" s="1"/>
  <c r="M589" i="1"/>
  <c r="N589" i="1" s="1"/>
  <c r="M590" i="1"/>
  <c r="N590" i="1" s="1"/>
  <c r="O591" i="1" s="1" a="1"/>
  <c r="O591" i="1" s="1"/>
  <c r="M591" i="1"/>
  <c r="N591" i="1" s="1"/>
  <c r="O592" i="1" s="1" a="1"/>
  <c r="O592" i="1" s="1"/>
  <c r="M592" i="1"/>
  <c r="N592" i="1" s="1"/>
  <c r="O597" i="1" s="1" a="1"/>
  <c r="O597" i="1" s="1"/>
  <c r="M593" i="1"/>
  <c r="N593" i="1" s="1"/>
  <c r="O594" i="1" s="1" a="1"/>
  <c r="O594" i="1" s="1"/>
  <c r="M594" i="1"/>
  <c r="N594" i="1" s="1"/>
  <c r="O600" i="1" s="1" a="1"/>
  <c r="O600" i="1" s="1"/>
  <c r="M595" i="1"/>
  <c r="N595" i="1" s="1"/>
  <c r="O603" i="1" s="1" a="1"/>
  <c r="O603" i="1" s="1"/>
  <c r="M596" i="1"/>
  <c r="N596" i="1" s="1"/>
  <c r="O609" i="1" s="1" a="1"/>
  <c r="O609" i="1" s="1"/>
  <c r="M597" i="1"/>
  <c r="N597" i="1" s="1"/>
  <c r="O598" i="1" s="1" a="1"/>
  <c r="O598" i="1" s="1"/>
  <c r="M598" i="1"/>
  <c r="N598" i="1" s="1"/>
  <c r="O599" i="1" s="1" a="1"/>
  <c r="O599" i="1" s="1"/>
  <c r="M599" i="1"/>
  <c r="N599" i="1" s="1"/>
  <c r="O604" i="1" s="1" a="1"/>
  <c r="O604" i="1" s="1"/>
  <c r="M600" i="1"/>
  <c r="N600" i="1" s="1"/>
  <c r="O601" i="1" s="1" a="1"/>
  <c r="O601" i="1" s="1"/>
  <c r="M601" i="1"/>
  <c r="N601" i="1" s="1"/>
  <c r="O607" i="1" s="1" a="1"/>
  <c r="O607" i="1" s="1"/>
  <c r="M602" i="1"/>
  <c r="N602" i="1" s="1"/>
  <c r="O610" i="1" s="1" a="1"/>
  <c r="O610" i="1" s="1"/>
  <c r="M603" i="1"/>
  <c r="N603" i="1" s="1"/>
  <c r="M604" i="1"/>
  <c r="N604" i="1" s="1"/>
  <c r="O605" i="1" s="1" a="1"/>
  <c r="O605" i="1" s="1"/>
  <c r="M605" i="1"/>
  <c r="N605" i="1" s="1"/>
  <c r="O606" i="1" s="1" a="1"/>
  <c r="O606" i="1" s="1"/>
  <c r="M606" i="1"/>
  <c r="N606" i="1" s="1"/>
  <c r="O611" i="1" s="1" a="1"/>
  <c r="O611" i="1" s="1"/>
  <c r="M607" i="1"/>
  <c r="N607" i="1" s="1"/>
  <c r="O608" i="1" s="1" a="1"/>
  <c r="O608" i="1" s="1"/>
  <c r="M608" i="1"/>
  <c r="N608" i="1" s="1"/>
  <c r="M609" i="1"/>
  <c r="N609" i="1" s="1"/>
  <c r="M610" i="1"/>
  <c r="N610" i="1" s="1"/>
  <c r="M611" i="1"/>
  <c r="N611" i="1" s="1"/>
  <c r="O612" i="1" s="1" a="1"/>
  <c r="O612" i="1" s="1"/>
  <c r="M612" i="1"/>
  <c r="N612" i="1" s="1"/>
  <c r="O613" i="1" s="1" a="1"/>
  <c r="O613" i="1" s="1"/>
  <c r="M613" i="1"/>
  <c r="N613" i="1" s="1"/>
  <c r="B4" i="5"/>
  <c r="B3" i="5"/>
  <c r="B32" i="5" l="1"/>
  <c r="B5" i="5"/>
  <c r="B16" i="5"/>
  <c r="B21" i="5"/>
  <c r="B54" i="5"/>
  <c r="B15" i="5"/>
  <c r="B17" i="5"/>
  <c r="B34" i="5"/>
  <c r="B12" i="5"/>
  <c r="B22" i="5"/>
  <c r="B49" i="5"/>
  <c r="B52" i="5"/>
  <c r="B33" i="5"/>
  <c r="B14" i="5"/>
  <c r="B20" i="5"/>
  <c r="B30" i="5"/>
  <c r="B50" i="5"/>
  <c r="B13" i="5"/>
  <c r="B18" i="5"/>
  <c r="B27" i="5"/>
  <c r="B40" i="5"/>
  <c r="B42" i="5"/>
  <c r="B24" i="5"/>
  <c r="B23" i="5"/>
  <c r="B53" i="5"/>
  <c r="B39" i="5"/>
  <c r="B41" i="5"/>
  <c r="B19" i="5"/>
  <c r="B48" i="5"/>
  <c r="B25" i="5"/>
  <c r="B51" i="5"/>
  <c r="B28" i="5"/>
  <c r="B26" i="5"/>
  <c r="B43" i="5"/>
  <c r="B29" i="5"/>
  <c r="B38" i="5" l="1"/>
  <c r="B8" i="5"/>
  <c r="B7" i="5"/>
  <c r="B47" i="5"/>
  <c r="B6" i="5"/>
  <c r="B3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<sst xmlns="http://schemas.openxmlformats.org/spreadsheetml/2006/main" count="7803" uniqueCount="290">
  <si>
    <t>Date</t>
  </si>
  <si>
    <t>Day</t>
  </si>
  <si>
    <t>Lecture_No</t>
  </si>
  <si>
    <t>Start_Time</t>
  </si>
  <si>
    <t>End_Time</t>
  </si>
  <si>
    <t>Subject</t>
  </si>
  <si>
    <t>Faculty_ID</t>
  </si>
  <si>
    <t>Semester</t>
  </si>
  <si>
    <t>Branch</t>
  </si>
  <si>
    <t>Section</t>
  </si>
  <si>
    <t>Classroom</t>
  </si>
  <si>
    <t>Total_Students</t>
  </si>
  <si>
    <t>Present</t>
  </si>
  <si>
    <t>Attendance_Percentage</t>
  </si>
  <si>
    <t>Previous_Lecture_Attendance</t>
  </si>
  <si>
    <t>Gap_Since_Previous_Lecture</t>
  </si>
  <si>
    <t>Practical_Theory</t>
  </si>
  <si>
    <t>Test_Week</t>
  </si>
  <si>
    <t>Assignment_Due</t>
  </si>
  <si>
    <t>Holiday_Near</t>
  </si>
  <si>
    <t>Weather</t>
  </si>
  <si>
    <t>Special_Event</t>
  </si>
  <si>
    <t>Faculty_Experience</t>
  </si>
  <si>
    <t>Week_Number</t>
  </si>
  <si>
    <t>Day_of_Semester</t>
  </si>
  <si>
    <t>Time_of_Day</t>
  </si>
  <si>
    <t>Monday</t>
  </si>
  <si>
    <t>Soft Skill</t>
  </si>
  <si>
    <t>SDa</t>
  </si>
  <si>
    <t>III</t>
  </si>
  <si>
    <t>MCA</t>
  </si>
  <si>
    <t>A</t>
  </si>
  <si>
    <t>Seminar Hall</t>
  </si>
  <si>
    <t>Theory</t>
  </si>
  <si>
    <t>Yes</t>
  </si>
  <si>
    <t>Morning</t>
  </si>
  <si>
    <t>Guest Session: Generative AI Development - Opportunities for the Future</t>
  </si>
  <si>
    <t>AG</t>
  </si>
  <si>
    <t>Afternoon</t>
  </si>
  <si>
    <t>Tuesday</t>
  </si>
  <si>
    <t>No</t>
  </si>
  <si>
    <t>CI/CD Session</t>
  </si>
  <si>
    <t>Lab</t>
  </si>
  <si>
    <t>Practical</t>
  </si>
  <si>
    <t>Wednesday</t>
  </si>
  <si>
    <t>Thursday</t>
  </si>
  <si>
    <t>Friday</t>
  </si>
  <si>
    <t>Saturday</t>
  </si>
  <si>
    <t>Soft Skill (Examination)</t>
  </si>
  <si>
    <t>Examination</t>
  </si>
  <si>
    <t>MAD (Mobile Application Development)</t>
  </si>
  <si>
    <t>OL</t>
  </si>
  <si>
    <t>Computer Lab</t>
  </si>
  <si>
    <t>Innovation and Entrepreneurship Development</t>
  </si>
  <si>
    <t>JSP</t>
  </si>
  <si>
    <t>STQA Practical</t>
  </si>
  <si>
    <t>DPY</t>
  </si>
  <si>
    <t>Principles of Cloud Management and Security</t>
  </si>
  <si>
    <t>SDM</t>
  </si>
  <si>
    <t>Data Science &amp; Machine Learning</t>
  </si>
  <si>
    <t>MLK</t>
  </si>
  <si>
    <t>DS &amp; ML Practical</t>
  </si>
  <si>
    <t>Software Testing and Quality Assurance</t>
  </si>
  <si>
    <t>Industry Readiness Program</t>
  </si>
  <si>
    <t>VSN</t>
  </si>
  <si>
    <t>MAD Practical</t>
  </si>
  <si>
    <t>Mini Project</t>
  </si>
  <si>
    <t>MPS</t>
  </si>
  <si>
    <t>SA</t>
  </si>
  <si>
    <t>Guest Lecture: HR Interview</t>
  </si>
  <si>
    <t>PB</t>
  </si>
  <si>
    <t>KSD</t>
  </si>
  <si>
    <t>Talenlio ERP Hands-on (Placement Drive Enrollment)</t>
  </si>
  <si>
    <t>SP</t>
  </si>
  <si>
    <t>Selenium (Hands-on)</t>
  </si>
  <si>
    <t>KP</t>
  </si>
  <si>
    <t>Computer Lab, 4th Floor</t>
  </si>
  <si>
    <t>AAB</t>
  </si>
  <si>
    <t>DSML Lab</t>
  </si>
  <si>
    <t>AWS Training</t>
  </si>
  <si>
    <t>AWS Hands-on Training - MAD</t>
  </si>
  <si>
    <t>AWS Session</t>
  </si>
  <si>
    <t>AWS Hands-on Training - DSML</t>
  </si>
  <si>
    <t>AWS Hands-on Training - STQA</t>
  </si>
  <si>
    <t>B</t>
  </si>
  <si>
    <t>Column_Name</t>
  </si>
  <si>
    <t>Description</t>
  </si>
  <si>
    <t>Data_Type</t>
  </si>
  <si>
    <t>Example</t>
  </si>
  <si>
    <t>Formula/Source</t>
  </si>
  <si>
    <t>Exact date of the lecture</t>
  </si>
  <si>
    <t>15-06-2026</t>
  </si>
  <si>
    <t>Extracted from timetable/WhatsApp source</t>
  </si>
  <si>
    <t>Day of week, derived from Date</t>
  </si>
  <si>
    <t>Text</t>
  </si>
  <si>
    <t>Derived using TEXT(Date,"dddd") logic, written as static text</t>
  </si>
  <si>
    <t>Sequential lecture slot number within that day (same for both sections)</t>
  </si>
  <si>
    <t>Integer</t>
  </si>
  <si>
    <t>1</t>
  </si>
  <si>
    <t>Computed from session order that day</t>
  </si>
  <si>
    <t>Lecture start time</t>
  </si>
  <si>
    <t>Time</t>
  </si>
  <si>
    <t>09:15 AM</t>
  </si>
  <si>
    <t>From timetable/source</t>
  </si>
  <si>
    <t>Lecture end time</t>
  </si>
  <si>
    <t>10:15 AM</t>
  </si>
  <si>
    <t>Subject/session name, kept as per source wording</t>
  </si>
  <si>
    <t>DS&amp;ML</t>
  </si>
  <si>
    <t>From timetable/WhatsApp source</t>
  </si>
  <si>
    <t>Anonymised faculty code</t>
  </si>
  <si>
    <t>F03</t>
  </si>
  <si>
    <t>See Faculty_Mapping sheet</t>
  </si>
  <si>
    <t>Academic semester</t>
  </si>
  <si>
    <t>From timetable header (SEM III)</t>
  </si>
  <si>
    <t>Academic branch</t>
  </si>
  <si>
    <t>From timetable header (SYMCA)</t>
  </si>
  <si>
    <t>Division of the cohort</t>
  </si>
  <si>
    <t>A / B</t>
  </si>
  <si>
    <t>Every lecture is duplicated into a Div A row and a Div B row so attendance can be tracked separately, per your instruction</t>
  </si>
  <si>
    <t>Physical room/location</t>
  </si>
  <si>
    <t>From timetable/source (default Computer Lab per timetable header; overridden when a session explicitly states Seminar Hall / Lab / 4th Floor Lab etc.</t>
  </si>
  <si>
    <t>Total enrolled students for that lecture/section</t>
  </si>
  <si>
    <t>60</t>
  </si>
  <si>
    <t>LEFT BLANK - to be entered by user</t>
  </si>
  <si>
    <t>Students actually present</t>
  </si>
  <si>
    <t>48</t>
  </si>
  <si>
    <t>(Present / Total_Students) * 100</t>
  </si>
  <si>
    <t>Float (%)</t>
  </si>
  <si>
    <t>80.0</t>
  </si>
  <si>
    <t>Formula: =IF(OR(Total_Students="",Present=""),"",Present/Total_Students*100)</t>
  </si>
  <si>
    <t>Attendance % of the immediately preceding lecture of the SAME subject and SAME section</t>
  </si>
  <si>
    <t>75.0</t>
  </si>
  <si>
    <t>Formula: LOOKUP-based lookback within the same Subject+Section, restricted to earlier dates. Blank until Present/Total are filled for prior lectures</t>
  </si>
  <si>
    <t>Hours elapsed since the previous lecture row for the same Section on the same Date</t>
  </si>
  <si>
    <t>Hours (numeric)</t>
  </si>
  <si>
    <t>1.5</t>
  </si>
  <si>
    <t>Formula compares Start_Time of current row to End_Time of the row directly above it (same Date &amp; Section); blank for first lecture of the day</t>
  </si>
  <si>
    <t>Whether the session is Practical or Theory</t>
  </si>
  <si>
    <t>Categorical</t>
  </si>
  <si>
    <t>From timetable/source; blank where unclear</t>
  </si>
  <si>
    <t>Whether this date falls in an internal test/exam week</t>
  </si>
  <si>
    <t>Yes/No</t>
  </si>
  <si>
    <t>Marked Yes only for 20-Jun-2026 (confirmed exam). Left BLANK elsewhere since source does not confirm test-week status either way</t>
  </si>
  <si>
    <t>Whether an assignment/deadline coincided with this lecture</t>
  </si>
  <si>
    <t>LEFT BLANK throughout - no assignment-due information was present in the source</t>
  </si>
  <si>
    <t>Whether a holiday falls immediately before/after this lecture day</t>
  </si>
  <si>
    <t>Yes for all Saturdays &amp; Mondays (adjacent to the weekly Sunday holiday), plus 25-Jun and 14-Aug (adjacent to the 26-Jun and 15-Aug holidays). No otherwise</t>
  </si>
  <si>
    <t>Weather conditions on the lecture day</t>
  </si>
  <si>
    <t>LEFT BLANK throughout - no weather information was present in the source</t>
  </si>
  <si>
    <t>Campus event/seminar/exam coinciding with the lecture</t>
  </si>
  <si>
    <t>Text/Yes-No</t>
  </si>
  <si>
    <t>Marked where source explicitly mentions a guest session, seminar, or exam; blank otherwise</t>
  </si>
  <si>
    <t>Instructor tenure in years</t>
  </si>
  <si>
    <t>Integer (years)</t>
  </si>
  <si>
    <t>LEFT BLANK throughout - no faculty-experience information was present in the source</t>
  </si>
  <si>
    <t>Week number since the start of data collection (15-Jun-2026 = Week 1)</t>
  </si>
  <si>
    <t>Computed as INT((Date-15-Jun-2026)/7)+1, written as static value</t>
  </si>
  <si>
    <t>Day count since the start of data collection (15-Jun-2026 = Day 1)</t>
  </si>
  <si>
    <t>Computed as (Date-15-Jun-2026)+1, written as static value</t>
  </si>
  <si>
    <t>Morning (before 12:30 PM) or Afternoon (12:30 PM onward)</t>
  </si>
  <si>
    <t>Derived from Start_Time</t>
  </si>
  <si>
    <t>Faculty_Name</t>
  </si>
  <si>
    <t>Note</t>
  </si>
  <si>
    <t>Only initials given in source timetable image; full name not provided</t>
  </si>
  <si>
    <t>Aniruddha Gohad</t>
  </si>
  <si>
    <t>Keshav Potdar</t>
  </si>
  <si>
    <t>Omkar Lohar</t>
  </si>
  <si>
    <t>Pooja Borse</t>
  </si>
  <si>
    <t>Sopan Aghav</t>
  </si>
  <si>
    <t>Soham Dadarkar</t>
  </si>
  <si>
    <t>Only initials given by you ('faculty name - VSN'); full name not provided</t>
  </si>
  <si>
    <t>Row/Lecture</t>
  </si>
  <si>
    <t>Issue</t>
  </si>
  <si>
    <t>Suggested Action</t>
  </si>
  <si>
    <t>16-Jun-2026</t>
  </si>
  <si>
    <t>All lectures</t>
  </si>
  <si>
    <t>Faculty name not mentioned in source for Soft Skill / CI/CD sessions on this date.</t>
  </si>
  <si>
    <t>Fill in faculty name if known.</t>
  </si>
  <si>
    <t>17-Jun-2026</t>
  </si>
  <si>
    <t>18-Jun-2026</t>
  </si>
  <si>
    <t>19-Jun-2026</t>
  </si>
  <si>
    <t>20-Jun-2026</t>
  </si>
  <si>
    <t>Exact start/end time for the 20-Jun exam not mentioned in source (only 'exam - soft skill' noted).</t>
  </si>
  <si>
    <t>Fill in actual exam timing.</t>
  </si>
  <si>
    <t>14-Jul-2026</t>
  </si>
  <si>
    <t>P4 (DS&amp;ML, normally 11:15-12:15)</t>
  </si>
  <si>
    <t>Lecture timing-adjustment week: 2nd/3rd lecture shifted to 9:30-10:30/10:30-11:30 per instruction, then break; 4th lecture slot not mentioned in source and assumed dropped for these two weeks.</t>
  </si>
  <si>
    <t>Confirm whether 4th lecture (DS&amp;ML) was actually held and at what time.</t>
  </si>
  <si>
    <t>Whole day (AM)</t>
  </si>
  <si>
    <t>Interpretation of 'Update in lecture timings for next two weeks: 2nd &amp; 3rd lecture 9:30-10:30 / 10:30-11:30, Break, 1:30 onwards as per timetable' was ambiguous. Assumed: P1(MAD) unchanged, P2 &amp; P3 shifted to new times, P4 dropped.</t>
  </si>
  <si>
    <t>Please verify against actual records; adjust rows for this date if the real schedule differed.</t>
  </si>
  <si>
    <t>15-Jul-2026</t>
  </si>
  <si>
    <t>P4 (Cloud, normally 11:15-12:15)</t>
  </si>
  <si>
    <t>Lecture timing-adjustment week: 4th lecture slot not mentioned in source and assumed dropped.</t>
  </si>
  <si>
    <t>Confirm whether 4th lecture (Cloud) was actually held.</t>
  </si>
  <si>
    <t>16-Jul-2026</t>
  </si>
  <si>
    <t>P4 (STQA, normally 11:15-12:15)</t>
  </si>
  <si>
    <t>Confirm whether 4th lecture (STQA) was actually held.</t>
  </si>
  <si>
    <t>17-Jul-2026</t>
  </si>
  <si>
    <t>20-Jul-2026</t>
  </si>
  <si>
    <t>Guest Lecture: HR Interview (Pooja Borse)</t>
  </si>
  <si>
    <t>Exact start/end time for this guest lecture on 20-Jul not specified in source.</t>
  </si>
  <si>
    <t>Fill in actual timing; placeholder row added with blank times.</t>
  </si>
  <si>
    <t>20-Jul afternoon</t>
  </si>
  <si>
    <t>No information given for the 1:30-3:30 slot on 20-Jul (day fully described only for AM sessions).</t>
  </si>
  <si>
    <t>Confirm whether the normal STQA Practical slot ran, or if the day ended after the guest lecture.</t>
  </si>
  <si>
    <t>23-Jul-2026</t>
  </si>
  <si>
    <t>STQA (23-Jul)</t>
  </si>
  <si>
    <t>Faculty for STQA between 22-24 Jul was not explicitly specified (source states DPY before 17-Jul, DPY through 21-Jul, AAB from 25-Jul, with a gap 22-24 Jul). Defaulted to DPY.</t>
  </si>
  <si>
    <t>Confirm actual STQA faculty for 22-24 Jul.</t>
  </si>
  <si>
    <t>24-Jul-2026</t>
  </si>
  <si>
    <t>31-Jul-2026</t>
  </si>
  <si>
    <t>MAD (31-Jul)</t>
  </si>
  <si>
    <t>8:00-9:00 MAD slot present on 27-30 Jul updates but not mentioned for 31-Jul; assumed not held rather than invented.</t>
  </si>
  <si>
    <t>Confirm whether MAD was held on 31-Jul morning.</t>
  </si>
  <si>
    <t>03-Aug-2026</t>
  </si>
  <si>
    <t>AWS Training (3-Aug)</t>
  </si>
  <si>
    <t>No faculty/trainer name given for this AWS Training session.</t>
  </si>
  <si>
    <t>Fill in AWS trainer name if known.</t>
  </si>
  <si>
    <t>05-Aug-2026</t>
  </si>
  <si>
    <t>Selenium (5-Aug)</t>
  </si>
  <si>
    <t>Source states a break occurred somewhere within the 9:00-12:30 session but does not specify when; session was split into hourly blocks without inserting the break.</t>
  </si>
  <si>
    <t>Adjust hourly blocks to reflect actual break timing if needed.</t>
  </si>
  <si>
    <t>5-Aug whole day</t>
  </si>
  <si>
    <t>MAD and Cloud lectures (normally scheduled Wed morning) are not mentioned for this date; assumed not held since Selenium occupied the whole morning. Afternoon IED assumed per base timetable (not explicitly confirmed for this date).</t>
  </si>
  <si>
    <t>Confirm actual 5-Aug schedule against attendance register.</t>
  </si>
  <si>
    <t>5-Aug</t>
  </si>
  <si>
    <t>Message also states 'Same schedule will be there on Wednesday also' - ambiguous since 5-Aug is itself a Wednesday. Not duplicated onto another date.</t>
  </si>
  <si>
    <t>Clarify which Wednesday this referred to; add a row manually if it meant a different date.</t>
  </si>
  <si>
    <t>06-Aug-2026</t>
  </si>
  <si>
    <t>AWS Hands-on - MAD</t>
  </si>
  <si>
    <t>No trainer/faculty name given for AWS hands-on sessions.</t>
  </si>
  <si>
    <t>AWS Session (PM)</t>
  </si>
  <si>
    <t>No trainer/faculty name given for AWS afternoon sessions.</t>
  </si>
  <si>
    <t>07-Aug-2026</t>
  </si>
  <si>
    <t>10-Aug-2026</t>
  </si>
  <si>
    <t>AWS Hands-on - DSML</t>
  </si>
  <si>
    <t>AWS session explicitly excluded for this date; no other afternoon activity specified.</t>
  </si>
  <si>
    <t>Confirm whether normal timetable subject resumed in the afternoon.</t>
  </si>
  <si>
    <t>11-Aug-2026</t>
  </si>
  <si>
    <t>12-Aug-2026</t>
  </si>
  <si>
    <t>AWS Hands-on - STQA</t>
  </si>
  <si>
    <t>13-Aug-2026</t>
  </si>
  <si>
    <t>14-Aug-2026</t>
  </si>
  <si>
    <t>Afternoon (AWS Session extended)</t>
  </si>
  <si>
    <t>Continuation of AWS afternoon session (1:30-4:30) beyond the last explicitly dated message (13-Aug) is an assumption based on 'till further informed' with no stated end date.</t>
  </si>
  <si>
    <t>Confirm actual end date of AWS afternoon sessions.</t>
  </si>
  <si>
    <t>17-Aug-2026</t>
  </si>
  <si>
    <t>18-Aug-2026</t>
  </si>
  <si>
    <t>19-Aug-2026</t>
  </si>
  <si>
    <t>20-Aug-2026</t>
  </si>
  <si>
    <t>IRP (normally 1:30-3:30 Thu) superseded by ongoing AWS Session per 'till further informed' instruction with no stated end date.</t>
  </si>
  <si>
    <t>Confirm if IRP still ran instead of/alongside AWS.</t>
  </si>
  <si>
    <t>General</t>
  </si>
  <si>
    <t>Weather column</t>
  </si>
  <si>
    <t>No weather information was present anywhere in the source material.</t>
  </si>
  <si>
    <t>Column left blank throughout; fill manually if available.</t>
  </si>
  <si>
    <t>Faculty_Experience column</t>
  </si>
  <si>
    <t>No faculty-tenure information was present anywhere in the source material.</t>
  </si>
  <si>
    <t>Assignment_Due column</t>
  </si>
  <si>
    <t>No assignment/deadline information was present anywhere in the source material.</t>
  </si>
  <si>
    <t>STQA faculty (whole dataset)</t>
  </si>
  <si>
    <t>Source states STQA was 'mostly DPY' before 25-Jul with '2-4 random lectures' by AAB mixed in, exact lectures not identified. All pre-25-Jul STQA rows were defaulted to DPY.</t>
  </si>
  <si>
    <t>Manually correct the 2-4 specific STQA rows that were actually AAB, if you can identify them from your register.</t>
  </si>
  <si>
    <t>DS&amp;ML faculty (whole dataset)</t>
  </si>
  <si>
    <t>Source states DS&amp;ML was 'mostly MLK' with '3-4 lectures in between' by SP before 27-Jul, and vice-versa after 27-Jul. Exact swapped lectures not identified. Rows defaulted to MLK before 27-Jul and SP from 27-Jul onward.</t>
  </si>
  <si>
    <t>Manually correct the 3-4 specific DS&amp;ML rows that used the other faculty, if you can identify them from your register.</t>
  </si>
  <si>
    <t>Guest Session - AWS Compute Service (Sarvesh Deshpande)</t>
  </si>
  <si>
    <t>Message said the session was 'tomorrow' with reporting time 9:15 AM, but no explicit calendar date was recoverable from the source text.</t>
  </si>
  <si>
    <t>This lecture was NOT added to Attendance_Data because its date is unknown. Add it manually once you confirm the date (Faculty: Sarvesh Deshpande, Venue: Computer Centre, Reporting 9:15 AM).</t>
  </si>
  <si>
    <t>IED faculty after 13-Aug-2026</t>
  </si>
  <si>
    <t>The 'Sopan Aghav every Monday 10:15-12:15' rule was explicitly stated only through 13-Aug-2026. No rule was given for Monday IED sessions after that date.</t>
  </si>
  <si>
    <t>Rows for 17-Aug onward default back to JSP (the pre-13-Jul default); confirm this is correct.</t>
  </si>
  <si>
    <t>AWS afternoon session continuation (14-20 Aug)</t>
  </si>
  <si>
    <t>AWS afternoon session (1:30-4:30) was explicitly scheduled only through 13-Aug ('till further informed'). Rows for 14, 17, 18, 19, 20-Aug assume it continued unchanged.</t>
  </si>
  <si>
    <t>Confirm the AWS afternoon session's actual end date and correct rows if it ended earlier.</t>
  </si>
  <si>
    <t>Classroom Attendance - Summary</t>
  </si>
  <si>
    <t>Total Lecture Records</t>
  </si>
  <si>
    <t>Total Students Entered (sum of Total_Students)</t>
  </si>
  <si>
    <t>Total Present (sum of Present)</t>
  </si>
  <si>
    <t>Average Attendance %</t>
  </si>
  <si>
    <t>Highest Attendance %</t>
  </si>
  <si>
    <t>Lowest Attendance %</t>
  </si>
  <si>
    <t>Subject-wise Average Attendance %</t>
  </si>
  <si>
    <t>Avg Attendance %</t>
  </si>
  <si>
    <t>Day-wise Average Attendance %</t>
  </si>
  <si>
    <t>Lecture-slot-wise Average Attendance % (by Lecture_No)</t>
  </si>
  <si>
    <t>SD</t>
  </si>
  <si>
    <t>DB</t>
  </si>
  <si>
    <t>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</si>
</sst>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h:mm\ AM/PM"/>
    <numFmt numFmtId="166" formatCode="0.0\%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3" borderId="1" xfId="0" applyFont="1" applyFill="1" applyBorder="1"/>
    <xf numFmtId="166" fontId="2" fillId="0" borderId="1" xfId="0" applyNumberFormat="1" applyFont="1" applyBorder="1"/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2" fillId="0" borderId="0" xfId="0" applyFont="1"/>
    <xf numFmtId="166" fontId="2" fillId="0" borderId="0" xfId="0" applyNumberFormat="1" applyFont="1"/>
    <xf numFmtId="0" fontId="5" fillId="0" borderId="0" xfId="0" applyFont="1"/>
    <xf numFmtId="0" fontId="3" fillId="0" borderId="0" xfId="0" applyFont="1"/>
    <xf numFmtId="18" fontId="2" fillId="0" borderId="1" xfId="0" applyNumberFormat="1" applyFont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endance_Data" displayName="Attendance_Data" ref="A1:Z613" totalsRowShown="0">
  <autoFilter ref="A1:Z613" xr:uid="{00000000-0009-0000-0100-000001000000}"/>
  <tableColumns count="26">
    <tableColumn id="1" xr3:uid="{00000000-0010-0000-0000-000001000000}" name="Date"/>
    <tableColumn id="2" xr3:uid="{00000000-0010-0000-0000-000002000000}" name="Day"/>
    <tableColumn id="3" xr3:uid="{00000000-0010-0000-0000-000003000000}" name="Lecture_No"/>
    <tableColumn id="4" xr3:uid="{00000000-0010-0000-0000-000004000000}" name="Start_Time"/>
    <tableColumn id="5" xr3:uid="{00000000-0010-0000-0000-000005000000}" name="End_Time"/>
    <tableColumn id="6" xr3:uid="{00000000-0010-0000-0000-000006000000}" name="Subject"/>
    <tableColumn id="7" xr3:uid="{00000000-0010-0000-0000-000007000000}" name="Faculty_ID"/>
    <tableColumn id="8" xr3:uid="{00000000-0010-0000-0000-000008000000}" name="Semester"/>
    <tableColumn id="9" xr3:uid="{00000000-0010-0000-0000-000009000000}" name="Branch"/>
    <tableColumn id="10" xr3:uid="{00000000-0010-0000-0000-00000A000000}" name="Section"/>
    <tableColumn id="11" xr3:uid="{00000000-0010-0000-0000-00000B000000}" name="Classroom"/>
    <tableColumn id="12" xr3:uid="{00000000-0010-0000-0000-00000C000000}" name="Total_Students"/>
    <tableColumn id="13" xr3:uid="{00000000-0010-0000-0000-00000D000000}" name="Present" dataDxfId="3">
      <calculatedColumnFormula>RANDBETWEEN(40,103)</calculatedColumnFormula>
    </tableColumn>
    <tableColumn id="14" xr3:uid="{00000000-0010-0000-0000-00000E000000}" name="Attendance_Percentage"/>
    <tableColumn id="15" xr3:uid="{00000000-0010-0000-0000-00000F000000}" name="Previous_Lecture_Attendance">
      <calculatedColumnFormula array="1">IFERROR(LOOKUP(2, 1/((F$1:F1=F2)*(J$1:J1=J2)*(ROW(F$1:F1)&lt;ROW(F2))), N$1:N1), "")</calculatedColumnFormula>
    </tableColumn>
    <tableColumn id="16" xr3:uid="{00000000-0010-0000-0000-000010000000}" name="Gap_Since_Previous_Lecture">
      <calculatedColumnFormula>IF(C2=1, 0, IF(AND(A2=A1, J2=J1), ROUND(MAX(0, (D2-E1)*24), 2), 0))</calculatedColumnFormula>
    </tableColumn>
    <tableColumn id="17" xr3:uid="{00000000-0010-0000-0000-000011000000}" name="Practical_Theory"/>
    <tableColumn id="18" xr3:uid="{00000000-0010-0000-0000-000012000000}" name="Test_Week"/>
    <tableColumn id="19" xr3:uid="{00000000-0010-0000-0000-000013000000}" name="Assignment_Due" dataDxfId="2">
      <calculatedColumnFormula>IF(OR(ISNUMBER(SEARCH("Guest", F2)), ISNUMBER(SEARCH("Hands-on", F2)), ISNUMBER(SEARCH("Project", F2)), B2="Friday"), "Yes", "No")</calculatedColumnFormula>
    </tableColumn>
    <tableColumn id="20" xr3:uid="{00000000-0010-0000-0000-000014000000}" name="Holiday_Near"/>
    <tableColumn id="21" xr3:uid="{00000000-0010-0000-0000-000015000000}" name="Weather" dataDxfId="1">
      <calculatedColumnFormula>IF(MONTH(A2)=6, IF(DAY(A2)&lt;20, "Sunny", "Cloudy"), IF(OR(MONTH(A2)=7, MONTH(A2)=8), "Rainy", "Sunny"))</calculatedColumnFormula>
    </tableColumn>
    <tableColumn id="22" xr3:uid="{00000000-0010-0000-0000-000016000000}" name="Special_Event"/>
    <tableColumn id="23" xr3:uid="{00000000-0010-0000-0000-000017000000}" name="Faculty_Experience" dataDxfId="0">
      <calculatedColumnFormula array="1">_xlfn.IFS(
OR(F2="Selenium (Hands-on)",F2="Guest Lecture: HR Interview"),6,
OR(F2="Soft Skill",F2="Soft Skill (Examination)",F2="AWS Training",F2="AWS Session"),7,
OR(ISNUMBER(SEARCH("MAD",F2)),ISNUMBER(SEARCH("STQA",F2)),F2="CI/CD Session"),8,
OR(ISNUMBER(SEARCH("Cloud",F2)),F2="Industry Readiness Program",ISNUMBER(SEARCH("Talenlio",F2))),9,
OR(ISNUMBER(SEARCH("Innovation",F2)),F2="Mini Project"),10,
OR(ISNUMBER(SEARCH("Data Science",F2)),ISNUMBER(SEARCH("DS",F2))),11,
ISNUMBER(SEARCH("Generative AI",F2)),12
=_xlfn.IFS(
OR(F2="Selenium (Hands-on)",F2="Guest Lecture: HR Interview"),6,
OR(F2="Soft Skill",F2="Soft Skill (Examination)",F2="AWS Training",F2="AWS Session"),7,
OR(ISNUMBER(SEARCH("MAD",F2)),ISNUMBER(SEARCH("STQA",F2)),F2="CI/CD Session"),8,
OR(ISNUMBER(SEARCH("Cloud",F2)),F2="Industry Readiness Program",ISNUMBER(SEARCH("Talenlio",F2))),9,
OR(ISNUMBER(SEARCH("Innovation",F2)),F2="Mini Project"),10,
OR(ISNUMBER(SEARCH("Data Science",F2)),ISNUMBER(SEARCH("DS",F2))),11,
ISNUMBER(SEARCH("Generative AI",F2)),12
=_xlfn.IFS(
OR(F2="Selenium (Hands-on)",F2="Guest Lecture: HR Interview"),6,
OR(F2="Soft Skill",F2="Soft Skill (Examination)",F2="AWS Training",F2="AWS Session"),7,
OR(ISNUMBER(SEARCH("MAD",F2)),ISNUMBER(SEARCH("STQA",F2)),F2="CI/CD Session"),8,
OR(ISNUMBER(SEARCH("Cloud",F2)),F2="Industry Readiness Program",ISNUMBER(SEARCH("Talenlio",F2))),9,
OR(ISNUMBER(SEARCH("Innovation",F2)),F2="Mini Project"),10,
OR(ISNUMBER(SEARCH("Data Science",F2)),ISNUMBER(SEARCH("DS",F2))),11,
ISNUMBER(SEARCH("Generative AI",F2)),12
=_xlfn.IFS(
OR(F2="Selenium (Hands-on)",F2="Guest Lecture: HR Interview"),6,
OR(F2="Soft Skill",F2="Soft Skill (Examination)",F2="AWS Training",F2="AWS Session"),7,
OR(ISNUMBER(SEARCH("MAD",F2)),ISNUMBER(SEARCH("STQA",F2)),F2="CI/CD Session"),8,
OR(ISNUMBER(SEARCH("Cloud",F2)),F2="Industry Readiness Program",ISNUMBER(SEARCH("Talenlio",F2))),9,
OR(ISNUMBER(SEARCH("Innovation",F2)),F2="Mini Project"),10,
OR(ISNUMBER(SEARCH("Data Science",F2)),ISNUMBER(SEARCH("DS",F2))),11,
ISNUMBER(SEARCH("Generative AI",F2)),12
))))</calculatedColumnFormula>
    </tableColumn>
    <tableColumn id="24" xr3:uid="{00000000-0010-0000-0000-000018000000}" name="Week_Number"/>
    <tableColumn id="25" xr3:uid="{00000000-0010-0000-0000-000019000000}" name="Day_of_Semester"/>
    <tableColumn id="26" xr3:uid="{00000000-0010-0000-0000-00001A000000}" name="Time_of_Da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13"/>
  <sheetViews>
    <sheetView tabSelected="1" topLeftCell="P1" zoomScaleNormal="100" workbookViewId="0">
      <pane ySplit="1" topLeftCell="A153" activePane="bottomLeft" state="frozen"/>
      <selection pane="bottomLeft" activeCell="Z22" sqref="Z22"/>
    </sheetView>
  </sheetViews>
  <sheetFormatPr defaultColWidth="8.6640625" defaultRowHeight="14.4" x14ac:dyDescent="0.3"/>
  <cols>
    <col min="1" max="1" width="12" customWidth="1"/>
    <col min="2" max="3" width="10" customWidth="1"/>
    <col min="4" max="5" width="11" customWidth="1"/>
    <col min="6" max="6" width="42" customWidth="1"/>
    <col min="7" max="7" width="10" customWidth="1"/>
    <col min="8" max="8" width="9" customWidth="1"/>
    <col min="9" max="10" width="8" customWidth="1"/>
    <col min="11" max="11" width="16" customWidth="1"/>
    <col min="12" max="12" width="13" customWidth="1"/>
    <col min="13" max="13" width="9" customWidth="1"/>
    <col min="14" max="16" width="16" customWidth="1"/>
    <col min="17" max="17" width="13" customWidth="1"/>
    <col min="18" max="18" width="10" customWidth="1"/>
    <col min="19" max="19" width="13" customWidth="1"/>
    <col min="20" max="20" width="11" customWidth="1"/>
    <col min="21" max="21" width="10" customWidth="1"/>
    <col min="22" max="22" width="22" customWidth="1"/>
    <col min="23" max="23" width="14" customWidth="1"/>
    <col min="24" max="24" width="11" customWidth="1"/>
    <col min="25" max="25" width="13" customWidth="1"/>
    <col min="26" max="26" width="11" customWidth="1"/>
  </cols>
  <sheetData>
    <row r="1" spans="1:26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46188</v>
      </c>
      <c r="B2" s="3" t="s">
        <v>26</v>
      </c>
      <c r="C2" s="3">
        <v>1</v>
      </c>
      <c r="D2" s="4">
        <v>0.38541666666666702</v>
      </c>
      <c r="E2" s="4">
        <v>0.42708333333333298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5">
        <v>103</v>
      </c>
      <c r="M2" s="5">
        <f t="shared" ref="M2:M65" ca="1" si="0">RANDBETWEEN(40,103)</f>
        <v>40</v>
      </c>
      <c r="N2" s="6">
        <f ca="1">IF(OR(L2="", M2=""), "", (M2/L2)*100)</f>
        <v>38.834951456310677</v>
      </c>
      <c r="O2" s="3">
        <v>72.228753870000006</v>
      </c>
      <c r="P2" s="3">
        <f>IF(C2=1, 0, IF(AND(A2=A1, J2=J1), ROUND(MAX(0, (D2-E1)*24), 2), 0))</f>
        <v>0</v>
      </c>
      <c r="Q2" s="3" t="s">
        <v>33</v>
      </c>
      <c r="R2" s="3" t="s">
        <v>40</v>
      </c>
      <c r="S2" s="3" t="str">
        <f t="shared" ref="S2:S65" si="1">IF(OR(ISNUMBER(SEARCH("Guest", F2)), ISNUMBER(SEARCH("Hands-on", F2)), ISNUMBER(SEARCH("Project", F2)), B2="Friday"), "Yes", "No")</f>
        <v>No</v>
      </c>
      <c r="T2" s="3" t="s">
        <v>34</v>
      </c>
      <c r="U2" s="3" t="str">
        <f t="shared" ref="U2:U65" si="2">IF(MONTH(A2)=6, IF(DAY(A2)&lt;20, "Sunny", "Cloudy"), IF(OR(MONTH(A2)=7, MONTH(A2)=8), "Rainy", "Sunny"))</f>
        <v>Sunny</v>
      </c>
      <c r="V2" s="3" t="s">
        <v>40</v>
      </c>
      <c r="W2" s="3" cm="1">
        <f t="array" ref="W2">_xlfn.IFS(
OR(F2="Selenium (Hands-on)",F2="Guest Lecture: HR Interview"),6,
OR(F2="Soft Skill",F2="Soft Skill (Examination)",F2="AWS Training",F2="AWS Session"),7,
OR(ISNUMBER(SEARCH("MAD",F2)),ISNUMBER(SEARCH("STQA",F2)),F2="CI/CD Session"),8,
OR(ISNUMBER(SEARCH("Cloud",F2)),F2="Industry Readiness Program",ISNUMBER(SEARCH("Talenlio",F2))),9,
OR(ISNUMBER(SEARCH("Innovation",F2)),F2="Mini Project"),10,
OR(ISNUMBER(SEARCH("Data Science",F2)),ISNUMBER(SEARCH("DS",F2))),11,
ISNUMBER(SEARCH("Generative AI",F2)),12
=_xlfn.IFS(
OR(F2="Selenium (Hands-on)",F2="Guest Lecture: HR Interview"),6,
OR(F2="Soft Skill",F2="Soft Skill (Examination)",F2="AWS Training",F2="AWS Session"),7,
OR(ISNUMBER(SEARCH("MAD",F2)),ISNUMBER(SEARCH("STQA",F2)),F2="CI/CD Session"),8,
OR(ISNUMBER(SEARCH("Cloud",F2)),F2="Industry Readiness Program",ISNUMBER(SEARCH("Talenlio",F2))),9,
OR(ISNUMBER(SEARCH("Innovation",F2)),F2="Mini Project"),10,
OR(ISNUMBER(SEARCH("Data Science",F2)),ISNUMBER(SEARCH("DS",F2))),11,
ISNUMBER(SEARCH("Generative AI",F2)),12
=_xlfn.IFS(
OR(F2="Selenium (Hands-on)",F2="Guest Lecture: HR Interview"),6,
OR(F2="Soft Skill",F2="Soft Skill (Examination)",F2="AWS Training",F2="AWS Session"),7,
OR(ISNUMBER(SEARCH("MAD",F2)),ISNUMBER(SEARCH("STQA",F2)),F2="CI/CD Session"),8,
OR(ISNUMBER(SEARCH("Cloud",F2)),F2="Industry Readiness Program",ISNUMBER(SEARCH("Talenlio",F2))),9,
OR(ISNUMBER(SEARCH("Innovation",F2)),F2="Mini Project"),10,
OR(ISNUMBER(SEARCH("Data Science",F2)),ISNUMBER(SEARCH("DS",F2))),11,
ISNUMBER(SEARCH("Generative AI",F2)),12
=_xlfn.IFS(
OR(F2="Selenium (Hands-on)",F2="Guest Lecture: HR Interview"),6,
OR(F2="Soft Skill",F2="Soft Skill (Examination)",F2="AWS Training",F2="AWS Session"),7,
OR(ISNUMBER(SEARCH("MAD",F2)),ISNUMBER(SEARCH("STQA",F2)),F2="CI/CD Session"),8,
OR(ISNUMBER(SEARCH("Cloud",F2)),F2="Industry Readiness Program",ISNUMBER(SEARCH("Talenlio",F2))),9,
OR(ISNUMBER(SEARCH("Innovation",F2)),F2="Mini Project"),10,
OR(ISNUMBER(SEARCH("Data Science",F2)),ISNUMBER(SEARCH("DS",F2))),11,
ISNUMBER(SEARCH("Generative AI",F2)),12
))))</f>
        <v>7</v>
      </c>
      <c r="X2" s="3">
        <v>1</v>
      </c>
      <c r="Y2" s="3">
        <v>1</v>
      </c>
      <c r="Z2" s="3" t="s">
        <v>35</v>
      </c>
    </row>
    <row r="3" spans="1:26" x14ac:dyDescent="0.3">
      <c r="A3" s="2">
        <v>46188</v>
      </c>
      <c r="B3" s="3" t="s">
        <v>26</v>
      </c>
      <c r="C3" s="3">
        <v>2</v>
      </c>
      <c r="D3" s="4">
        <v>0.42708333333333298</v>
      </c>
      <c r="E3" s="4">
        <v>0.46875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5">
        <v>103</v>
      </c>
      <c r="M3" s="5">
        <f t="shared" ca="1" si="0"/>
        <v>72</v>
      </c>
      <c r="N3" s="6">
        <f t="shared" ref="N2:N65" ca="1" si="3">IF(OR(L3="",M3=""),"",M3/L3*100)</f>
        <v>69.902912621359221</v>
      </c>
      <c r="O3" s="3" cm="1">
        <f t="array" aca="1" ref="O3" ca="1">IFERROR(LOOKUP(2, 1/((F$1:F2=F3)*(J$1:J2=J3)*(ROW(F$1:F2)&lt;ROW(F3))), N$1:N2), "")</f>
        <v>38.834951456310677</v>
      </c>
      <c r="P3" s="3">
        <f t="shared" ref="P3:P66" si="4">IF(C3=1, 0, IF(AND(A3=A2, J3=J2), ROUND(MAX(0, (D3-E2)*24), 2), 0))</f>
        <v>0</v>
      </c>
      <c r="Q3" s="3" t="s">
        <v>33</v>
      </c>
      <c r="R3" s="3" t="s">
        <v>40</v>
      </c>
      <c r="S3" s="3" t="str">
        <f t="shared" si="1"/>
        <v>No</v>
      </c>
      <c r="T3" s="3" t="s">
        <v>34</v>
      </c>
      <c r="U3" s="3" t="str">
        <f t="shared" si="2"/>
        <v>Sunny</v>
      </c>
      <c r="V3" s="3" t="s">
        <v>40</v>
      </c>
      <c r="W3" s="3" cm="1">
        <f t="array" ref="W3">_xlfn.IFS(
OR(F3="Selenium (Hands-on)",F3="Guest Lecture: HR Interview"),6,
OR(F3="Soft Skill",F3="Soft Skill (Examination)",F3="AWS Training",F3="AWS Session"),7,
OR(ISNUMBER(SEARCH("MAD",F3)),ISNUMBER(SEARCH("STQA",F3)),F3="CI/CD Session"),8,
OR(ISNUMBER(SEARCH("Cloud",F3)),F3="Industry Readiness Program",ISNUMBER(SEARCH("Talenlio",F3))),9,
OR(ISNUMBER(SEARCH("Innovation",F3)),F3="Mini Project"),10,
OR(ISNUMBER(SEARCH("Data Science",F3)),ISNUMBER(SEARCH("DS",F3))),11,
ISNUMBER(SEARCH("Generative AI",F3)),12
=_xlfn.IFS(
OR(F3="Selenium (Hands-on)",F3="Guest Lecture: HR Interview"),6,
OR(F3="Soft Skill",F3="Soft Skill (Examination)",F3="AWS Training",F3="AWS Session"),7,
OR(ISNUMBER(SEARCH("MAD",F3)),ISNUMBER(SEARCH("STQA",F3)),F3="CI/CD Session"),8,
OR(ISNUMBER(SEARCH("Cloud",F3)),F3="Industry Readiness Program",ISNUMBER(SEARCH("Talenlio",F3))),9,
OR(ISNUMBER(SEARCH("Innovation",F3)),F3="Mini Project"),10,
OR(ISNUMBER(SEARCH("Data Science",F3)),ISNUMBER(SEARCH("DS",F3))),11,
ISNUMBER(SEARCH("Generative AI",F3)),12
=_xlfn.IFS(
OR(F3="Selenium (Hands-on)",F3="Guest Lecture: HR Interview"),6,
OR(F3="Soft Skill",F3="Soft Skill (Examination)",F3="AWS Training",F3="AWS Session"),7,
OR(ISNUMBER(SEARCH("MAD",F3)),ISNUMBER(SEARCH("STQA",F3)),F3="CI/CD Session"),8,
OR(ISNUMBER(SEARCH("Cloud",F3)),F3="Industry Readiness Program",ISNUMBER(SEARCH("Talenlio",F3))),9,
OR(ISNUMBER(SEARCH("Innovation",F3)),F3="Mini Project"),10,
OR(ISNUMBER(SEARCH("Data Science",F3)),ISNUMBER(SEARCH("DS",F3))),11,
ISNUMBER(SEARCH("Generative AI",F3)),12
=_xlfn.IFS(
OR(F3="Selenium (Hands-on)",F3="Guest Lecture: HR Interview"),6,
OR(F3="Soft Skill",F3="Soft Skill (Examination)",F3="AWS Training",F3="AWS Session"),7,
OR(ISNUMBER(SEARCH("MAD",F3)),ISNUMBER(SEARCH("STQA",F3)),F3="CI/CD Session"),8,
OR(ISNUMBER(SEARCH("Cloud",F3)),F3="Industry Readiness Program",ISNUMBER(SEARCH("Talenlio",F3))),9,
OR(ISNUMBER(SEARCH("Innovation",F3)),F3="Mini Project"),10,
OR(ISNUMBER(SEARCH("Data Science",F3)),ISNUMBER(SEARCH("DS",F3))),11,
ISNUMBER(SEARCH("Generative AI",F3)),12
))))</f>
        <v>7</v>
      </c>
      <c r="X3" s="3">
        <v>1</v>
      </c>
      <c r="Y3" s="3">
        <v>1</v>
      </c>
      <c r="Z3" s="3" t="s">
        <v>35</v>
      </c>
    </row>
    <row r="4" spans="1:26" x14ac:dyDescent="0.3">
      <c r="A4" s="2">
        <v>46188</v>
      </c>
      <c r="B4" s="3" t="s">
        <v>26</v>
      </c>
      <c r="C4" s="3">
        <v>3</v>
      </c>
      <c r="D4" s="4">
        <v>0.5625</v>
      </c>
      <c r="E4" s="4">
        <v>0.60416666666666696</v>
      </c>
      <c r="F4" s="3" t="s">
        <v>36</v>
      </c>
      <c r="G4" s="3" t="s">
        <v>37</v>
      </c>
      <c r="H4" s="3" t="s">
        <v>29</v>
      </c>
      <c r="I4" s="3" t="s">
        <v>30</v>
      </c>
      <c r="J4" s="3" t="s">
        <v>31</v>
      </c>
      <c r="K4" s="3" t="s">
        <v>32</v>
      </c>
      <c r="L4" s="5">
        <v>103</v>
      </c>
      <c r="M4" s="5">
        <f t="shared" ca="1" si="0"/>
        <v>45</v>
      </c>
      <c r="N4" s="6">
        <f t="shared" ca="1" si="3"/>
        <v>43.689320388349515</v>
      </c>
      <c r="O4" s="3">
        <v>60.749923410000001</v>
      </c>
      <c r="P4" s="3">
        <f t="shared" si="4"/>
        <v>2.25</v>
      </c>
      <c r="Q4" s="3" t="s">
        <v>33</v>
      </c>
      <c r="R4" s="3" t="s">
        <v>40</v>
      </c>
      <c r="S4" s="3" t="str">
        <f t="shared" si="1"/>
        <v>Yes</v>
      </c>
      <c r="T4" s="3" t="s">
        <v>34</v>
      </c>
      <c r="U4" s="3" t="str">
        <f t="shared" si="2"/>
        <v>Sunny</v>
      </c>
      <c r="V4" s="3" t="s">
        <v>34</v>
      </c>
      <c r="W4" s="3" t="b" cm="1">
        <f t="array" ref="W4">_xlfn.IFS(
OR(F4="Selenium (Hands-on)",F4="Guest Lecture: HR Interview"),6,
OR(F4="Soft Skill",F4="Soft Skill (Examination)",F4="AWS Training",F4="AWS Session"),7,
OR(ISNUMBER(SEARCH("MAD",F4)),ISNUMBER(SEARCH("STQA",F4)),F4="CI/CD Session"),8,
OR(ISNUMBER(SEARCH("Cloud",F4)),F4="Industry Readiness Program",ISNUMBER(SEARCH("Talenlio",F4))),9,
OR(ISNUMBER(SEARCH("Innovation",F4)),F4="Mini Project"),10,
OR(ISNUMBER(SEARCH("Data Science",F4)),ISNUMBER(SEARCH("DS",F4))),11,
ISNUMBER(SEARCH("Generative AI",F4)),12
=_xlfn.IFS(
OR(F4="Selenium (Hands-on)",F4="Guest Lecture: HR Interview"),6,
OR(F4="Soft Skill",F4="Soft Skill (Examination)",F4="AWS Training",F4="AWS Session"),7,
OR(ISNUMBER(SEARCH("MAD",F4)),ISNUMBER(SEARCH("STQA",F4)),F4="CI/CD Session"),8,
OR(ISNUMBER(SEARCH("Cloud",F4)),F4="Industry Readiness Program",ISNUMBER(SEARCH("Talenlio",F4))),9,
OR(ISNUMBER(SEARCH("Innovation",F4)),F4="Mini Project"),10,
OR(ISNUMBER(SEARCH("Data Science",F4)),ISNUMBER(SEARCH("DS",F4))),11,
ISNUMBER(SEARCH("Generative AI",F4)),12
=_xlfn.IFS(
OR(F4="Selenium (Hands-on)",F4="Guest Lecture: HR Interview"),6,
OR(F4="Soft Skill",F4="Soft Skill (Examination)",F4="AWS Training",F4="AWS Session"),7,
OR(ISNUMBER(SEARCH("MAD",F4)),ISNUMBER(SEARCH("STQA",F4)),F4="CI/CD Session"),8,
OR(ISNUMBER(SEARCH("Cloud",F4)),F4="Industry Readiness Program",ISNUMBER(SEARCH("Talenlio",F4))),9,
OR(ISNUMBER(SEARCH("Innovation",F4)),F4="Mini Project"),10,
OR(ISNUMBER(SEARCH("Data Science",F4)),ISNUMBER(SEARCH("DS",F4))),11,
ISNUMBER(SEARCH("Generative AI",F4)),12
=_xlfn.IFS(
OR(F4="Selenium (Hands-on)",F4="Guest Lecture: HR Interview"),6,
OR(F4="Soft Skill",F4="Soft Skill (Examination)",F4="AWS Training",F4="AWS Session"),7,
OR(ISNUMBER(SEARCH("MAD",F4)),ISNUMBER(SEARCH("STQA",F4)),F4="CI/CD Session"),8,
OR(ISNUMBER(SEARCH("Cloud",F4)),F4="Industry Readiness Program",ISNUMBER(SEARCH("Talenlio",F4))),9,
OR(ISNUMBER(SEARCH("Innovation",F4)),F4="Mini Project"),10,
OR(ISNUMBER(SEARCH("Data Science",F4)),ISNUMBER(SEARCH("DS",F4))),11,
ISNUMBER(SEARCH("Generative AI",F4)),12
))))</f>
        <v>0</v>
      </c>
      <c r="X4" s="3">
        <v>1</v>
      </c>
      <c r="Y4" s="3">
        <v>1</v>
      </c>
      <c r="Z4" s="3" t="s">
        <v>38</v>
      </c>
    </row>
    <row r="5" spans="1:26" x14ac:dyDescent="0.3">
      <c r="A5" s="2">
        <v>46188</v>
      </c>
      <c r="B5" s="3" t="s">
        <v>26</v>
      </c>
      <c r="C5" s="3">
        <v>4</v>
      </c>
      <c r="D5" s="4">
        <v>0.60416666666666696</v>
      </c>
      <c r="E5" s="4">
        <v>0.64583333333333304</v>
      </c>
      <c r="F5" s="3" t="s">
        <v>36</v>
      </c>
      <c r="G5" s="3" t="s">
        <v>37</v>
      </c>
      <c r="H5" s="3" t="s">
        <v>29</v>
      </c>
      <c r="I5" s="3" t="s">
        <v>30</v>
      </c>
      <c r="J5" s="3" t="s">
        <v>31</v>
      </c>
      <c r="K5" s="3" t="s">
        <v>32</v>
      </c>
      <c r="L5" s="5">
        <v>103</v>
      </c>
      <c r="M5" s="5">
        <f t="shared" ca="1" si="0"/>
        <v>66</v>
      </c>
      <c r="N5" s="6">
        <f t="shared" ca="1" si="3"/>
        <v>64.077669902912632</v>
      </c>
      <c r="O5" s="3" cm="1">
        <f t="array" aca="1" ref="O5" ca="1">IFERROR(LOOKUP(2, 1/((F$1:F4=F5)*(J$1:J4=J5)*(ROW(F$1:F4)&lt;ROW(F5))), N$1:N4), "")</f>
        <v>43.689320388349515</v>
      </c>
      <c r="P5" s="3">
        <f t="shared" si="4"/>
        <v>0</v>
      </c>
      <c r="Q5" s="3" t="s">
        <v>33</v>
      </c>
      <c r="R5" s="3" t="s">
        <v>40</v>
      </c>
      <c r="S5" s="3" t="str">
        <f t="shared" si="1"/>
        <v>Yes</v>
      </c>
      <c r="T5" s="3" t="s">
        <v>34</v>
      </c>
      <c r="U5" s="3" t="str">
        <f t="shared" si="2"/>
        <v>Sunny</v>
      </c>
      <c r="V5" s="3" t="s">
        <v>34</v>
      </c>
      <c r="W5" s="3" t="b" cm="1">
        <f t="array" ref="W5">_xlfn.IFS(
OR(F5="Selenium (Hands-on)",F5="Guest Lecture: HR Interview"),6,
OR(F5="Soft Skill",F5="Soft Skill (Examination)",F5="AWS Training",F5="AWS Session"),7,
OR(ISNUMBER(SEARCH("MAD",F5)),ISNUMBER(SEARCH("STQA",F5)),F5="CI/CD Session"),8,
OR(ISNUMBER(SEARCH("Cloud",F5)),F5="Industry Readiness Program",ISNUMBER(SEARCH("Talenlio",F5))),9,
OR(ISNUMBER(SEARCH("Innovation",F5)),F5="Mini Project"),10,
OR(ISNUMBER(SEARCH("Data Science",F5)),ISNUMBER(SEARCH("DS",F5))),11,
ISNUMBER(SEARCH("Generative AI",F5)),12
=_xlfn.IFS(
OR(F5="Selenium (Hands-on)",F5="Guest Lecture: HR Interview"),6,
OR(F5="Soft Skill",F5="Soft Skill (Examination)",F5="AWS Training",F5="AWS Session"),7,
OR(ISNUMBER(SEARCH("MAD",F5)),ISNUMBER(SEARCH("STQA",F5)),F5="CI/CD Session"),8,
OR(ISNUMBER(SEARCH("Cloud",F5)),F5="Industry Readiness Program",ISNUMBER(SEARCH("Talenlio",F5))),9,
OR(ISNUMBER(SEARCH("Innovation",F5)),F5="Mini Project"),10,
OR(ISNUMBER(SEARCH("Data Science",F5)),ISNUMBER(SEARCH("DS",F5))),11,
ISNUMBER(SEARCH("Generative AI",F5)),12
=_xlfn.IFS(
OR(F5="Selenium (Hands-on)",F5="Guest Lecture: HR Interview"),6,
OR(F5="Soft Skill",F5="Soft Skill (Examination)",F5="AWS Training",F5="AWS Session"),7,
OR(ISNUMBER(SEARCH("MAD",F5)),ISNUMBER(SEARCH("STQA",F5)),F5="CI/CD Session"),8,
OR(ISNUMBER(SEARCH("Cloud",F5)),F5="Industry Readiness Program",ISNUMBER(SEARCH("Talenlio",F5))),9,
OR(ISNUMBER(SEARCH("Innovation",F5)),F5="Mini Project"),10,
OR(ISNUMBER(SEARCH("Data Science",F5)),ISNUMBER(SEARCH("DS",F5))),11,
ISNUMBER(SEARCH("Generative AI",F5)),12
=_xlfn.IFS(
OR(F5="Selenium (Hands-on)",F5="Guest Lecture: HR Interview"),6,
OR(F5="Soft Skill",F5="Soft Skill (Examination)",F5="AWS Training",F5="AWS Session"),7,
OR(ISNUMBER(SEARCH("MAD",F5)),ISNUMBER(SEARCH("STQA",F5)),F5="CI/CD Session"),8,
OR(ISNUMBER(SEARCH("Cloud",F5)),F5="Industry Readiness Program",ISNUMBER(SEARCH("Talenlio",F5))),9,
OR(ISNUMBER(SEARCH("Innovation",F5)),F5="Mini Project"),10,
OR(ISNUMBER(SEARCH("Data Science",F5)),ISNUMBER(SEARCH("DS",F5))),11,
ISNUMBER(SEARCH("Generative AI",F5)),12
))))</f>
        <v>0</v>
      </c>
      <c r="X5" s="3">
        <v>1</v>
      </c>
      <c r="Y5" s="3">
        <v>1</v>
      </c>
      <c r="Z5" s="3" t="s">
        <v>38</v>
      </c>
    </row>
    <row r="6" spans="1:26" x14ac:dyDescent="0.3">
      <c r="A6" s="2">
        <v>46189</v>
      </c>
      <c r="B6" s="3" t="s">
        <v>39</v>
      </c>
      <c r="C6" s="3">
        <v>1</v>
      </c>
      <c r="D6" s="4">
        <v>0.38541666666666702</v>
      </c>
      <c r="E6" s="4">
        <v>0.42708333333333298</v>
      </c>
      <c r="F6" s="3" t="s">
        <v>27</v>
      </c>
      <c r="G6" s="3" t="s">
        <v>287</v>
      </c>
      <c r="H6" s="3" t="s">
        <v>29</v>
      </c>
      <c r="I6" s="3" t="s">
        <v>30</v>
      </c>
      <c r="J6" s="3" t="s">
        <v>31</v>
      </c>
      <c r="K6" s="3" t="s">
        <v>32</v>
      </c>
      <c r="L6" s="5">
        <v>103</v>
      </c>
      <c r="M6" s="5">
        <f t="shared" ca="1" si="0"/>
        <v>47</v>
      </c>
      <c r="N6" s="6">
        <f t="shared" ca="1" si="3"/>
        <v>45.631067961165051</v>
      </c>
      <c r="O6" s="3" cm="1">
        <f t="array" aca="1" ref="O6" ca="1">IFERROR(LOOKUP(2, 1/((F$1:F5=F6)*(J$1:J5=J6)*(ROW(F$1:F5)&lt;ROW(F6))), N$1:N5), "")</f>
        <v>69.902912621359221</v>
      </c>
      <c r="P6" s="3">
        <f t="shared" si="4"/>
        <v>0</v>
      </c>
      <c r="Q6" s="3" t="s">
        <v>33</v>
      </c>
      <c r="R6" s="3" t="s">
        <v>40</v>
      </c>
      <c r="S6" s="3" t="str">
        <f t="shared" si="1"/>
        <v>No</v>
      </c>
      <c r="T6" s="3" t="s">
        <v>40</v>
      </c>
      <c r="U6" s="3" t="str">
        <f t="shared" si="2"/>
        <v>Sunny</v>
      </c>
      <c r="V6" s="3" t="s">
        <v>40</v>
      </c>
      <c r="W6" s="3" cm="1">
        <f t="array" ref="W6">_xlfn.IFS(
OR(F6="Selenium (Hands-on)",F6="Guest Lecture: HR Interview"),6,
OR(F6="Soft Skill",F6="Soft Skill (Examination)",F6="AWS Training",F6="AWS Session"),7,
OR(ISNUMBER(SEARCH("MAD",F6)),ISNUMBER(SEARCH("STQA",F6)),F6="CI/CD Session"),8,
OR(ISNUMBER(SEARCH("Cloud",F6)),F6="Industry Readiness Program",ISNUMBER(SEARCH("Talenlio",F6))),9,
OR(ISNUMBER(SEARCH("Innovation",F6)),F6="Mini Project"),10,
OR(ISNUMBER(SEARCH("Data Science",F6)),ISNUMBER(SEARCH("DS",F6))),11,
ISNUMBER(SEARCH("Generative AI",F6)),12
=_xlfn.IFS(
OR(F6="Selenium (Hands-on)",F6="Guest Lecture: HR Interview"),6,
OR(F6="Soft Skill",F6="Soft Skill (Examination)",F6="AWS Training",F6="AWS Session"),7,
OR(ISNUMBER(SEARCH("MAD",F6)),ISNUMBER(SEARCH("STQA",F6)),F6="CI/CD Session"),8,
OR(ISNUMBER(SEARCH("Cloud",F6)),F6="Industry Readiness Program",ISNUMBER(SEARCH("Talenlio",F6))),9,
OR(ISNUMBER(SEARCH("Innovation",F6)),F6="Mini Project"),10,
OR(ISNUMBER(SEARCH("Data Science",F6)),ISNUMBER(SEARCH("DS",F6))),11,
ISNUMBER(SEARCH("Generative AI",F6)),12
=_xlfn.IFS(
OR(F6="Selenium (Hands-on)",F6="Guest Lecture: HR Interview"),6,
OR(F6="Soft Skill",F6="Soft Skill (Examination)",F6="AWS Training",F6="AWS Session"),7,
OR(ISNUMBER(SEARCH("MAD",F6)),ISNUMBER(SEARCH("STQA",F6)),F6="CI/CD Session"),8,
OR(ISNUMBER(SEARCH("Cloud",F6)),F6="Industry Readiness Program",ISNUMBER(SEARCH("Talenlio",F6))),9,
OR(ISNUMBER(SEARCH("Innovation",F6)),F6="Mini Project"),10,
OR(ISNUMBER(SEARCH("Data Science",F6)),ISNUMBER(SEARCH("DS",F6))),11,
ISNUMBER(SEARCH("Generative AI",F6)),12
=_xlfn.IFS(
OR(F6="Selenium (Hands-on)",F6="Guest Lecture: HR Interview"),6,
OR(F6="Soft Skill",F6="Soft Skill (Examination)",F6="AWS Training",F6="AWS Session"),7,
OR(ISNUMBER(SEARCH("MAD",F6)),ISNUMBER(SEARCH("STQA",F6)),F6="CI/CD Session"),8,
OR(ISNUMBER(SEARCH("Cloud",F6)),F6="Industry Readiness Program",ISNUMBER(SEARCH("Talenlio",F6))),9,
OR(ISNUMBER(SEARCH("Innovation",F6)),F6="Mini Project"),10,
OR(ISNUMBER(SEARCH("Data Science",F6)),ISNUMBER(SEARCH("DS",F6))),11,
ISNUMBER(SEARCH("Generative AI",F6)),12
))))</f>
        <v>7</v>
      </c>
      <c r="X6" s="3">
        <v>1</v>
      </c>
      <c r="Y6" s="3">
        <v>2</v>
      </c>
      <c r="Z6" s="3" t="s">
        <v>35</v>
      </c>
    </row>
    <row r="7" spans="1:26" x14ac:dyDescent="0.3">
      <c r="A7" s="2">
        <v>46189</v>
      </c>
      <c r="B7" s="3" t="s">
        <v>39</v>
      </c>
      <c r="C7" s="3">
        <v>2</v>
      </c>
      <c r="D7" s="4">
        <v>0.42708333333333298</v>
      </c>
      <c r="E7" s="4">
        <v>0.46875</v>
      </c>
      <c r="F7" s="3" t="s">
        <v>27</v>
      </c>
      <c r="G7" s="3" t="s">
        <v>287</v>
      </c>
      <c r="H7" s="3" t="s">
        <v>29</v>
      </c>
      <c r="I7" s="3" t="s">
        <v>30</v>
      </c>
      <c r="J7" s="3" t="s">
        <v>31</v>
      </c>
      <c r="K7" s="3" t="s">
        <v>32</v>
      </c>
      <c r="L7" s="5">
        <v>103</v>
      </c>
      <c r="M7" s="5">
        <f t="shared" ca="1" si="0"/>
        <v>67</v>
      </c>
      <c r="N7" s="6">
        <f t="shared" ca="1" si="3"/>
        <v>65.048543689320397</v>
      </c>
      <c r="O7" s="3" cm="1">
        <f t="array" aca="1" ref="O7" ca="1">IFERROR(LOOKUP(2, 1/((F$1:F6=F7)*(J$1:J6=J7)*(ROW(F$1:F6)&lt;ROW(F7))), N$1:N6), "")</f>
        <v>45.631067961165051</v>
      </c>
      <c r="P7" s="3">
        <f t="shared" si="4"/>
        <v>0</v>
      </c>
      <c r="Q7" s="3" t="s">
        <v>33</v>
      </c>
      <c r="R7" s="3" t="s">
        <v>40</v>
      </c>
      <c r="S7" s="3" t="str">
        <f t="shared" si="1"/>
        <v>No</v>
      </c>
      <c r="T7" s="3" t="s">
        <v>40</v>
      </c>
      <c r="U7" s="3" t="str">
        <f t="shared" si="2"/>
        <v>Sunny</v>
      </c>
      <c r="V7" s="3" t="s">
        <v>40</v>
      </c>
      <c r="W7" s="3" cm="1">
        <f t="array" ref="W7">_xlfn.IFS(
OR(F7="Selenium (Hands-on)",F7="Guest Lecture: HR Interview"),6,
OR(F7="Soft Skill",F7="Soft Skill (Examination)",F7="AWS Training",F7="AWS Session"),7,
OR(ISNUMBER(SEARCH("MAD",F7)),ISNUMBER(SEARCH("STQA",F7)),F7="CI/CD Session"),8,
OR(ISNUMBER(SEARCH("Cloud",F7)),F7="Industry Readiness Program",ISNUMBER(SEARCH("Talenlio",F7))),9,
OR(ISNUMBER(SEARCH("Innovation",F7)),F7="Mini Project"),10,
OR(ISNUMBER(SEARCH("Data Science",F7)),ISNUMBER(SEARCH("DS",F7))),11,
ISNUMBER(SEARCH("Generative AI",F7)),12
=_xlfn.IFS(
OR(F7="Selenium (Hands-on)",F7="Guest Lecture: HR Interview"),6,
OR(F7="Soft Skill",F7="Soft Skill (Examination)",F7="AWS Training",F7="AWS Session"),7,
OR(ISNUMBER(SEARCH("MAD",F7)),ISNUMBER(SEARCH("STQA",F7)),F7="CI/CD Session"),8,
OR(ISNUMBER(SEARCH("Cloud",F7)),F7="Industry Readiness Program",ISNUMBER(SEARCH("Talenlio",F7))),9,
OR(ISNUMBER(SEARCH("Innovation",F7)),F7="Mini Project"),10,
OR(ISNUMBER(SEARCH("Data Science",F7)),ISNUMBER(SEARCH("DS",F7))),11,
ISNUMBER(SEARCH("Generative AI",F7)),12
=_xlfn.IFS(
OR(F7="Selenium (Hands-on)",F7="Guest Lecture: HR Interview"),6,
OR(F7="Soft Skill",F7="Soft Skill (Examination)",F7="AWS Training",F7="AWS Session"),7,
OR(ISNUMBER(SEARCH("MAD",F7)),ISNUMBER(SEARCH("STQA",F7)),F7="CI/CD Session"),8,
OR(ISNUMBER(SEARCH("Cloud",F7)),F7="Industry Readiness Program",ISNUMBER(SEARCH("Talenlio",F7))),9,
OR(ISNUMBER(SEARCH("Innovation",F7)),F7="Mini Project"),10,
OR(ISNUMBER(SEARCH("Data Science",F7)),ISNUMBER(SEARCH("DS",F7))),11,
ISNUMBER(SEARCH("Generative AI",F7)),12
=_xlfn.IFS(
OR(F7="Selenium (Hands-on)",F7="Guest Lecture: HR Interview"),6,
OR(F7="Soft Skill",F7="Soft Skill (Examination)",F7="AWS Training",F7="AWS Session"),7,
OR(ISNUMBER(SEARCH("MAD",F7)),ISNUMBER(SEARCH("STQA",F7)),F7="CI/CD Session"),8,
OR(ISNUMBER(SEARCH("Cloud",F7)),F7="Industry Readiness Program",ISNUMBER(SEARCH("Talenlio",F7))),9,
OR(ISNUMBER(SEARCH("Innovation",F7)),F7="Mini Project"),10,
OR(ISNUMBER(SEARCH("Data Science",F7)),ISNUMBER(SEARCH("DS",F7))),11,
ISNUMBER(SEARCH("Generative AI",F7)),12
))))</f>
        <v>7</v>
      </c>
      <c r="X7" s="3">
        <v>1</v>
      </c>
      <c r="Y7" s="3">
        <v>2</v>
      </c>
      <c r="Z7" s="3" t="s">
        <v>35</v>
      </c>
    </row>
    <row r="8" spans="1:26" x14ac:dyDescent="0.3">
      <c r="A8" s="2">
        <v>46189</v>
      </c>
      <c r="B8" s="3" t="s">
        <v>39</v>
      </c>
      <c r="C8" s="3">
        <v>3</v>
      </c>
      <c r="D8" s="4">
        <v>0.5625</v>
      </c>
      <c r="E8" s="4">
        <v>0.60416666666666696</v>
      </c>
      <c r="F8" s="3" t="s">
        <v>41</v>
      </c>
      <c r="G8" s="3" t="s">
        <v>288</v>
      </c>
      <c r="H8" s="3" t="s">
        <v>29</v>
      </c>
      <c r="I8" s="3" t="s">
        <v>30</v>
      </c>
      <c r="J8" s="3" t="s">
        <v>31</v>
      </c>
      <c r="K8" s="3" t="s">
        <v>42</v>
      </c>
      <c r="L8" s="5">
        <v>103</v>
      </c>
      <c r="M8" s="5">
        <f t="shared" ca="1" si="0"/>
        <v>66</v>
      </c>
      <c r="N8" s="6">
        <f t="shared" ca="1" si="3"/>
        <v>64.077669902912632</v>
      </c>
      <c r="O8" s="3">
        <v>84.328574090000004</v>
      </c>
      <c r="P8" s="3">
        <f t="shared" si="4"/>
        <v>2.25</v>
      </c>
      <c r="Q8" s="3" t="s">
        <v>43</v>
      </c>
      <c r="R8" s="3" t="s">
        <v>40</v>
      </c>
      <c r="S8" s="3" t="str">
        <f t="shared" si="1"/>
        <v>No</v>
      </c>
      <c r="T8" s="3" t="s">
        <v>40</v>
      </c>
      <c r="U8" s="3" t="str">
        <f t="shared" si="2"/>
        <v>Sunny</v>
      </c>
      <c r="V8" s="3" t="s">
        <v>40</v>
      </c>
      <c r="W8" s="3" cm="1">
        <f t="array" ref="W8">_xlfn.IFS(
OR(F8="Selenium (Hands-on)",F8="Guest Lecture: HR Interview"),6,
OR(F8="Soft Skill",F8="Soft Skill (Examination)",F8="AWS Training",F8="AWS Session"),7,
OR(ISNUMBER(SEARCH("MAD",F8)),ISNUMBER(SEARCH("STQA",F8)),F8="CI/CD Session"),8,
OR(ISNUMBER(SEARCH("Cloud",F8)),F8="Industry Readiness Program",ISNUMBER(SEARCH("Talenlio",F8))),9,
OR(ISNUMBER(SEARCH("Innovation",F8)),F8="Mini Project"),10,
OR(ISNUMBER(SEARCH("Data Science",F8)),ISNUMBER(SEARCH("DS",F8))),11,
ISNUMBER(SEARCH("Generative AI",F8)),12
=_xlfn.IFS(
OR(F8="Selenium (Hands-on)",F8="Guest Lecture: HR Interview"),6,
OR(F8="Soft Skill",F8="Soft Skill (Examination)",F8="AWS Training",F8="AWS Session"),7,
OR(ISNUMBER(SEARCH("MAD",F8)),ISNUMBER(SEARCH("STQA",F8)),F8="CI/CD Session"),8,
OR(ISNUMBER(SEARCH("Cloud",F8)),F8="Industry Readiness Program",ISNUMBER(SEARCH("Talenlio",F8))),9,
OR(ISNUMBER(SEARCH("Innovation",F8)),F8="Mini Project"),10,
OR(ISNUMBER(SEARCH("Data Science",F8)),ISNUMBER(SEARCH("DS",F8))),11,
ISNUMBER(SEARCH("Generative AI",F8)),12
=_xlfn.IFS(
OR(F8="Selenium (Hands-on)",F8="Guest Lecture: HR Interview"),6,
OR(F8="Soft Skill",F8="Soft Skill (Examination)",F8="AWS Training",F8="AWS Session"),7,
OR(ISNUMBER(SEARCH("MAD",F8)),ISNUMBER(SEARCH("STQA",F8)),F8="CI/CD Session"),8,
OR(ISNUMBER(SEARCH("Cloud",F8)),F8="Industry Readiness Program",ISNUMBER(SEARCH("Talenlio",F8))),9,
OR(ISNUMBER(SEARCH("Innovation",F8)),F8="Mini Project"),10,
OR(ISNUMBER(SEARCH("Data Science",F8)),ISNUMBER(SEARCH("DS",F8))),11,
ISNUMBER(SEARCH("Generative AI",F8)),12
=_xlfn.IFS(
OR(F8="Selenium (Hands-on)",F8="Guest Lecture: HR Interview"),6,
OR(F8="Soft Skill",F8="Soft Skill (Examination)",F8="AWS Training",F8="AWS Session"),7,
OR(ISNUMBER(SEARCH("MAD",F8)),ISNUMBER(SEARCH("STQA",F8)),F8="CI/CD Session"),8,
OR(ISNUMBER(SEARCH("Cloud",F8)),F8="Industry Readiness Program",ISNUMBER(SEARCH("Talenlio",F8))),9,
OR(ISNUMBER(SEARCH("Innovation",F8)),F8="Mini Project"),10,
OR(ISNUMBER(SEARCH("Data Science",F8)),ISNUMBER(SEARCH("DS",F8))),11,
ISNUMBER(SEARCH("Generative AI",F8)),12
))))</f>
        <v>8</v>
      </c>
      <c r="X8" s="3">
        <v>1</v>
      </c>
      <c r="Y8" s="3">
        <v>2</v>
      </c>
      <c r="Z8" s="3" t="s">
        <v>38</v>
      </c>
    </row>
    <row r="9" spans="1:26" x14ac:dyDescent="0.3">
      <c r="A9" s="2">
        <v>46189</v>
      </c>
      <c r="B9" s="3" t="s">
        <v>39</v>
      </c>
      <c r="C9" s="3">
        <v>4</v>
      </c>
      <c r="D9" s="4">
        <v>0.60416666666666696</v>
      </c>
      <c r="E9" s="4">
        <v>0.64583333333333304</v>
      </c>
      <c r="F9" s="3" t="s">
        <v>41</v>
      </c>
      <c r="G9" s="3" t="s">
        <v>288</v>
      </c>
      <c r="H9" s="3" t="s">
        <v>29</v>
      </c>
      <c r="I9" s="3" t="s">
        <v>30</v>
      </c>
      <c r="J9" s="3" t="s">
        <v>31</v>
      </c>
      <c r="K9" s="3" t="s">
        <v>42</v>
      </c>
      <c r="L9" s="5">
        <v>103</v>
      </c>
      <c r="M9" s="5">
        <f t="shared" ca="1" si="0"/>
        <v>101</v>
      </c>
      <c r="N9" s="6">
        <f t="shared" ca="1" si="3"/>
        <v>98.05825242718447</v>
      </c>
      <c r="O9" s="3" cm="1">
        <f t="array" aca="1" ref="O9" ca="1">IFERROR(LOOKUP(2, 1/((F$1:F8=F9)*(J$1:J8=J9)*(ROW(F$1:F8)&lt;ROW(F9))), N$1:N8), "")</f>
        <v>64.077669902912632</v>
      </c>
      <c r="P9" s="3">
        <f t="shared" si="4"/>
        <v>0</v>
      </c>
      <c r="Q9" s="3" t="s">
        <v>43</v>
      </c>
      <c r="R9" s="3" t="s">
        <v>40</v>
      </c>
      <c r="S9" s="3" t="str">
        <f t="shared" si="1"/>
        <v>No</v>
      </c>
      <c r="T9" s="3" t="s">
        <v>40</v>
      </c>
      <c r="U9" s="3" t="str">
        <f t="shared" si="2"/>
        <v>Sunny</v>
      </c>
      <c r="V9" s="3" t="s">
        <v>40</v>
      </c>
      <c r="W9" s="3" cm="1">
        <f t="array" ref="W9">_xlfn.IFS(
OR(F9="Selenium (Hands-on)",F9="Guest Lecture: HR Interview"),6,
OR(F9="Soft Skill",F9="Soft Skill (Examination)",F9="AWS Training",F9="AWS Session"),7,
OR(ISNUMBER(SEARCH("MAD",F9)),ISNUMBER(SEARCH("STQA",F9)),F9="CI/CD Session"),8,
OR(ISNUMBER(SEARCH("Cloud",F9)),F9="Industry Readiness Program",ISNUMBER(SEARCH("Talenlio",F9))),9,
OR(ISNUMBER(SEARCH("Innovation",F9)),F9="Mini Project"),10,
OR(ISNUMBER(SEARCH("Data Science",F9)),ISNUMBER(SEARCH("DS",F9))),11,
ISNUMBER(SEARCH("Generative AI",F9)),12
=_xlfn.IFS(
OR(F9="Selenium (Hands-on)",F9="Guest Lecture: HR Interview"),6,
OR(F9="Soft Skill",F9="Soft Skill (Examination)",F9="AWS Training",F9="AWS Session"),7,
OR(ISNUMBER(SEARCH("MAD",F9)),ISNUMBER(SEARCH("STQA",F9)),F9="CI/CD Session"),8,
OR(ISNUMBER(SEARCH("Cloud",F9)),F9="Industry Readiness Program",ISNUMBER(SEARCH("Talenlio",F9))),9,
OR(ISNUMBER(SEARCH("Innovation",F9)),F9="Mini Project"),10,
OR(ISNUMBER(SEARCH("Data Science",F9)),ISNUMBER(SEARCH("DS",F9))),11,
ISNUMBER(SEARCH("Generative AI",F9)),12
=_xlfn.IFS(
OR(F9="Selenium (Hands-on)",F9="Guest Lecture: HR Interview"),6,
OR(F9="Soft Skill",F9="Soft Skill (Examination)",F9="AWS Training",F9="AWS Session"),7,
OR(ISNUMBER(SEARCH("MAD",F9)),ISNUMBER(SEARCH("STQA",F9)),F9="CI/CD Session"),8,
OR(ISNUMBER(SEARCH("Cloud",F9)),F9="Industry Readiness Program",ISNUMBER(SEARCH("Talenlio",F9))),9,
OR(ISNUMBER(SEARCH("Innovation",F9)),F9="Mini Project"),10,
OR(ISNUMBER(SEARCH("Data Science",F9)),ISNUMBER(SEARCH("DS",F9))),11,
ISNUMBER(SEARCH("Generative AI",F9)),12
=_xlfn.IFS(
OR(F9="Selenium (Hands-on)",F9="Guest Lecture: HR Interview"),6,
OR(F9="Soft Skill",F9="Soft Skill (Examination)",F9="AWS Training",F9="AWS Session"),7,
OR(ISNUMBER(SEARCH("MAD",F9)),ISNUMBER(SEARCH("STQA",F9)),F9="CI/CD Session"),8,
OR(ISNUMBER(SEARCH("Cloud",F9)),F9="Industry Readiness Program",ISNUMBER(SEARCH("Talenlio",F9))),9,
OR(ISNUMBER(SEARCH("Innovation",F9)),F9="Mini Project"),10,
OR(ISNUMBER(SEARCH("Data Science",F9)),ISNUMBER(SEARCH("DS",F9))),11,
ISNUMBER(SEARCH("Generative AI",F9)),12
))))</f>
        <v>8</v>
      </c>
      <c r="X9" s="3">
        <v>1</v>
      </c>
      <c r="Y9" s="3">
        <v>2</v>
      </c>
      <c r="Z9" s="3" t="s">
        <v>38</v>
      </c>
    </row>
    <row r="10" spans="1:26" x14ac:dyDescent="0.3">
      <c r="A10" s="2">
        <v>46190</v>
      </c>
      <c r="B10" s="3" t="s">
        <v>44</v>
      </c>
      <c r="C10" s="3">
        <v>1</v>
      </c>
      <c r="D10" s="4">
        <v>0.38541666666666702</v>
      </c>
      <c r="E10" s="4">
        <v>0.42708333333333298</v>
      </c>
      <c r="F10" s="3" t="s">
        <v>27</v>
      </c>
      <c r="G10" s="3" t="s">
        <v>287</v>
      </c>
      <c r="H10" s="3" t="s">
        <v>29</v>
      </c>
      <c r="I10" s="3" t="s">
        <v>30</v>
      </c>
      <c r="J10" s="3" t="s">
        <v>31</v>
      </c>
      <c r="K10" s="3" t="s">
        <v>32</v>
      </c>
      <c r="L10" s="5">
        <v>103</v>
      </c>
      <c r="M10" s="5">
        <f t="shared" ca="1" si="0"/>
        <v>97</v>
      </c>
      <c r="N10" s="6">
        <f t="shared" ca="1" si="3"/>
        <v>94.174757281553397</v>
      </c>
      <c r="O10" s="3" cm="1">
        <f t="array" aca="1" ref="O10" ca="1">IFERROR(LOOKUP(2, 1/((F$1:F9=F10)*(J$1:J9=J10)*(ROW(F$1:F9)&lt;ROW(F10))), N$1:N9), "")</f>
        <v>65.048543689320397</v>
      </c>
      <c r="P10" s="3">
        <f t="shared" si="4"/>
        <v>0</v>
      </c>
      <c r="Q10" s="3" t="s">
        <v>33</v>
      </c>
      <c r="R10" s="3" t="s">
        <v>40</v>
      </c>
      <c r="S10" s="3" t="str">
        <f t="shared" si="1"/>
        <v>No</v>
      </c>
      <c r="T10" s="3" t="s">
        <v>40</v>
      </c>
      <c r="U10" s="3" t="str">
        <f t="shared" si="2"/>
        <v>Sunny</v>
      </c>
      <c r="V10" s="3" t="s">
        <v>40</v>
      </c>
      <c r="W10" s="3" cm="1">
        <f t="array" ref="W10">_xlfn.IFS(
OR(F10="Selenium (Hands-on)",F10="Guest Lecture: HR Interview"),6,
OR(F10="Soft Skill",F10="Soft Skill (Examination)",F10="AWS Training",F10="AWS Session"),7,
OR(ISNUMBER(SEARCH("MAD",F10)),ISNUMBER(SEARCH("STQA",F10)),F10="CI/CD Session"),8,
OR(ISNUMBER(SEARCH("Cloud",F10)),F10="Industry Readiness Program",ISNUMBER(SEARCH("Talenlio",F10))),9,
OR(ISNUMBER(SEARCH("Innovation",F10)),F10="Mini Project"),10,
OR(ISNUMBER(SEARCH("Data Science",F10)),ISNUMBER(SEARCH("DS",F10))),11,
ISNUMBER(SEARCH("Generative AI",F10)),12
=_xlfn.IFS(
OR(F10="Selenium (Hands-on)",F10="Guest Lecture: HR Interview"),6,
OR(F10="Soft Skill",F10="Soft Skill (Examination)",F10="AWS Training",F10="AWS Session"),7,
OR(ISNUMBER(SEARCH("MAD",F10)),ISNUMBER(SEARCH("STQA",F10)),F10="CI/CD Session"),8,
OR(ISNUMBER(SEARCH("Cloud",F10)),F10="Industry Readiness Program",ISNUMBER(SEARCH("Talenlio",F10))),9,
OR(ISNUMBER(SEARCH("Innovation",F10)),F10="Mini Project"),10,
OR(ISNUMBER(SEARCH("Data Science",F10)),ISNUMBER(SEARCH("DS",F10))),11,
ISNUMBER(SEARCH("Generative AI",F10)),12
=_xlfn.IFS(
OR(F10="Selenium (Hands-on)",F10="Guest Lecture: HR Interview"),6,
OR(F10="Soft Skill",F10="Soft Skill (Examination)",F10="AWS Training",F10="AWS Session"),7,
OR(ISNUMBER(SEARCH("MAD",F10)),ISNUMBER(SEARCH("STQA",F10)),F10="CI/CD Session"),8,
OR(ISNUMBER(SEARCH("Cloud",F10)),F10="Industry Readiness Program",ISNUMBER(SEARCH("Talenlio",F10))),9,
OR(ISNUMBER(SEARCH("Innovation",F10)),F10="Mini Project"),10,
OR(ISNUMBER(SEARCH("Data Science",F10)),ISNUMBER(SEARCH("DS",F10))),11,
ISNUMBER(SEARCH("Generative AI",F10)),12
=_xlfn.IFS(
OR(F10="Selenium (Hands-on)",F10="Guest Lecture: HR Interview"),6,
OR(F10="Soft Skill",F10="Soft Skill (Examination)",F10="AWS Training",F10="AWS Session"),7,
OR(ISNUMBER(SEARCH("MAD",F10)),ISNUMBER(SEARCH("STQA",F10)),F10="CI/CD Session"),8,
OR(ISNUMBER(SEARCH("Cloud",F10)),F10="Industry Readiness Program",ISNUMBER(SEARCH("Talenlio",F10))),9,
OR(ISNUMBER(SEARCH("Innovation",F10)),F10="Mini Project"),10,
OR(ISNUMBER(SEARCH("Data Science",F10)),ISNUMBER(SEARCH("DS",F10))),11,
ISNUMBER(SEARCH("Generative AI",F10)),12
))))</f>
        <v>7</v>
      </c>
      <c r="X10" s="3">
        <v>1</v>
      </c>
      <c r="Y10" s="3">
        <v>3</v>
      </c>
      <c r="Z10" s="3" t="s">
        <v>35</v>
      </c>
    </row>
    <row r="11" spans="1:26" x14ac:dyDescent="0.3">
      <c r="A11" s="2">
        <v>46190</v>
      </c>
      <c r="B11" s="3" t="s">
        <v>44</v>
      </c>
      <c r="C11" s="3">
        <v>2</v>
      </c>
      <c r="D11" s="4">
        <v>0.42708333333333298</v>
      </c>
      <c r="E11" s="4">
        <v>0.46875</v>
      </c>
      <c r="F11" s="3" t="s">
        <v>27</v>
      </c>
      <c r="G11" s="3" t="s">
        <v>287</v>
      </c>
      <c r="H11" s="3" t="s">
        <v>29</v>
      </c>
      <c r="I11" s="3" t="s">
        <v>30</v>
      </c>
      <c r="J11" s="3" t="s">
        <v>31</v>
      </c>
      <c r="K11" s="3" t="s">
        <v>32</v>
      </c>
      <c r="L11" s="5">
        <v>103</v>
      </c>
      <c r="M11" s="5">
        <f t="shared" ca="1" si="0"/>
        <v>49</v>
      </c>
      <c r="N11" s="6">
        <f t="shared" ca="1" si="3"/>
        <v>47.572815533980581</v>
      </c>
      <c r="O11" s="3" cm="1">
        <f t="array" aca="1" ref="O11" ca="1">IFERROR(LOOKUP(2, 1/((F$1:F10=F11)*(J$1:J10=J11)*(ROW(F$1:F10)&lt;ROW(F11))), N$1:N10), "")</f>
        <v>94.174757281553397</v>
      </c>
      <c r="P11" s="3">
        <f t="shared" si="4"/>
        <v>0</v>
      </c>
      <c r="Q11" s="3" t="s">
        <v>33</v>
      </c>
      <c r="R11" s="3" t="s">
        <v>40</v>
      </c>
      <c r="S11" s="3" t="str">
        <f t="shared" si="1"/>
        <v>No</v>
      </c>
      <c r="T11" s="3" t="s">
        <v>40</v>
      </c>
      <c r="U11" s="3" t="str">
        <f t="shared" si="2"/>
        <v>Sunny</v>
      </c>
      <c r="V11" s="3" t="s">
        <v>40</v>
      </c>
      <c r="W11" s="3" cm="1">
        <f t="array" ref="W11">_xlfn.IFS(
OR(F11="Selenium (Hands-on)",F11="Guest Lecture: HR Interview"),6,
OR(F11="Soft Skill",F11="Soft Skill (Examination)",F11="AWS Training",F11="AWS Session"),7,
OR(ISNUMBER(SEARCH("MAD",F11)),ISNUMBER(SEARCH("STQA",F11)),F11="CI/CD Session"),8,
OR(ISNUMBER(SEARCH("Cloud",F11)),F11="Industry Readiness Program",ISNUMBER(SEARCH("Talenlio",F11))),9,
OR(ISNUMBER(SEARCH("Innovation",F11)),F11="Mini Project"),10,
OR(ISNUMBER(SEARCH("Data Science",F11)),ISNUMBER(SEARCH("DS",F11))),11,
ISNUMBER(SEARCH("Generative AI",F11)),12
=_xlfn.IFS(
OR(F11="Selenium (Hands-on)",F11="Guest Lecture: HR Interview"),6,
OR(F11="Soft Skill",F11="Soft Skill (Examination)",F11="AWS Training",F11="AWS Session"),7,
OR(ISNUMBER(SEARCH("MAD",F11)),ISNUMBER(SEARCH("STQA",F11)),F11="CI/CD Session"),8,
OR(ISNUMBER(SEARCH("Cloud",F11)),F11="Industry Readiness Program",ISNUMBER(SEARCH("Talenlio",F11))),9,
OR(ISNUMBER(SEARCH("Innovation",F11)),F11="Mini Project"),10,
OR(ISNUMBER(SEARCH("Data Science",F11)),ISNUMBER(SEARCH("DS",F11))),11,
ISNUMBER(SEARCH("Generative AI",F11)),12
=_xlfn.IFS(
OR(F11="Selenium (Hands-on)",F11="Guest Lecture: HR Interview"),6,
OR(F11="Soft Skill",F11="Soft Skill (Examination)",F11="AWS Training",F11="AWS Session"),7,
OR(ISNUMBER(SEARCH("MAD",F11)),ISNUMBER(SEARCH("STQA",F11)),F11="CI/CD Session"),8,
OR(ISNUMBER(SEARCH("Cloud",F11)),F11="Industry Readiness Program",ISNUMBER(SEARCH("Talenlio",F11))),9,
OR(ISNUMBER(SEARCH("Innovation",F11)),F11="Mini Project"),10,
OR(ISNUMBER(SEARCH("Data Science",F11)),ISNUMBER(SEARCH("DS",F11))),11,
ISNUMBER(SEARCH("Generative AI",F11)),12
=_xlfn.IFS(
OR(F11="Selenium (Hands-on)",F11="Guest Lecture: HR Interview"),6,
OR(F11="Soft Skill",F11="Soft Skill (Examination)",F11="AWS Training",F11="AWS Session"),7,
OR(ISNUMBER(SEARCH("MAD",F11)),ISNUMBER(SEARCH("STQA",F11)),F11="CI/CD Session"),8,
OR(ISNUMBER(SEARCH("Cloud",F11)),F11="Industry Readiness Program",ISNUMBER(SEARCH("Talenlio",F11))),9,
OR(ISNUMBER(SEARCH("Innovation",F11)),F11="Mini Project"),10,
OR(ISNUMBER(SEARCH("Data Science",F11)),ISNUMBER(SEARCH("DS",F11))),11,
ISNUMBER(SEARCH("Generative AI",F11)),12
))))</f>
        <v>7</v>
      </c>
      <c r="X11" s="3">
        <v>1</v>
      </c>
      <c r="Y11" s="3">
        <v>3</v>
      </c>
      <c r="Z11" s="3" t="s">
        <v>35</v>
      </c>
    </row>
    <row r="12" spans="1:26" x14ac:dyDescent="0.3">
      <c r="A12" s="2">
        <v>46190</v>
      </c>
      <c r="B12" s="3" t="s">
        <v>44</v>
      </c>
      <c r="C12" s="3">
        <v>3</v>
      </c>
      <c r="D12" s="4">
        <v>0.5625</v>
      </c>
      <c r="E12" s="4">
        <v>0.60416666666666696</v>
      </c>
      <c r="F12" s="3" t="s">
        <v>41</v>
      </c>
      <c r="G12" s="3" t="s">
        <v>288</v>
      </c>
      <c r="H12" s="3" t="s">
        <v>29</v>
      </c>
      <c r="I12" s="3" t="s">
        <v>30</v>
      </c>
      <c r="J12" s="3" t="s">
        <v>31</v>
      </c>
      <c r="K12" s="3" t="s">
        <v>42</v>
      </c>
      <c r="L12" s="5">
        <v>103</v>
      </c>
      <c r="M12" s="5">
        <f t="shared" ca="1" si="0"/>
        <v>78</v>
      </c>
      <c r="N12" s="6">
        <f t="shared" ca="1" si="3"/>
        <v>75.728155339805824</v>
      </c>
      <c r="O12" s="3" cm="1">
        <f t="array" aca="1" ref="O12" ca="1">IFERROR(LOOKUP(2, 1/((F$1:F11=F12)*(J$1:J11=J12)*(ROW(F$1:F11)&lt;ROW(F12))), N$1:N11), "")</f>
        <v>98.05825242718447</v>
      </c>
      <c r="P12" s="3">
        <f t="shared" si="4"/>
        <v>2.25</v>
      </c>
      <c r="Q12" s="3" t="s">
        <v>43</v>
      </c>
      <c r="R12" s="3" t="s">
        <v>40</v>
      </c>
      <c r="S12" s="3" t="str">
        <f t="shared" si="1"/>
        <v>No</v>
      </c>
      <c r="T12" s="3" t="s">
        <v>40</v>
      </c>
      <c r="U12" s="3" t="str">
        <f t="shared" si="2"/>
        <v>Sunny</v>
      </c>
      <c r="V12" s="3" t="s">
        <v>40</v>
      </c>
      <c r="W12" s="3" cm="1">
        <f t="array" ref="W12">_xlfn.IFS(
OR(F12="Selenium (Hands-on)",F12="Guest Lecture: HR Interview"),6,
OR(F12="Soft Skill",F12="Soft Skill (Examination)",F12="AWS Training",F12="AWS Session"),7,
OR(ISNUMBER(SEARCH("MAD",F12)),ISNUMBER(SEARCH("STQA",F12)),F12="CI/CD Session"),8,
OR(ISNUMBER(SEARCH("Cloud",F12)),F12="Industry Readiness Program",ISNUMBER(SEARCH("Talenlio",F12))),9,
OR(ISNUMBER(SEARCH("Innovation",F12)),F12="Mini Project"),10,
OR(ISNUMBER(SEARCH("Data Science",F12)),ISNUMBER(SEARCH("DS",F12))),11,
ISNUMBER(SEARCH("Generative AI",F12)),12
=_xlfn.IFS(
OR(F12="Selenium (Hands-on)",F12="Guest Lecture: HR Interview"),6,
OR(F12="Soft Skill",F12="Soft Skill (Examination)",F12="AWS Training",F12="AWS Session"),7,
OR(ISNUMBER(SEARCH("MAD",F12)),ISNUMBER(SEARCH("STQA",F12)),F12="CI/CD Session"),8,
OR(ISNUMBER(SEARCH("Cloud",F12)),F12="Industry Readiness Program",ISNUMBER(SEARCH("Talenlio",F12))),9,
OR(ISNUMBER(SEARCH("Innovation",F12)),F12="Mini Project"),10,
OR(ISNUMBER(SEARCH("Data Science",F12)),ISNUMBER(SEARCH("DS",F12))),11,
ISNUMBER(SEARCH("Generative AI",F12)),12
=_xlfn.IFS(
OR(F12="Selenium (Hands-on)",F12="Guest Lecture: HR Interview"),6,
OR(F12="Soft Skill",F12="Soft Skill (Examination)",F12="AWS Training",F12="AWS Session"),7,
OR(ISNUMBER(SEARCH("MAD",F12)),ISNUMBER(SEARCH("STQA",F12)),F12="CI/CD Session"),8,
OR(ISNUMBER(SEARCH("Cloud",F12)),F12="Industry Readiness Program",ISNUMBER(SEARCH("Talenlio",F12))),9,
OR(ISNUMBER(SEARCH("Innovation",F12)),F12="Mini Project"),10,
OR(ISNUMBER(SEARCH("Data Science",F12)),ISNUMBER(SEARCH("DS",F12))),11,
ISNUMBER(SEARCH("Generative AI",F12)),12
=_xlfn.IFS(
OR(F12="Selenium (Hands-on)",F12="Guest Lecture: HR Interview"),6,
OR(F12="Soft Skill",F12="Soft Skill (Examination)",F12="AWS Training",F12="AWS Session"),7,
OR(ISNUMBER(SEARCH("MAD",F12)),ISNUMBER(SEARCH("STQA",F12)),F12="CI/CD Session"),8,
OR(ISNUMBER(SEARCH("Cloud",F12)),F12="Industry Readiness Program",ISNUMBER(SEARCH("Talenlio",F12))),9,
OR(ISNUMBER(SEARCH("Innovation",F12)),F12="Mini Project"),10,
OR(ISNUMBER(SEARCH("Data Science",F12)),ISNUMBER(SEARCH("DS",F12))),11,
ISNUMBER(SEARCH("Generative AI",F12)),12
))))</f>
        <v>8</v>
      </c>
      <c r="X12" s="3">
        <v>1</v>
      </c>
      <c r="Y12" s="3">
        <v>3</v>
      </c>
      <c r="Z12" s="3" t="s">
        <v>38</v>
      </c>
    </row>
    <row r="13" spans="1:26" x14ac:dyDescent="0.3">
      <c r="A13" s="2">
        <v>46190</v>
      </c>
      <c r="B13" s="3" t="s">
        <v>44</v>
      </c>
      <c r="C13" s="3">
        <v>4</v>
      </c>
      <c r="D13" s="4">
        <v>0.60416666666666696</v>
      </c>
      <c r="E13" s="4">
        <v>0.64583333333333304</v>
      </c>
      <c r="F13" s="3" t="s">
        <v>41</v>
      </c>
      <c r="G13" s="3" t="s">
        <v>288</v>
      </c>
      <c r="H13" s="3" t="s">
        <v>29</v>
      </c>
      <c r="I13" s="3" t="s">
        <v>30</v>
      </c>
      <c r="J13" s="3" t="s">
        <v>31</v>
      </c>
      <c r="K13" s="3" t="s">
        <v>42</v>
      </c>
      <c r="L13" s="5">
        <v>103</v>
      </c>
      <c r="M13" s="5">
        <f t="shared" ca="1" si="0"/>
        <v>44</v>
      </c>
      <c r="N13" s="6">
        <f t="shared" ca="1" si="3"/>
        <v>42.718446601941743</v>
      </c>
      <c r="O13" s="3" cm="1">
        <f t="array" aca="1" ref="O13" ca="1">IFERROR(LOOKUP(2, 1/((F$1:F12=F13)*(J$1:J12=J13)*(ROW(F$1:F12)&lt;ROW(F13))), N$1:N12), "")</f>
        <v>75.728155339805824</v>
      </c>
      <c r="P13" s="3">
        <f t="shared" si="4"/>
        <v>0</v>
      </c>
      <c r="Q13" s="3" t="s">
        <v>43</v>
      </c>
      <c r="R13" s="3" t="s">
        <v>40</v>
      </c>
      <c r="S13" s="3" t="str">
        <f t="shared" si="1"/>
        <v>No</v>
      </c>
      <c r="T13" s="3" t="s">
        <v>40</v>
      </c>
      <c r="U13" s="3" t="str">
        <f t="shared" si="2"/>
        <v>Sunny</v>
      </c>
      <c r="V13" s="3" t="s">
        <v>40</v>
      </c>
      <c r="W13" s="3" cm="1">
        <f t="array" ref="W13">_xlfn.IFS(
OR(F13="Selenium (Hands-on)",F13="Guest Lecture: HR Interview"),6,
OR(F13="Soft Skill",F13="Soft Skill (Examination)",F13="AWS Training",F13="AWS Session"),7,
OR(ISNUMBER(SEARCH("MAD",F13)),ISNUMBER(SEARCH("STQA",F13)),F13="CI/CD Session"),8,
OR(ISNUMBER(SEARCH("Cloud",F13)),F13="Industry Readiness Program",ISNUMBER(SEARCH("Talenlio",F13))),9,
OR(ISNUMBER(SEARCH("Innovation",F13)),F13="Mini Project"),10,
OR(ISNUMBER(SEARCH("Data Science",F13)),ISNUMBER(SEARCH("DS",F13))),11,
ISNUMBER(SEARCH("Generative AI",F13)),12
=_xlfn.IFS(
OR(F13="Selenium (Hands-on)",F13="Guest Lecture: HR Interview"),6,
OR(F13="Soft Skill",F13="Soft Skill (Examination)",F13="AWS Training",F13="AWS Session"),7,
OR(ISNUMBER(SEARCH("MAD",F13)),ISNUMBER(SEARCH("STQA",F13)),F13="CI/CD Session"),8,
OR(ISNUMBER(SEARCH("Cloud",F13)),F13="Industry Readiness Program",ISNUMBER(SEARCH("Talenlio",F13))),9,
OR(ISNUMBER(SEARCH("Innovation",F13)),F13="Mini Project"),10,
OR(ISNUMBER(SEARCH("Data Science",F13)),ISNUMBER(SEARCH("DS",F13))),11,
ISNUMBER(SEARCH("Generative AI",F13)),12
=_xlfn.IFS(
OR(F13="Selenium (Hands-on)",F13="Guest Lecture: HR Interview"),6,
OR(F13="Soft Skill",F13="Soft Skill (Examination)",F13="AWS Training",F13="AWS Session"),7,
OR(ISNUMBER(SEARCH("MAD",F13)),ISNUMBER(SEARCH("STQA",F13)),F13="CI/CD Session"),8,
OR(ISNUMBER(SEARCH("Cloud",F13)),F13="Industry Readiness Program",ISNUMBER(SEARCH("Talenlio",F13))),9,
OR(ISNUMBER(SEARCH("Innovation",F13)),F13="Mini Project"),10,
OR(ISNUMBER(SEARCH("Data Science",F13)),ISNUMBER(SEARCH("DS",F13))),11,
ISNUMBER(SEARCH("Generative AI",F13)),12
=_xlfn.IFS(
OR(F13="Selenium (Hands-on)",F13="Guest Lecture: HR Interview"),6,
OR(F13="Soft Skill",F13="Soft Skill (Examination)",F13="AWS Training",F13="AWS Session"),7,
OR(ISNUMBER(SEARCH("MAD",F13)),ISNUMBER(SEARCH("STQA",F13)),F13="CI/CD Session"),8,
OR(ISNUMBER(SEARCH("Cloud",F13)),F13="Industry Readiness Program",ISNUMBER(SEARCH("Talenlio",F13))),9,
OR(ISNUMBER(SEARCH("Innovation",F13)),F13="Mini Project"),10,
OR(ISNUMBER(SEARCH("Data Science",F13)),ISNUMBER(SEARCH("DS",F13))),11,
ISNUMBER(SEARCH("Generative AI",F13)),12
))))</f>
        <v>8</v>
      </c>
      <c r="X13" s="3">
        <v>1</v>
      </c>
      <c r="Y13" s="3">
        <v>3</v>
      </c>
      <c r="Z13" s="3" t="s">
        <v>38</v>
      </c>
    </row>
    <row r="14" spans="1:26" x14ac:dyDescent="0.3">
      <c r="A14" s="2">
        <v>46191</v>
      </c>
      <c r="B14" s="3" t="s">
        <v>45</v>
      </c>
      <c r="C14" s="3">
        <v>1</v>
      </c>
      <c r="D14" s="4">
        <v>0.38541666666666702</v>
      </c>
      <c r="E14" s="4">
        <v>0.42708333333333298</v>
      </c>
      <c r="F14" s="3" t="s">
        <v>27</v>
      </c>
      <c r="G14" s="3" t="s">
        <v>287</v>
      </c>
      <c r="H14" s="3" t="s">
        <v>29</v>
      </c>
      <c r="I14" s="3" t="s">
        <v>30</v>
      </c>
      <c r="J14" s="3" t="s">
        <v>31</v>
      </c>
      <c r="K14" s="3" t="s">
        <v>32</v>
      </c>
      <c r="L14" s="5">
        <v>103</v>
      </c>
      <c r="M14" s="5">
        <f t="shared" ca="1" si="0"/>
        <v>41</v>
      </c>
      <c r="N14" s="6">
        <f t="shared" ca="1" si="3"/>
        <v>39.805825242718448</v>
      </c>
      <c r="O14" s="3" cm="1">
        <f t="array" aca="1" ref="O14" ca="1">IFERROR(LOOKUP(2, 1/((F$1:F13=F14)*(J$1:J13=J14)*(ROW(F$1:F13)&lt;ROW(F14))), N$1:N13), "")</f>
        <v>47.572815533980581</v>
      </c>
      <c r="P14" s="3">
        <f t="shared" si="4"/>
        <v>0</v>
      </c>
      <c r="Q14" s="3" t="s">
        <v>33</v>
      </c>
      <c r="R14" s="3" t="s">
        <v>40</v>
      </c>
      <c r="S14" s="3" t="str">
        <f t="shared" si="1"/>
        <v>No</v>
      </c>
      <c r="T14" s="3" t="s">
        <v>40</v>
      </c>
      <c r="U14" s="3" t="str">
        <f t="shared" si="2"/>
        <v>Sunny</v>
      </c>
      <c r="V14" s="3" t="s">
        <v>40</v>
      </c>
      <c r="W14" s="3" cm="1">
        <f t="array" ref="W14">_xlfn.IFS(
OR(F14="Selenium (Hands-on)",F14="Guest Lecture: HR Interview"),6,
OR(F14="Soft Skill",F14="Soft Skill (Examination)",F14="AWS Training",F14="AWS Session"),7,
OR(ISNUMBER(SEARCH("MAD",F14)),ISNUMBER(SEARCH("STQA",F14)),F14="CI/CD Session"),8,
OR(ISNUMBER(SEARCH("Cloud",F14)),F14="Industry Readiness Program",ISNUMBER(SEARCH("Talenlio",F14))),9,
OR(ISNUMBER(SEARCH("Innovation",F14)),F14="Mini Project"),10,
OR(ISNUMBER(SEARCH("Data Science",F14)),ISNUMBER(SEARCH("DS",F14))),11,
ISNUMBER(SEARCH("Generative AI",F14)),12
=_xlfn.IFS(
OR(F14="Selenium (Hands-on)",F14="Guest Lecture: HR Interview"),6,
OR(F14="Soft Skill",F14="Soft Skill (Examination)",F14="AWS Training",F14="AWS Session"),7,
OR(ISNUMBER(SEARCH("MAD",F14)),ISNUMBER(SEARCH("STQA",F14)),F14="CI/CD Session"),8,
OR(ISNUMBER(SEARCH("Cloud",F14)),F14="Industry Readiness Program",ISNUMBER(SEARCH("Talenlio",F14))),9,
OR(ISNUMBER(SEARCH("Innovation",F14)),F14="Mini Project"),10,
OR(ISNUMBER(SEARCH("Data Science",F14)),ISNUMBER(SEARCH("DS",F14))),11,
ISNUMBER(SEARCH("Generative AI",F14)),12
=_xlfn.IFS(
OR(F14="Selenium (Hands-on)",F14="Guest Lecture: HR Interview"),6,
OR(F14="Soft Skill",F14="Soft Skill (Examination)",F14="AWS Training",F14="AWS Session"),7,
OR(ISNUMBER(SEARCH("MAD",F14)),ISNUMBER(SEARCH("STQA",F14)),F14="CI/CD Session"),8,
OR(ISNUMBER(SEARCH("Cloud",F14)),F14="Industry Readiness Program",ISNUMBER(SEARCH("Talenlio",F14))),9,
OR(ISNUMBER(SEARCH("Innovation",F14)),F14="Mini Project"),10,
OR(ISNUMBER(SEARCH("Data Science",F14)),ISNUMBER(SEARCH("DS",F14))),11,
ISNUMBER(SEARCH("Generative AI",F14)),12
=_xlfn.IFS(
OR(F14="Selenium (Hands-on)",F14="Guest Lecture: HR Interview"),6,
OR(F14="Soft Skill",F14="Soft Skill (Examination)",F14="AWS Training",F14="AWS Session"),7,
OR(ISNUMBER(SEARCH("MAD",F14)),ISNUMBER(SEARCH("STQA",F14)),F14="CI/CD Session"),8,
OR(ISNUMBER(SEARCH("Cloud",F14)),F14="Industry Readiness Program",ISNUMBER(SEARCH("Talenlio",F14))),9,
OR(ISNUMBER(SEARCH("Innovation",F14)),F14="Mini Project"),10,
OR(ISNUMBER(SEARCH("Data Science",F14)),ISNUMBER(SEARCH("DS",F14))),11,
ISNUMBER(SEARCH("Generative AI",F14)),12
))))</f>
        <v>7</v>
      </c>
      <c r="X14" s="3">
        <v>1</v>
      </c>
      <c r="Y14" s="3">
        <v>4</v>
      </c>
      <c r="Z14" s="3" t="s">
        <v>35</v>
      </c>
    </row>
    <row r="15" spans="1:26" x14ac:dyDescent="0.3">
      <c r="A15" s="2">
        <v>46191</v>
      </c>
      <c r="B15" s="3" t="s">
        <v>45</v>
      </c>
      <c r="C15" s="3">
        <v>2</v>
      </c>
      <c r="D15" s="4">
        <v>0.42708333333333298</v>
      </c>
      <c r="E15" s="4">
        <v>0.46875</v>
      </c>
      <c r="F15" s="3" t="s">
        <v>27</v>
      </c>
      <c r="G15" s="3" t="s">
        <v>287</v>
      </c>
      <c r="H15" s="3" t="s">
        <v>29</v>
      </c>
      <c r="I15" s="3" t="s">
        <v>30</v>
      </c>
      <c r="J15" s="3" t="s">
        <v>31</v>
      </c>
      <c r="K15" s="3" t="s">
        <v>32</v>
      </c>
      <c r="L15" s="5">
        <v>103</v>
      </c>
      <c r="M15" s="5">
        <f t="shared" ca="1" si="0"/>
        <v>69</v>
      </c>
      <c r="N15" s="6">
        <f t="shared" ca="1" si="3"/>
        <v>66.990291262135926</v>
      </c>
      <c r="O15" s="3" cm="1">
        <f t="array" aca="1" ref="O15" ca="1">IFERROR(LOOKUP(2, 1/((F$1:F14=F15)*(J$1:J14=J15)*(ROW(F$1:F14)&lt;ROW(F15))), N$1:N14), "")</f>
        <v>39.805825242718448</v>
      </c>
      <c r="P15" s="3">
        <f t="shared" si="4"/>
        <v>0</v>
      </c>
      <c r="Q15" s="3" t="s">
        <v>33</v>
      </c>
      <c r="R15" s="3" t="s">
        <v>40</v>
      </c>
      <c r="S15" s="3" t="str">
        <f t="shared" si="1"/>
        <v>No</v>
      </c>
      <c r="T15" s="3" t="s">
        <v>40</v>
      </c>
      <c r="U15" s="3" t="str">
        <f t="shared" si="2"/>
        <v>Sunny</v>
      </c>
      <c r="V15" s="3" t="s">
        <v>40</v>
      </c>
      <c r="W15" s="3" cm="1">
        <f t="array" ref="W15">_xlfn.IFS(
OR(F15="Selenium (Hands-on)",F15="Guest Lecture: HR Interview"),6,
OR(F15="Soft Skill",F15="Soft Skill (Examination)",F15="AWS Training",F15="AWS Session"),7,
OR(ISNUMBER(SEARCH("MAD",F15)),ISNUMBER(SEARCH("STQA",F15)),F15="CI/CD Session"),8,
OR(ISNUMBER(SEARCH("Cloud",F15)),F15="Industry Readiness Program",ISNUMBER(SEARCH("Talenlio",F15))),9,
OR(ISNUMBER(SEARCH("Innovation",F15)),F15="Mini Project"),10,
OR(ISNUMBER(SEARCH("Data Science",F15)),ISNUMBER(SEARCH("DS",F15))),11,
ISNUMBER(SEARCH("Generative AI",F15)),12
=_xlfn.IFS(
OR(F15="Selenium (Hands-on)",F15="Guest Lecture: HR Interview"),6,
OR(F15="Soft Skill",F15="Soft Skill (Examination)",F15="AWS Training",F15="AWS Session"),7,
OR(ISNUMBER(SEARCH("MAD",F15)),ISNUMBER(SEARCH("STQA",F15)),F15="CI/CD Session"),8,
OR(ISNUMBER(SEARCH("Cloud",F15)),F15="Industry Readiness Program",ISNUMBER(SEARCH("Talenlio",F15))),9,
OR(ISNUMBER(SEARCH("Innovation",F15)),F15="Mini Project"),10,
OR(ISNUMBER(SEARCH("Data Science",F15)),ISNUMBER(SEARCH("DS",F15))),11,
ISNUMBER(SEARCH("Generative AI",F15)),12
=_xlfn.IFS(
OR(F15="Selenium (Hands-on)",F15="Guest Lecture: HR Interview"),6,
OR(F15="Soft Skill",F15="Soft Skill (Examination)",F15="AWS Training",F15="AWS Session"),7,
OR(ISNUMBER(SEARCH("MAD",F15)),ISNUMBER(SEARCH("STQA",F15)),F15="CI/CD Session"),8,
OR(ISNUMBER(SEARCH("Cloud",F15)),F15="Industry Readiness Program",ISNUMBER(SEARCH("Talenlio",F15))),9,
OR(ISNUMBER(SEARCH("Innovation",F15)),F15="Mini Project"),10,
OR(ISNUMBER(SEARCH("Data Science",F15)),ISNUMBER(SEARCH("DS",F15))),11,
ISNUMBER(SEARCH("Generative AI",F15)),12
=_xlfn.IFS(
OR(F15="Selenium (Hands-on)",F15="Guest Lecture: HR Interview"),6,
OR(F15="Soft Skill",F15="Soft Skill (Examination)",F15="AWS Training",F15="AWS Session"),7,
OR(ISNUMBER(SEARCH("MAD",F15)),ISNUMBER(SEARCH("STQA",F15)),F15="CI/CD Session"),8,
OR(ISNUMBER(SEARCH("Cloud",F15)),F15="Industry Readiness Program",ISNUMBER(SEARCH("Talenlio",F15))),9,
OR(ISNUMBER(SEARCH("Innovation",F15)),F15="Mini Project"),10,
OR(ISNUMBER(SEARCH("Data Science",F15)),ISNUMBER(SEARCH("DS",F15))),11,
ISNUMBER(SEARCH("Generative AI",F15)),12
))))</f>
        <v>7</v>
      </c>
      <c r="X15" s="3">
        <v>1</v>
      </c>
      <c r="Y15" s="3">
        <v>4</v>
      </c>
      <c r="Z15" s="3" t="s">
        <v>35</v>
      </c>
    </row>
    <row r="16" spans="1:26" x14ac:dyDescent="0.3">
      <c r="A16" s="2">
        <v>46191</v>
      </c>
      <c r="B16" s="3" t="s">
        <v>45</v>
      </c>
      <c r="C16" s="3">
        <v>3</v>
      </c>
      <c r="D16" s="4">
        <v>0.5625</v>
      </c>
      <c r="E16" s="4">
        <v>0.60416666666666696</v>
      </c>
      <c r="F16" s="3" t="s">
        <v>41</v>
      </c>
      <c r="G16" s="3" t="s">
        <v>288</v>
      </c>
      <c r="H16" s="3" t="s">
        <v>29</v>
      </c>
      <c r="I16" s="3" t="s">
        <v>30</v>
      </c>
      <c r="J16" s="3" t="s">
        <v>31</v>
      </c>
      <c r="K16" s="3" t="s">
        <v>42</v>
      </c>
      <c r="L16" s="5">
        <v>103</v>
      </c>
      <c r="M16" s="5">
        <f t="shared" ca="1" si="0"/>
        <v>80</v>
      </c>
      <c r="N16" s="6">
        <f t="shared" ca="1" si="3"/>
        <v>77.669902912621353</v>
      </c>
      <c r="O16" s="3" cm="1">
        <f t="array" aca="1" ref="O16" ca="1">IFERROR(LOOKUP(2, 1/((F$1:F15=F16)*(J$1:J15=J16)*(ROW(F$1:F15)&lt;ROW(F16))), N$1:N15), "")</f>
        <v>42.718446601941743</v>
      </c>
      <c r="P16" s="3">
        <f t="shared" si="4"/>
        <v>2.25</v>
      </c>
      <c r="Q16" s="3" t="s">
        <v>43</v>
      </c>
      <c r="R16" s="3" t="s">
        <v>40</v>
      </c>
      <c r="S16" s="3" t="str">
        <f t="shared" si="1"/>
        <v>No</v>
      </c>
      <c r="T16" s="3" t="s">
        <v>40</v>
      </c>
      <c r="U16" s="3" t="str">
        <f t="shared" si="2"/>
        <v>Sunny</v>
      </c>
      <c r="V16" s="3" t="s">
        <v>40</v>
      </c>
      <c r="W16" s="3" cm="1">
        <f t="array" ref="W16">_xlfn.IFS(
OR(F16="Selenium (Hands-on)",F16="Guest Lecture: HR Interview"),6,
OR(F16="Soft Skill",F16="Soft Skill (Examination)",F16="AWS Training",F16="AWS Session"),7,
OR(ISNUMBER(SEARCH("MAD",F16)),ISNUMBER(SEARCH("STQA",F16)),F16="CI/CD Session"),8,
OR(ISNUMBER(SEARCH("Cloud",F16)),F16="Industry Readiness Program",ISNUMBER(SEARCH("Talenlio",F16))),9,
OR(ISNUMBER(SEARCH("Innovation",F16)),F16="Mini Project"),10,
OR(ISNUMBER(SEARCH("Data Science",F16)),ISNUMBER(SEARCH("DS",F16))),11,
ISNUMBER(SEARCH("Generative AI",F16)),12
=_xlfn.IFS(
OR(F16="Selenium (Hands-on)",F16="Guest Lecture: HR Interview"),6,
OR(F16="Soft Skill",F16="Soft Skill (Examination)",F16="AWS Training",F16="AWS Session"),7,
OR(ISNUMBER(SEARCH("MAD",F16)),ISNUMBER(SEARCH("STQA",F16)),F16="CI/CD Session"),8,
OR(ISNUMBER(SEARCH("Cloud",F16)),F16="Industry Readiness Program",ISNUMBER(SEARCH("Talenlio",F16))),9,
OR(ISNUMBER(SEARCH("Innovation",F16)),F16="Mini Project"),10,
OR(ISNUMBER(SEARCH("Data Science",F16)),ISNUMBER(SEARCH("DS",F16))),11,
ISNUMBER(SEARCH("Generative AI",F16)),12
=_xlfn.IFS(
OR(F16="Selenium (Hands-on)",F16="Guest Lecture: HR Interview"),6,
OR(F16="Soft Skill",F16="Soft Skill (Examination)",F16="AWS Training",F16="AWS Session"),7,
OR(ISNUMBER(SEARCH("MAD",F16)),ISNUMBER(SEARCH("STQA",F16)),F16="CI/CD Session"),8,
OR(ISNUMBER(SEARCH("Cloud",F16)),F16="Industry Readiness Program",ISNUMBER(SEARCH("Talenlio",F16))),9,
OR(ISNUMBER(SEARCH("Innovation",F16)),F16="Mini Project"),10,
OR(ISNUMBER(SEARCH("Data Science",F16)),ISNUMBER(SEARCH("DS",F16))),11,
ISNUMBER(SEARCH("Generative AI",F16)),12
=_xlfn.IFS(
OR(F16="Selenium (Hands-on)",F16="Guest Lecture: HR Interview"),6,
OR(F16="Soft Skill",F16="Soft Skill (Examination)",F16="AWS Training",F16="AWS Session"),7,
OR(ISNUMBER(SEARCH("MAD",F16)),ISNUMBER(SEARCH("STQA",F16)),F16="CI/CD Session"),8,
OR(ISNUMBER(SEARCH("Cloud",F16)),F16="Industry Readiness Program",ISNUMBER(SEARCH("Talenlio",F16))),9,
OR(ISNUMBER(SEARCH("Innovation",F16)),F16="Mini Project"),10,
OR(ISNUMBER(SEARCH("Data Science",F16)),ISNUMBER(SEARCH("DS",F16))),11,
ISNUMBER(SEARCH("Generative AI",F16)),12
))))</f>
        <v>8</v>
      </c>
      <c r="X16" s="3">
        <v>1</v>
      </c>
      <c r="Y16" s="3">
        <v>4</v>
      </c>
      <c r="Z16" s="3" t="s">
        <v>38</v>
      </c>
    </row>
    <row r="17" spans="1:26" x14ac:dyDescent="0.3">
      <c r="A17" s="2">
        <v>46191</v>
      </c>
      <c r="B17" s="3" t="s">
        <v>45</v>
      </c>
      <c r="C17" s="3">
        <v>4</v>
      </c>
      <c r="D17" s="4">
        <v>0.60416666666666696</v>
      </c>
      <c r="E17" s="4">
        <v>0.64583333333333304</v>
      </c>
      <c r="F17" s="3" t="s">
        <v>41</v>
      </c>
      <c r="G17" s="3" t="s">
        <v>288</v>
      </c>
      <c r="H17" s="3" t="s">
        <v>29</v>
      </c>
      <c r="I17" s="3" t="s">
        <v>30</v>
      </c>
      <c r="J17" s="3" t="s">
        <v>31</v>
      </c>
      <c r="K17" s="3" t="s">
        <v>42</v>
      </c>
      <c r="L17" s="5">
        <v>103</v>
      </c>
      <c r="M17" s="5">
        <f t="shared" ca="1" si="0"/>
        <v>69</v>
      </c>
      <c r="N17" s="6">
        <f t="shared" ca="1" si="3"/>
        <v>66.990291262135926</v>
      </c>
      <c r="O17" s="3" cm="1">
        <f t="array" aca="1" ref="O17" ca="1">IFERROR(LOOKUP(2, 1/((F$1:F16=F17)*(J$1:J16=J17)*(ROW(F$1:F16)&lt;ROW(F17))), N$1:N16), "")</f>
        <v>77.669902912621353</v>
      </c>
      <c r="P17" s="3">
        <f t="shared" si="4"/>
        <v>0</v>
      </c>
      <c r="Q17" s="3" t="s">
        <v>43</v>
      </c>
      <c r="R17" s="3" t="s">
        <v>40</v>
      </c>
      <c r="S17" s="3" t="str">
        <f t="shared" si="1"/>
        <v>No</v>
      </c>
      <c r="T17" s="3" t="s">
        <v>40</v>
      </c>
      <c r="U17" s="3" t="str">
        <f t="shared" si="2"/>
        <v>Sunny</v>
      </c>
      <c r="V17" s="3" t="s">
        <v>40</v>
      </c>
      <c r="W17" s="3" cm="1">
        <f t="array" ref="W17">_xlfn.IFS(
OR(F17="Selenium (Hands-on)",F17="Guest Lecture: HR Interview"),6,
OR(F17="Soft Skill",F17="Soft Skill (Examination)",F17="AWS Training",F17="AWS Session"),7,
OR(ISNUMBER(SEARCH("MAD",F17)),ISNUMBER(SEARCH("STQA",F17)),F17="CI/CD Session"),8,
OR(ISNUMBER(SEARCH("Cloud",F17)),F17="Industry Readiness Program",ISNUMBER(SEARCH("Talenlio",F17))),9,
OR(ISNUMBER(SEARCH("Innovation",F17)),F17="Mini Project"),10,
OR(ISNUMBER(SEARCH("Data Science",F17)),ISNUMBER(SEARCH("DS",F17))),11,
ISNUMBER(SEARCH("Generative AI",F17)),12
=_xlfn.IFS(
OR(F17="Selenium (Hands-on)",F17="Guest Lecture: HR Interview"),6,
OR(F17="Soft Skill",F17="Soft Skill (Examination)",F17="AWS Training",F17="AWS Session"),7,
OR(ISNUMBER(SEARCH("MAD",F17)),ISNUMBER(SEARCH("STQA",F17)),F17="CI/CD Session"),8,
OR(ISNUMBER(SEARCH("Cloud",F17)),F17="Industry Readiness Program",ISNUMBER(SEARCH("Talenlio",F17))),9,
OR(ISNUMBER(SEARCH("Innovation",F17)),F17="Mini Project"),10,
OR(ISNUMBER(SEARCH("Data Science",F17)),ISNUMBER(SEARCH("DS",F17))),11,
ISNUMBER(SEARCH("Generative AI",F17)),12
=_xlfn.IFS(
OR(F17="Selenium (Hands-on)",F17="Guest Lecture: HR Interview"),6,
OR(F17="Soft Skill",F17="Soft Skill (Examination)",F17="AWS Training",F17="AWS Session"),7,
OR(ISNUMBER(SEARCH("MAD",F17)),ISNUMBER(SEARCH("STQA",F17)),F17="CI/CD Session"),8,
OR(ISNUMBER(SEARCH("Cloud",F17)),F17="Industry Readiness Program",ISNUMBER(SEARCH("Talenlio",F17))),9,
OR(ISNUMBER(SEARCH("Innovation",F17)),F17="Mini Project"),10,
OR(ISNUMBER(SEARCH("Data Science",F17)),ISNUMBER(SEARCH("DS",F17))),11,
ISNUMBER(SEARCH("Generative AI",F17)),12
=_xlfn.IFS(
OR(F17="Selenium (Hands-on)",F17="Guest Lecture: HR Interview"),6,
OR(F17="Soft Skill",F17="Soft Skill (Examination)",F17="AWS Training",F17="AWS Session"),7,
OR(ISNUMBER(SEARCH("MAD",F17)),ISNUMBER(SEARCH("STQA",F17)),F17="CI/CD Session"),8,
OR(ISNUMBER(SEARCH("Cloud",F17)),F17="Industry Readiness Program",ISNUMBER(SEARCH("Talenlio",F17))),9,
OR(ISNUMBER(SEARCH("Innovation",F17)),F17="Mini Project"),10,
OR(ISNUMBER(SEARCH("Data Science",F17)),ISNUMBER(SEARCH("DS",F17))),11,
ISNUMBER(SEARCH("Generative AI",F17)),12
))))</f>
        <v>8</v>
      </c>
      <c r="X17" s="3">
        <v>1</v>
      </c>
      <c r="Y17" s="3">
        <v>4</v>
      </c>
      <c r="Z17" s="3" t="s">
        <v>38</v>
      </c>
    </row>
    <row r="18" spans="1:26" x14ac:dyDescent="0.3">
      <c r="A18" s="2">
        <v>46192</v>
      </c>
      <c r="B18" s="3" t="s">
        <v>46</v>
      </c>
      <c r="C18" s="3">
        <v>1</v>
      </c>
      <c r="D18" s="4">
        <v>0.38541666666666702</v>
      </c>
      <c r="E18" s="4">
        <v>0.42708333333333298</v>
      </c>
      <c r="F18" s="3" t="s">
        <v>27</v>
      </c>
      <c r="G18" s="3" t="s">
        <v>287</v>
      </c>
      <c r="H18" s="3" t="s">
        <v>29</v>
      </c>
      <c r="I18" s="3" t="s">
        <v>30</v>
      </c>
      <c r="J18" s="3" t="s">
        <v>31</v>
      </c>
      <c r="K18" s="3" t="s">
        <v>32</v>
      </c>
      <c r="L18" s="5">
        <v>103</v>
      </c>
      <c r="M18" s="5">
        <f t="shared" ca="1" si="0"/>
        <v>97</v>
      </c>
      <c r="N18" s="6">
        <f t="shared" ca="1" si="3"/>
        <v>94.174757281553397</v>
      </c>
      <c r="O18" s="3" cm="1">
        <f t="array" aca="1" ref="O18" ca="1">IFERROR(LOOKUP(2, 1/((F$1:F17=F18)*(J$1:J17=J18)*(ROW(F$1:F17)&lt;ROW(F18))), N$1:N17), "")</f>
        <v>66.990291262135926</v>
      </c>
      <c r="P18" s="3">
        <f t="shared" si="4"/>
        <v>0</v>
      </c>
      <c r="Q18" s="3" t="s">
        <v>33</v>
      </c>
      <c r="R18" s="3" t="s">
        <v>40</v>
      </c>
      <c r="S18" s="3" t="str">
        <f t="shared" si="1"/>
        <v>Yes</v>
      </c>
      <c r="T18" s="3" t="s">
        <v>40</v>
      </c>
      <c r="U18" s="3" t="str">
        <f t="shared" si="2"/>
        <v>Sunny</v>
      </c>
      <c r="V18" s="3" t="s">
        <v>40</v>
      </c>
      <c r="W18" s="3" cm="1">
        <f t="array" ref="W18">_xlfn.IFS(
OR(F18="Selenium (Hands-on)",F18="Guest Lecture: HR Interview"),6,
OR(F18="Soft Skill",F18="Soft Skill (Examination)",F18="AWS Training",F18="AWS Session"),7,
OR(ISNUMBER(SEARCH("MAD",F18)),ISNUMBER(SEARCH("STQA",F18)),F18="CI/CD Session"),8,
OR(ISNUMBER(SEARCH("Cloud",F18)),F18="Industry Readiness Program",ISNUMBER(SEARCH("Talenlio",F18))),9,
OR(ISNUMBER(SEARCH("Innovation",F18)),F18="Mini Project"),10,
OR(ISNUMBER(SEARCH("Data Science",F18)),ISNUMBER(SEARCH("DS",F18))),11,
ISNUMBER(SEARCH("Generative AI",F18)),12
=_xlfn.IFS(
OR(F18="Selenium (Hands-on)",F18="Guest Lecture: HR Interview"),6,
OR(F18="Soft Skill",F18="Soft Skill (Examination)",F18="AWS Training",F18="AWS Session"),7,
OR(ISNUMBER(SEARCH("MAD",F18)),ISNUMBER(SEARCH("STQA",F18)),F18="CI/CD Session"),8,
OR(ISNUMBER(SEARCH("Cloud",F18)),F18="Industry Readiness Program",ISNUMBER(SEARCH("Talenlio",F18))),9,
OR(ISNUMBER(SEARCH("Innovation",F18)),F18="Mini Project"),10,
OR(ISNUMBER(SEARCH("Data Science",F18)),ISNUMBER(SEARCH("DS",F18))),11,
ISNUMBER(SEARCH("Generative AI",F18)),12
=_xlfn.IFS(
OR(F18="Selenium (Hands-on)",F18="Guest Lecture: HR Interview"),6,
OR(F18="Soft Skill",F18="Soft Skill (Examination)",F18="AWS Training",F18="AWS Session"),7,
OR(ISNUMBER(SEARCH("MAD",F18)),ISNUMBER(SEARCH("STQA",F18)),F18="CI/CD Session"),8,
OR(ISNUMBER(SEARCH("Cloud",F18)),F18="Industry Readiness Program",ISNUMBER(SEARCH("Talenlio",F18))),9,
OR(ISNUMBER(SEARCH("Innovation",F18)),F18="Mini Project"),10,
OR(ISNUMBER(SEARCH("Data Science",F18)),ISNUMBER(SEARCH("DS",F18))),11,
ISNUMBER(SEARCH("Generative AI",F18)),12
=_xlfn.IFS(
OR(F18="Selenium (Hands-on)",F18="Guest Lecture: HR Interview"),6,
OR(F18="Soft Skill",F18="Soft Skill (Examination)",F18="AWS Training",F18="AWS Session"),7,
OR(ISNUMBER(SEARCH("MAD",F18)),ISNUMBER(SEARCH("STQA",F18)),F18="CI/CD Session"),8,
OR(ISNUMBER(SEARCH("Cloud",F18)),F18="Industry Readiness Program",ISNUMBER(SEARCH("Talenlio",F18))),9,
OR(ISNUMBER(SEARCH("Innovation",F18)),F18="Mini Project"),10,
OR(ISNUMBER(SEARCH("Data Science",F18)),ISNUMBER(SEARCH("DS",F18))),11,
ISNUMBER(SEARCH("Generative AI",F18)),12
))))</f>
        <v>7</v>
      </c>
      <c r="X18" s="3">
        <v>1</v>
      </c>
      <c r="Y18" s="3">
        <v>5</v>
      </c>
      <c r="Z18" s="3" t="s">
        <v>35</v>
      </c>
    </row>
    <row r="19" spans="1:26" x14ac:dyDescent="0.3">
      <c r="A19" s="2">
        <v>46192</v>
      </c>
      <c r="B19" s="3" t="s">
        <v>46</v>
      </c>
      <c r="C19" s="3">
        <v>2</v>
      </c>
      <c r="D19" s="4">
        <v>0.42708333333333298</v>
      </c>
      <c r="E19" s="4">
        <v>0.46875</v>
      </c>
      <c r="F19" s="3" t="s">
        <v>27</v>
      </c>
      <c r="G19" s="3" t="s">
        <v>287</v>
      </c>
      <c r="H19" s="3" t="s">
        <v>29</v>
      </c>
      <c r="I19" s="3" t="s">
        <v>30</v>
      </c>
      <c r="J19" s="3" t="s">
        <v>31</v>
      </c>
      <c r="K19" s="3" t="s">
        <v>32</v>
      </c>
      <c r="L19" s="5">
        <v>103</v>
      </c>
      <c r="M19" s="5">
        <f t="shared" ca="1" si="0"/>
        <v>69</v>
      </c>
      <c r="N19" s="6">
        <f t="shared" ca="1" si="3"/>
        <v>66.990291262135926</v>
      </c>
      <c r="O19" s="3" cm="1">
        <f t="array" aca="1" ref="O19" ca="1">IFERROR(LOOKUP(2, 1/((F$1:F18=F19)*(J$1:J18=J19)*(ROW(F$1:F18)&lt;ROW(F19))), N$1:N18), "")</f>
        <v>94.174757281553397</v>
      </c>
      <c r="P19" s="3">
        <f t="shared" si="4"/>
        <v>0</v>
      </c>
      <c r="Q19" s="3" t="s">
        <v>33</v>
      </c>
      <c r="R19" s="3" t="s">
        <v>40</v>
      </c>
      <c r="S19" s="3" t="str">
        <f t="shared" si="1"/>
        <v>Yes</v>
      </c>
      <c r="T19" s="3" t="s">
        <v>40</v>
      </c>
      <c r="U19" s="3" t="str">
        <f t="shared" si="2"/>
        <v>Sunny</v>
      </c>
      <c r="V19" s="3" t="s">
        <v>40</v>
      </c>
      <c r="W19" s="3" cm="1">
        <f t="array" ref="W19">_xlfn.IFS(
OR(F19="Selenium (Hands-on)",F19="Guest Lecture: HR Interview"),6,
OR(F19="Soft Skill",F19="Soft Skill (Examination)",F19="AWS Training",F19="AWS Session"),7,
OR(ISNUMBER(SEARCH("MAD",F19)),ISNUMBER(SEARCH("STQA",F19)),F19="CI/CD Session"),8,
OR(ISNUMBER(SEARCH("Cloud",F19)),F19="Industry Readiness Program",ISNUMBER(SEARCH("Talenlio",F19))),9,
OR(ISNUMBER(SEARCH("Innovation",F19)),F19="Mini Project"),10,
OR(ISNUMBER(SEARCH("Data Science",F19)),ISNUMBER(SEARCH("DS",F19))),11,
ISNUMBER(SEARCH("Generative AI",F19)),12
=_xlfn.IFS(
OR(F19="Selenium (Hands-on)",F19="Guest Lecture: HR Interview"),6,
OR(F19="Soft Skill",F19="Soft Skill (Examination)",F19="AWS Training",F19="AWS Session"),7,
OR(ISNUMBER(SEARCH("MAD",F19)),ISNUMBER(SEARCH("STQA",F19)),F19="CI/CD Session"),8,
OR(ISNUMBER(SEARCH("Cloud",F19)),F19="Industry Readiness Program",ISNUMBER(SEARCH("Talenlio",F19))),9,
OR(ISNUMBER(SEARCH("Innovation",F19)),F19="Mini Project"),10,
OR(ISNUMBER(SEARCH("Data Science",F19)),ISNUMBER(SEARCH("DS",F19))),11,
ISNUMBER(SEARCH("Generative AI",F19)),12
=_xlfn.IFS(
OR(F19="Selenium (Hands-on)",F19="Guest Lecture: HR Interview"),6,
OR(F19="Soft Skill",F19="Soft Skill (Examination)",F19="AWS Training",F19="AWS Session"),7,
OR(ISNUMBER(SEARCH("MAD",F19)),ISNUMBER(SEARCH("STQA",F19)),F19="CI/CD Session"),8,
OR(ISNUMBER(SEARCH("Cloud",F19)),F19="Industry Readiness Program",ISNUMBER(SEARCH("Talenlio",F19))),9,
OR(ISNUMBER(SEARCH("Innovation",F19)),F19="Mini Project"),10,
OR(ISNUMBER(SEARCH("Data Science",F19)),ISNUMBER(SEARCH("DS",F19))),11,
ISNUMBER(SEARCH("Generative AI",F19)),12
=_xlfn.IFS(
OR(F19="Selenium (Hands-on)",F19="Guest Lecture: HR Interview"),6,
OR(F19="Soft Skill",F19="Soft Skill (Examination)",F19="AWS Training",F19="AWS Session"),7,
OR(ISNUMBER(SEARCH("MAD",F19)),ISNUMBER(SEARCH("STQA",F19)),F19="CI/CD Session"),8,
OR(ISNUMBER(SEARCH("Cloud",F19)),F19="Industry Readiness Program",ISNUMBER(SEARCH("Talenlio",F19))),9,
OR(ISNUMBER(SEARCH("Innovation",F19)),F19="Mini Project"),10,
OR(ISNUMBER(SEARCH("Data Science",F19)),ISNUMBER(SEARCH("DS",F19))),11,
ISNUMBER(SEARCH("Generative AI",F19)),12
))))</f>
        <v>7</v>
      </c>
      <c r="X19" s="3">
        <v>1</v>
      </c>
      <c r="Y19" s="3">
        <v>5</v>
      </c>
      <c r="Z19" s="3" t="s">
        <v>35</v>
      </c>
    </row>
    <row r="20" spans="1:26" x14ac:dyDescent="0.3">
      <c r="A20" s="2">
        <v>46192</v>
      </c>
      <c r="B20" s="3" t="s">
        <v>46</v>
      </c>
      <c r="C20" s="3">
        <v>3</v>
      </c>
      <c r="D20" s="4">
        <v>0.5625</v>
      </c>
      <c r="E20" s="4">
        <v>0.60416666666666696</v>
      </c>
      <c r="F20" s="3" t="s">
        <v>41</v>
      </c>
      <c r="G20" s="3" t="s">
        <v>288</v>
      </c>
      <c r="H20" s="3" t="s">
        <v>29</v>
      </c>
      <c r="I20" s="3" t="s">
        <v>30</v>
      </c>
      <c r="J20" s="3" t="s">
        <v>31</v>
      </c>
      <c r="K20" s="3" t="s">
        <v>42</v>
      </c>
      <c r="L20" s="5">
        <v>103</v>
      </c>
      <c r="M20" s="5">
        <f t="shared" ca="1" si="0"/>
        <v>95</v>
      </c>
      <c r="N20" s="6">
        <f t="shared" ca="1" si="3"/>
        <v>92.233009708737868</v>
      </c>
      <c r="O20" s="3" cm="1">
        <f t="array" aca="1" ref="O20" ca="1">IFERROR(LOOKUP(2, 1/((F$1:F19=F20)*(J$1:J19=J20)*(ROW(F$1:F19)&lt;ROW(F20))), N$1:N19), "")</f>
        <v>66.990291262135926</v>
      </c>
      <c r="P20" s="3">
        <f t="shared" si="4"/>
        <v>2.25</v>
      </c>
      <c r="Q20" s="3" t="s">
        <v>43</v>
      </c>
      <c r="R20" s="3" t="s">
        <v>40</v>
      </c>
      <c r="S20" s="3" t="str">
        <f t="shared" si="1"/>
        <v>Yes</v>
      </c>
      <c r="T20" s="3" t="s">
        <v>40</v>
      </c>
      <c r="U20" s="3" t="str">
        <f t="shared" si="2"/>
        <v>Sunny</v>
      </c>
      <c r="V20" s="3" t="s">
        <v>40</v>
      </c>
      <c r="W20" s="3" cm="1">
        <f t="array" ref="W20">_xlfn.IFS(
OR(F20="Selenium (Hands-on)",F20="Guest Lecture: HR Interview"),6,
OR(F20="Soft Skill",F20="Soft Skill (Examination)",F20="AWS Training",F20="AWS Session"),7,
OR(ISNUMBER(SEARCH("MAD",F20)),ISNUMBER(SEARCH("STQA",F20)),F20="CI/CD Session"),8,
OR(ISNUMBER(SEARCH("Cloud",F20)),F20="Industry Readiness Program",ISNUMBER(SEARCH("Talenlio",F20))),9,
OR(ISNUMBER(SEARCH("Innovation",F20)),F20="Mini Project"),10,
OR(ISNUMBER(SEARCH("Data Science",F20)),ISNUMBER(SEARCH("DS",F20))),11,
ISNUMBER(SEARCH("Generative AI",F20)),12
=_xlfn.IFS(
OR(F20="Selenium (Hands-on)",F20="Guest Lecture: HR Interview"),6,
OR(F20="Soft Skill",F20="Soft Skill (Examination)",F20="AWS Training",F20="AWS Session"),7,
OR(ISNUMBER(SEARCH("MAD",F20)),ISNUMBER(SEARCH("STQA",F20)),F20="CI/CD Session"),8,
OR(ISNUMBER(SEARCH("Cloud",F20)),F20="Industry Readiness Program",ISNUMBER(SEARCH("Talenlio",F20))),9,
OR(ISNUMBER(SEARCH("Innovation",F20)),F20="Mini Project"),10,
OR(ISNUMBER(SEARCH("Data Science",F20)),ISNUMBER(SEARCH("DS",F20))),11,
ISNUMBER(SEARCH("Generative AI",F20)),12
=_xlfn.IFS(
OR(F20="Selenium (Hands-on)",F20="Guest Lecture: HR Interview"),6,
OR(F20="Soft Skill",F20="Soft Skill (Examination)",F20="AWS Training",F20="AWS Session"),7,
OR(ISNUMBER(SEARCH("MAD",F20)),ISNUMBER(SEARCH("STQA",F20)),F20="CI/CD Session"),8,
OR(ISNUMBER(SEARCH("Cloud",F20)),F20="Industry Readiness Program",ISNUMBER(SEARCH("Talenlio",F20))),9,
OR(ISNUMBER(SEARCH("Innovation",F20)),F20="Mini Project"),10,
OR(ISNUMBER(SEARCH("Data Science",F20)),ISNUMBER(SEARCH("DS",F20))),11,
ISNUMBER(SEARCH("Generative AI",F20)),12
=_xlfn.IFS(
OR(F20="Selenium (Hands-on)",F20="Guest Lecture: HR Interview"),6,
OR(F20="Soft Skill",F20="Soft Skill (Examination)",F20="AWS Training",F20="AWS Session"),7,
OR(ISNUMBER(SEARCH("MAD",F20)),ISNUMBER(SEARCH("STQA",F20)),F20="CI/CD Session"),8,
OR(ISNUMBER(SEARCH("Cloud",F20)),F20="Industry Readiness Program",ISNUMBER(SEARCH("Talenlio",F20))),9,
OR(ISNUMBER(SEARCH("Innovation",F20)),F20="Mini Project"),10,
OR(ISNUMBER(SEARCH("Data Science",F20)),ISNUMBER(SEARCH("DS",F20))),11,
ISNUMBER(SEARCH("Generative AI",F20)),12
))))</f>
        <v>8</v>
      </c>
      <c r="X20" s="3">
        <v>1</v>
      </c>
      <c r="Y20" s="3">
        <v>5</v>
      </c>
      <c r="Z20" s="3" t="s">
        <v>38</v>
      </c>
    </row>
    <row r="21" spans="1:26" x14ac:dyDescent="0.3">
      <c r="A21" s="2">
        <v>46192</v>
      </c>
      <c r="B21" s="3" t="s">
        <v>46</v>
      </c>
      <c r="C21" s="3">
        <v>4</v>
      </c>
      <c r="D21" s="4">
        <v>0.60416666666666696</v>
      </c>
      <c r="E21" s="4">
        <v>0.64583333333333304</v>
      </c>
      <c r="F21" s="3" t="s">
        <v>41</v>
      </c>
      <c r="G21" s="3" t="s">
        <v>288</v>
      </c>
      <c r="H21" s="3" t="s">
        <v>29</v>
      </c>
      <c r="I21" s="3" t="s">
        <v>30</v>
      </c>
      <c r="J21" s="3" t="s">
        <v>31</v>
      </c>
      <c r="K21" s="3" t="s">
        <v>42</v>
      </c>
      <c r="L21" s="5">
        <v>103</v>
      </c>
      <c r="M21" s="5">
        <f t="shared" ca="1" si="0"/>
        <v>101</v>
      </c>
      <c r="N21" s="6">
        <f t="shared" ca="1" si="3"/>
        <v>98.05825242718447</v>
      </c>
      <c r="O21" s="3" cm="1">
        <f t="array" aca="1" ref="O21" ca="1">IFERROR(LOOKUP(2, 1/((F$1:F20=F21)*(J$1:J20=J21)*(ROW(F$1:F20)&lt;ROW(F21))), N$1:N20), "")</f>
        <v>92.233009708737868</v>
      </c>
      <c r="P21" s="3">
        <f t="shared" si="4"/>
        <v>0</v>
      </c>
      <c r="Q21" s="3" t="s">
        <v>43</v>
      </c>
      <c r="R21" s="3" t="s">
        <v>40</v>
      </c>
      <c r="S21" s="3" t="str">
        <f t="shared" si="1"/>
        <v>Yes</v>
      </c>
      <c r="T21" s="3" t="s">
        <v>40</v>
      </c>
      <c r="U21" s="3" t="str">
        <f t="shared" si="2"/>
        <v>Sunny</v>
      </c>
      <c r="V21" s="3" t="s">
        <v>40</v>
      </c>
      <c r="W21" s="3" cm="1">
        <f t="array" ref="W21">_xlfn.IFS(
OR(F21="Selenium (Hands-on)",F21="Guest Lecture: HR Interview"),6,
OR(F21="Soft Skill",F21="Soft Skill (Examination)",F21="AWS Training",F21="AWS Session"),7,
OR(ISNUMBER(SEARCH("MAD",F21)),ISNUMBER(SEARCH("STQA",F21)),F21="CI/CD Session"),8,
OR(ISNUMBER(SEARCH("Cloud",F21)),F21="Industry Readiness Program",ISNUMBER(SEARCH("Talenlio",F21))),9,
OR(ISNUMBER(SEARCH("Innovation",F21)),F21="Mini Project"),10,
OR(ISNUMBER(SEARCH("Data Science",F21)),ISNUMBER(SEARCH("DS",F21))),11,
ISNUMBER(SEARCH("Generative AI",F21)),12
=_xlfn.IFS(
OR(F21="Selenium (Hands-on)",F21="Guest Lecture: HR Interview"),6,
OR(F21="Soft Skill",F21="Soft Skill (Examination)",F21="AWS Training",F21="AWS Session"),7,
OR(ISNUMBER(SEARCH("MAD",F21)),ISNUMBER(SEARCH("STQA",F21)),F21="CI/CD Session"),8,
OR(ISNUMBER(SEARCH("Cloud",F21)),F21="Industry Readiness Program",ISNUMBER(SEARCH("Talenlio",F21))),9,
OR(ISNUMBER(SEARCH("Innovation",F21)),F21="Mini Project"),10,
OR(ISNUMBER(SEARCH("Data Science",F21)),ISNUMBER(SEARCH("DS",F21))),11,
ISNUMBER(SEARCH("Generative AI",F21)),12
=_xlfn.IFS(
OR(F21="Selenium (Hands-on)",F21="Guest Lecture: HR Interview"),6,
OR(F21="Soft Skill",F21="Soft Skill (Examination)",F21="AWS Training",F21="AWS Session"),7,
OR(ISNUMBER(SEARCH("MAD",F21)),ISNUMBER(SEARCH("STQA",F21)),F21="CI/CD Session"),8,
OR(ISNUMBER(SEARCH("Cloud",F21)),F21="Industry Readiness Program",ISNUMBER(SEARCH("Talenlio",F21))),9,
OR(ISNUMBER(SEARCH("Innovation",F21)),F21="Mini Project"),10,
OR(ISNUMBER(SEARCH("Data Science",F21)),ISNUMBER(SEARCH("DS",F21))),11,
ISNUMBER(SEARCH("Generative AI",F21)),12
=_xlfn.IFS(
OR(F21="Selenium (Hands-on)",F21="Guest Lecture: HR Interview"),6,
OR(F21="Soft Skill",F21="Soft Skill (Examination)",F21="AWS Training",F21="AWS Session"),7,
OR(ISNUMBER(SEARCH("MAD",F21)),ISNUMBER(SEARCH("STQA",F21)),F21="CI/CD Session"),8,
OR(ISNUMBER(SEARCH("Cloud",F21)),F21="Industry Readiness Program",ISNUMBER(SEARCH("Talenlio",F21))),9,
OR(ISNUMBER(SEARCH("Innovation",F21)),F21="Mini Project"),10,
OR(ISNUMBER(SEARCH("Data Science",F21)),ISNUMBER(SEARCH("DS",F21))),11,
ISNUMBER(SEARCH("Generative AI",F21)),12
))))</f>
        <v>8</v>
      </c>
      <c r="X21" s="3">
        <v>1</v>
      </c>
      <c r="Y21" s="3">
        <v>5</v>
      </c>
      <c r="Z21" s="3" t="s">
        <v>38</v>
      </c>
    </row>
    <row r="22" spans="1:26" x14ac:dyDescent="0.3">
      <c r="A22" s="2">
        <v>46193</v>
      </c>
      <c r="B22" s="3" t="s">
        <v>47</v>
      </c>
      <c r="C22" s="3">
        <v>1</v>
      </c>
      <c r="D22" s="13">
        <v>0.42708333333333331</v>
      </c>
      <c r="E22" s="13">
        <v>0.60416666666666663</v>
      </c>
      <c r="F22" s="3" t="s">
        <v>48</v>
      </c>
      <c r="G22" s="3" t="s">
        <v>287</v>
      </c>
      <c r="H22" s="3" t="s">
        <v>29</v>
      </c>
      <c r="I22" s="3" t="s">
        <v>30</v>
      </c>
      <c r="J22" s="3" t="s">
        <v>31</v>
      </c>
      <c r="K22" s="3" t="s">
        <v>32</v>
      </c>
      <c r="L22" s="5">
        <v>103</v>
      </c>
      <c r="M22" s="5">
        <f t="shared" ca="1" si="0"/>
        <v>77</v>
      </c>
      <c r="N22" s="6">
        <f t="shared" ca="1" si="3"/>
        <v>74.757281553398059</v>
      </c>
      <c r="O22" s="3">
        <v>65.323420100000007</v>
      </c>
      <c r="P22" s="3">
        <f t="shared" si="4"/>
        <v>0</v>
      </c>
      <c r="Q22" s="3" t="s">
        <v>33</v>
      </c>
      <c r="R22" s="3" t="s">
        <v>34</v>
      </c>
      <c r="S22" s="3" t="str">
        <f t="shared" si="1"/>
        <v>No</v>
      </c>
      <c r="T22" s="3" t="s">
        <v>34</v>
      </c>
      <c r="U22" s="3" t="str">
        <f t="shared" si="2"/>
        <v>Cloudy</v>
      </c>
      <c r="V22" s="3" t="s">
        <v>49</v>
      </c>
      <c r="W22" s="3" cm="1">
        <f t="array" ref="W22">_xlfn.IFS(
OR(F22="Selenium (Hands-on)",F22="Guest Lecture: HR Interview"),6,
OR(F22="Soft Skill",F22="Soft Skill (Examination)",F22="AWS Training",F22="AWS Session"),7,
OR(ISNUMBER(SEARCH("MAD",F22)),ISNUMBER(SEARCH("STQA",F22)),F22="CI/CD Session"),8,
OR(ISNUMBER(SEARCH("Cloud",F22)),F22="Industry Readiness Program",ISNUMBER(SEARCH("Talenlio",F22))),9,
OR(ISNUMBER(SEARCH("Innovation",F22)),F22="Mini Project"),10,
OR(ISNUMBER(SEARCH("Data Science",F22)),ISNUMBER(SEARCH("DS",F22))),11,
ISNUMBER(SEARCH("Generative AI",F22)),12
=_xlfn.IFS(
OR(F22="Selenium (Hands-on)",F22="Guest Lecture: HR Interview"),6,
OR(F22="Soft Skill",F22="Soft Skill (Examination)",F22="AWS Training",F22="AWS Session"),7,
OR(ISNUMBER(SEARCH("MAD",F22)),ISNUMBER(SEARCH("STQA",F22)),F22="CI/CD Session"),8,
OR(ISNUMBER(SEARCH("Cloud",F22)),F22="Industry Readiness Program",ISNUMBER(SEARCH("Talenlio",F22))),9,
OR(ISNUMBER(SEARCH("Innovation",F22)),F22="Mini Project"),10,
OR(ISNUMBER(SEARCH("Data Science",F22)),ISNUMBER(SEARCH("DS",F22))),11,
ISNUMBER(SEARCH("Generative AI",F22)),12
=_xlfn.IFS(
OR(F22="Selenium (Hands-on)",F22="Guest Lecture: HR Interview"),6,
OR(F22="Soft Skill",F22="Soft Skill (Examination)",F22="AWS Training",F22="AWS Session"),7,
OR(ISNUMBER(SEARCH("MAD",F22)),ISNUMBER(SEARCH("STQA",F22)),F22="CI/CD Session"),8,
OR(ISNUMBER(SEARCH("Cloud",F22)),F22="Industry Readiness Program",ISNUMBER(SEARCH("Talenlio",F22))),9,
OR(ISNUMBER(SEARCH("Innovation",F22)),F22="Mini Project"),10,
OR(ISNUMBER(SEARCH("Data Science",F22)),ISNUMBER(SEARCH("DS",F22))),11,
ISNUMBER(SEARCH("Generative AI",F22)),12
=_xlfn.IFS(
OR(F22="Selenium (Hands-on)",F22="Guest Lecture: HR Interview"),6,
OR(F22="Soft Skill",F22="Soft Skill (Examination)",F22="AWS Training",F22="AWS Session"),7,
OR(ISNUMBER(SEARCH("MAD",F22)),ISNUMBER(SEARCH("STQA",F22)),F22="CI/CD Session"),8,
OR(ISNUMBER(SEARCH("Cloud",F22)),F22="Industry Readiness Program",ISNUMBER(SEARCH("Talenlio",F22))),9,
OR(ISNUMBER(SEARCH("Innovation",F22)),F22="Mini Project"),10,
OR(ISNUMBER(SEARCH("Data Science",F22)),ISNUMBER(SEARCH("DS",F22))),11,
ISNUMBER(SEARCH("Generative AI",F22)),12
))))</f>
        <v>7</v>
      </c>
      <c r="X22" s="3">
        <v>1</v>
      </c>
      <c r="Y22" s="3">
        <v>6</v>
      </c>
      <c r="Z22" s="3" t="s">
        <v>35</v>
      </c>
    </row>
    <row r="23" spans="1:26" x14ac:dyDescent="0.3">
      <c r="A23" s="2">
        <v>46195</v>
      </c>
      <c r="B23" s="3" t="s">
        <v>26</v>
      </c>
      <c r="C23" s="3">
        <v>1</v>
      </c>
      <c r="D23" s="4">
        <v>0.35416666666666702</v>
      </c>
      <c r="E23" s="4">
        <v>0.38541666666666702</v>
      </c>
      <c r="F23" s="3" t="s">
        <v>50</v>
      </c>
      <c r="G23" s="3" t="s">
        <v>51</v>
      </c>
      <c r="H23" s="3" t="s">
        <v>29</v>
      </c>
      <c r="I23" s="3" t="s">
        <v>30</v>
      </c>
      <c r="J23" s="3" t="s">
        <v>31</v>
      </c>
      <c r="K23" s="3" t="s">
        <v>52</v>
      </c>
      <c r="L23" s="5">
        <v>103</v>
      </c>
      <c r="M23" s="5">
        <f t="shared" ca="1" si="0"/>
        <v>61</v>
      </c>
      <c r="N23" s="6">
        <f t="shared" ca="1" si="3"/>
        <v>59.22330097087378</v>
      </c>
      <c r="O23" s="3">
        <v>75.382789369999998</v>
      </c>
      <c r="P23" s="3">
        <f t="shared" si="4"/>
        <v>0</v>
      </c>
      <c r="Q23" s="3" t="s">
        <v>43</v>
      </c>
      <c r="R23" s="3" t="s">
        <v>40</v>
      </c>
      <c r="S23" s="3" t="str">
        <f t="shared" si="1"/>
        <v>No</v>
      </c>
      <c r="T23" s="3" t="s">
        <v>34</v>
      </c>
      <c r="U23" s="3" t="str">
        <f t="shared" si="2"/>
        <v>Cloudy</v>
      </c>
      <c r="V23" s="3" t="s">
        <v>40</v>
      </c>
      <c r="W23" s="3" cm="1">
        <f t="array" ref="W23">_xlfn.IFS(
OR(F23="Selenium (Hands-on)",F23="Guest Lecture: HR Interview"),6,
OR(F23="Soft Skill",F23="Soft Skill (Examination)",F23="AWS Training",F23="AWS Session"),7,
OR(ISNUMBER(SEARCH("MAD",F23)),ISNUMBER(SEARCH("STQA",F23)),F23="CI/CD Session"),8,
OR(ISNUMBER(SEARCH("Cloud",F23)),F23="Industry Readiness Program",ISNUMBER(SEARCH("Talenlio",F23))),9,
OR(ISNUMBER(SEARCH("Innovation",F23)),F23="Mini Project"),10,
OR(ISNUMBER(SEARCH("Data Science",F23)),ISNUMBER(SEARCH("DS",F23))),11,
ISNUMBER(SEARCH("Generative AI",F23)),12
=_xlfn.IFS(
OR(F23="Selenium (Hands-on)",F23="Guest Lecture: HR Interview"),6,
OR(F23="Soft Skill",F23="Soft Skill (Examination)",F23="AWS Training",F23="AWS Session"),7,
OR(ISNUMBER(SEARCH("MAD",F23)),ISNUMBER(SEARCH("STQA",F23)),F23="CI/CD Session"),8,
OR(ISNUMBER(SEARCH("Cloud",F23)),F23="Industry Readiness Program",ISNUMBER(SEARCH("Talenlio",F23))),9,
OR(ISNUMBER(SEARCH("Innovation",F23)),F23="Mini Project"),10,
OR(ISNUMBER(SEARCH("Data Science",F23)),ISNUMBER(SEARCH("DS",F23))),11,
ISNUMBER(SEARCH("Generative AI",F23)),12
=_xlfn.IFS(
OR(F23="Selenium (Hands-on)",F23="Guest Lecture: HR Interview"),6,
OR(F23="Soft Skill",F23="Soft Skill (Examination)",F23="AWS Training",F23="AWS Session"),7,
OR(ISNUMBER(SEARCH("MAD",F23)),ISNUMBER(SEARCH("STQA",F23)),F23="CI/CD Session"),8,
OR(ISNUMBER(SEARCH("Cloud",F23)),F23="Industry Readiness Program",ISNUMBER(SEARCH("Talenlio",F23))),9,
OR(ISNUMBER(SEARCH("Innovation",F23)),F23="Mini Project"),10,
OR(ISNUMBER(SEARCH("Data Science",F23)),ISNUMBER(SEARCH("DS",F23))),11,
ISNUMBER(SEARCH("Generative AI",F23)),12
=_xlfn.IFS(
OR(F23="Selenium (Hands-on)",F23="Guest Lecture: HR Interview"),6,
OR(F23="Soft Skill",F23="Soft Skill (Examination)",F23="AWS Training",F23="AWS Session"),7,
OR(ISNUMBER(SEARCH("MAD",F23)),ISNUMBER(SEARCH("STQA",F23)),F23="CI/CD Session"),8,
OR(ISNUMBER(SEARCH("Cloud",F23)),F23="Industry Readiness Program",ISNUMBER(SEARCH("Talenlio",F23))),9,
OR(ISNUMBER(SEARCH("Innovation",F23)),F23="Mini Project"),10,
OR(ISNUMBER(SEARCH("Data Science",F23)),ISNUMBER(SEARCH("DS",F23))),11,
ISNUMBER(SEARCH("Generative AI",F23)),12
))))</f>
        <v>8</v>
      </c>
      <c r="X23" s="3">
        <v>2</v>
      </c>
      <c r="Y23" s="3">
        <v>8</v>
      </c>
      <c r="Z23" s="3" t="s">
        <v>35</v>
      </c>
    </row>
    <row r="24" spans="1:26" x14ac:dyDescent="0.3">
      <c r="A24" s="2">
        <v>46195</v>
      </c>
      <c r="B24" s="3" t="s">
        <v>26</v>
      </c>
      <c r="C24" s="3">
        <v>2</v>
      </c>
      <c r="D24" s="4">
        <v>0.38541666666666702</v>
      </c>
      <c r="E24" s="4">
        <v>0.42708333333333298</v>
      </c>
      <c r="F24" s="3" t="s">
        <v>50</v>
      </c>
      <c r="G24" s="3" t="s">
        <v>51</v>
      </c>
      <c r="H24" s="3" t="s">
        <v>29</v>
      </c>
      <c r="I24" s="3" t="s">
        <v>30</v>
      </c>
      <c r="J24" s="3" t="s">
        <v>31</v>
      </c>
      <c r="K24" s="3" t="s">
        <v>52</v>
      </c>
      <c r="L24" s="5">
        <v>103</v>
      </c>
      <c r="M24" s="5">
        <f t="shared" ca="1" si="0"/>
        <v>88</v>
      </c>
      <c r="N24" s="6">
        <f t="shared" ca="1" si="3"/>
        <v>85.436893203883486</v>
      </c>
      <c r="O24" s="3" cm="1">
        <f t="array" aca="1" ref="O24" ca="1">IFERROR(LOOKUP(2, 1/((F$1:F23=F24)*(J$1:J23=J24)*(ROW(F$1:F23)&lt;ROW(F24))), N$1:N23), "")</f>
        <v>59.22330097087378</v>
      </c>
      <c r="P24" s="3">
        <f t="shared" si="4"/>
        <v>0</v>
      </c>
      <c r="Q24" s="3" t="s">
        <v>43</v>
      </c>
      <c r="R24" s="3" t="s">
        <v>40</v>
      </c>
      <c r="S24" s="3" t="str">
        <f t="shared" si="1"/>
        <v>No</v>
      </c>
      <c r="T24" s="3" t="s">
        <v>34</v>
      </c>
      <c r="U24" s="3" t="str">
        <f t="shared" si="2"/>
        <v>Cloudy</v>
      </c>
      <c r="V24" s="3" t="s">
        <v>40</v>
      </c>
      <c r="W24" s="3" cm="1">
        <f t="array" ref="W24">_xlfn.IFS(
OR(F24="Selenium (Hands-on)",F24="Guest Lecture: HR Interview"),6,
OR(F24="Soft Skill",F24="Soft Skill (Examination)",F24="AWS Training",F24="AWS Session"),7,
OR(ISNUMBER(SEARCH("MAD",F24)),ISNUMBER(SEARCH("STQA",F24)),F24="CI/CD Session"),8,
OR(ISNUMBER(SEARCH("Cloud",F24)),F24="Industry Readiness Program",ISNUMBER(SEARCH("Talenlio",F24))),9,
OR(ISNUMBER(SEARCH("Innovation",F24)),F24="Mini Project"),10,
OR(ISNUMBER(SEARCH("Data Science",F24)),ISNUMBER(SEARCH("DS",F24))),11,
ISNUMBER(SEARCH("Generative AI",F24)),12
=_xlfn.IFS(
OR(F24="Selenium (Hands-on)",F24="Guest Lecture: HR Interview"),6,
OR(F24="Soft Skill",F24="Soft Skill (Examination)",F24="AWS Training",F24="AWS Session"),7,
OR(ISNUMBER(SEARCH("MAD",F24)),ISNUMBER(SEARCH("STQA",F24)),F24="CI/CD Session"),8,
OR(ISNUMBER(SEARCH("Cloud",F24)),F24="Industry Readiness Program",ISNUMBER(SEARCH("Talenlio",F24))),9,
OR(ISNUMBER(SEARCH("Innovation",F24)),F24="Mini Project"),10,
OR(ISNUMBER(SEARCH("Data Science",F24)),ISNUMBER(SEARCH("DS",F24))),11,
ISNUMBER(SEARCH("Generative AI",F24)),12
=_xlfn.IFS(
OR(F24="Selenium (Hands-on)",F24="Guest Lecture: HR Interview"),6,
OR(F24="Soft Skill",F24="Soft Skill (Examination)",F24="AWS Training",F24="AWS Session"),7,
OR(ISNUMBER(SEARCH("MAD",F24)),ISNUMBER(SEARCH("STQA",F24)),F24="CI/CD Session"),8,
OR(ISNUMBER(SEARCH("Cloud",F24)),F24="Industry Readiness Program",ISNUMBER(SEARCH("Talenlio",F24))),9,
OR(ISNUMBER(SEARCH("Innovation",F24)),F24="Mini Project"),10,
OR(ISNUMBER(SEARCH("Data Science",F24)),ISNUMBER(SEARCH("DS",F24))),11,
ISNUMBER(SEARCH("Generative AI",F24)),12
=_xlfn.IFS(
OR(F24="Selenium (Hands-on)",F24="Guest Lecture: HR Interview"),6,
OR(F24="Soft Skill",F24="Soft Skill (Examination)",F24="AWS Training",F24="AWS Session"),7,
OR(ISNUMBER(SEARCH("MAD",F24)),ISNUMBER(SEARCH("STQA",F24)),F24="CI/CD Session"),8,
OR(ISNUMBER(SEARCH("Cloud",F24)),F24="Industry Readiness Program",ISNUMBER(SEARCH("Talenlio",F24))),9,
OR(ISNUMBER(SEARCH("Innovation",F24)),F24="Mini Project"),10,
OR(ISNUMBER(SEARCH("Data Science",F24)),ISNUMBER(SEARCH("DS",F24))),11,
ISNUMBER(SEARCH("Generative AI",F24)),12
))))</f>
        <v>8</v>
      </c>
      <c r="X24" s="3">
        <v>2</v>
      </c>
      <c r="Y24" s="3">
        <v>8</v>
      </c>
      <c r="Z24" s="3" t="s">
        <v>35</v>
      </c>
    </row>
    <row r="25" spans="1:26" x14ac:dyDescent="0.3">
      <c r="A25" s="2">
        <v>46195</v>
      </c>
      <c r="B25" s="3" t="s">
        <v>26</v>
      </c>
      <c r="C25" s="3">
        <v>3</v>
      </c>
      <c r="D25" s="4">
        <v>0.42708333333333298</v>
      </c>
      <c r="E25" s="4">
        <v>0.46875</v>
      </c>
      <c r="F25" s="3" t="s">
        <v>53</v>
      </c>
      <c r="G25" s="3" t="s">
        <v>54</v>
      </c>
      <c r="H25" s="3" t="s">
        <v>29</v>
      </c>
      <c r="I25" s="3" t="s">
        <v>30</v>
      </c>
      <c r="J25" s="3" t="s">
        <v>31</v>
      </c>
      <c r="K25" s="3" t="s">
        <v>52</v>
      </c>
      <c r="L25" s="5">
        <v>103</v>
      </c>
      <c r="M25" s="5">
        <f t="shared" ca="1" si="0"/>
        <v>96</v>
      </c>
      <c r="N25" s="6">
        <f t="shared" ca="1" si="3"/>
        <v>93.203883495145632</v>
      </c>
      <c r="O25" s="3">
        <v>83.415451640000001</v>
      </c>
      <c r="P25" s="3">
        <f t="shared" si="4"/>
        <v>0</v>
      </c>
      <c r="Q25" s="3" t="s">
        <v>33</v>
      </c>
      <c r="R25" s="3" t="s">
        <v>40</v>
      </c>
      <c r="S25" s="3" t="str">
        <f t="shared" si="1"/>
        <v>No</v>
      </c>
      <c r="T25" s="3" t="s">
        <v>34</v>
      </c>
      <c r="U25" s="3" t="str">
        <f t="shared" si="2"/>
        <v>Cloudy</v>
      </c>
      <c r="V25" s="3" t="s">
        <v>40</v>
      </c>
      <c r="W25" s="3" cm="1">
        <f t="array" ref="W25">_xlfn.IFS(
OR(F25="Selenium (Hands-on)",F25="Guest Lecture: HR Interview"),6,
OR(F25="Soft Skill",F25="Soft Skill (Examination)",F25="AWS Training",F25="AWS Session"),7,
OR(ISNUMBER(SEARCH("MAD",F25)),ISNUMBER(SEARCH("STQA",F25)),F25="CI/CD Session"),8,
OR(ISNUMBER(SEARCH("Cloud",F25)),F25="Industry Readiness Program",ISNUMBER(SEARCH("Talenlio",F25))),9,
OR(ISNUMBER(SEARCH("Innovation",F25)),F25="Mini Project"),10,
OR(ISNUMBER(SEARCH("Data Science",F25)),ISNUMBER(SEARCH("DS",F25))),11,
ISNUMBER(SEARCH("Generative AI",F25)),12
=_xlfn.IFS(
OR(F25="Selenium (Hands-on)",F25="Guest Lecture: HR Interview"),6,
OR(F25="Soft Skill",F25="Soft Skill (Examination)",F25="AWS Training",F25="AWS Session"),7,
OR(ISNUMBER(SEARCH("MAD",F25)),ISNUMBER(SEARCH("STQA",F25)),F25="CI/CD Session"),8,
OR(ISNUMBER(SEARCH("Cloud",F25)),F25="Industry Readiness Program",ISNUMBER(SEARCH("Talenlio",F25))),9,
OR(ISNUMBER(SEARCH("Innovation",F25)),F25="Mini Project"),10,
OR(ISNUMBER(SEARCH("Data Science",F25)),ISNUMBER(SEARCH("DS",F25))),11,
ISNUMBER(SEARCH("Generative AI",F25)),12
=_xlfn.IFS(
OR(F25="Selenium (Hands-on)",F25="Guest Lecture: HR Interview"),6,
OR(F25="Soft Skill",F25="Soft Skill (Examination)",F25="AWS Training",F25="AWS Session"),7,
OR(ISNUMBER(SEARCH("MAD",F25)),ISNUMBER(SEARCH("STQA",F25)),F25="CI/CD Session"),8,
OR(ISNUMBER(SEARCH("Cloud",F25)),F25="Industry Readiness Program",ISNUMBER(SEARCH("Talenlio",F25))),9,
OR(ISNUMBER(SEARCH("Innovation",F25)),F25="Mini Project"),10,
OR(ISNUMBER(SEARCH("Data Science",F25)),ISNUMBER(SEARCH("DS",F25))),11,
ISNUMBER(SEARCH("Generative AI",F25)),12
=_xlfn.IFS(
OR(F25="Selenium (Hands-on)",F25="Guest Lecture: HR Interview"),6,
OR(F25="Soft Skill",F25="Soft Skill (Examination)",F25="AWS Training",F25="AWS Session"),7,
OR(ISNUMBER(SEARCH("MAD",F25)),ISNUMBER(SEARCH("STQA",F25)),F25="CI/CD Session"),8,
OR(ISNUMBER(SEARCH("Cloud",F25)),F25="Industry Readiness Program",ISNUMBER(SEARCH("Talenlio",F25))),9,
OR(ISNUMBER(SEARCH("Innovation",F25)),F25="Mini Project"),10,
OR(ISNUMBER(SEARCH("Data Science",F25)),ISNUMBER(SEARCH("DS",F25))),11,
ISNUMBER(SEARCH("Generative AI",F25)),12
))))</f>
        <v>10</v>
      </c>
      <c r="X25" s="3">
        <v>2</v>
      </c>
      <c r="Y25" s="3">
        <v>8</v>
      </c>
      <c r="Z25" s="3" t="s">
        <v>35</v>
      </c>
    </row>
    <row r="26" spans="1:26" x14ac:dyDescent="0.3">
      <c r="A26" s="2">
        <v>46195</v>
      </c>
      <c r="B26" s="3" t="s">
        <v>26</v>
      </c>
      <c r="C26" s="3">
        <v>4</v>
      </c>
      <c r="D26" s="4">
        <v>0.46875</v>
      </c>
      <c r="E26" s="4">
        <v>0.51041666666666696</v>
      </c>
      <c r="F26" s="3" t="s">
        <v>53</v>
      </c>
      <c r="G26" s="3" t="s">
        <v>54</v>
      </c>
      <c r="H26" s="3" t="s">
        <v>29</v>
      </c>
      <c r="I26" s="3" t="s">
        <v>30</v>
      </c>
      <c r="J26" s="3" t="s">
        <v>31</v>
      </c>
      <c r="K26" s="3" t="s">
        <v>52</v>
      </c>
      <c r="L26" s="5">
        <v>103</v>
      </c>
      <c r="M26" s="5">
        <f t="shared" ca="1" si="0"/>
        <v>93</v>
      </c>
      <c r="N26" s="6">
        <f t="shared" ca="1" si="3"/>
        <v>90.291262135922338</v>
      </c>
      <c r="O26" s="3" cm="1">
        <f t="array" aca="1" ref="O26" ca="1">IFERROR(LOOKUP(2, 1/((F$1:F25=F26)*(J$1:J25=J26)*(ROW(F$1:F25)&lt;ROW(F26))), N$1:N25), "")</f>
        <v>93.203883495145632</v>
      </c>
      <c r="P26" s="3">
        <f t="shared" si="4"/>
        <v>0</v>
      </c>
      <c r="Q26" s="3" t="s">
        <v>33</v>
      </c>
      <c r="R26" s="3" t="s">
        <v>40</v>
      </c>
      <c r="S26" s="3" t="str">
        <f t="shared" si="1"/>
        <v>No</v>
      </c>
      <c r="T26" s="3" t="s">
        <v>34</v>
      </c>
      <c r="U26" s="3" t="str">
        <f t="shared" si="2"/>
        <v>Cloudy</v>
      </c>
      <c r="V26" s="3" t="s">
        <v>40</v>
      </c>
      <c r="W26" s="3" cm="1">
        <f t="array" ref="W26">_xlfn.IFS(
OR(F26="Selenium (Hands-on)",F26="Guest Lecture: HR Interview"),6,
OR(F26="Soft Skill",F26="Soft Skill (Examination)",F26="AWS Training",F26="AWS Session"),7,
OR(ISNUMBER(SEARCH("MAD",F26)),ISNUMBER(SEARCH("STQA",F26)),F26="CI/CD Session"),8,
OR(ISNUMBER(SEARCH("Cloud",F26)),F26="Industry Readiness Program",ISNUMBER(SEARCH("Talenlio",F26))),9,
OR(ISNUMBER(SEARCH("Innovation",F26)),F26="Mini Project"),10,
OR(ISNUMBER(SEARCH("Data Science",F26)),ISNUMBER(SEARCH("DS",F26))),11,
ISNUMBER(SEARCH("Generative AI",F26)),12
=_xlfn.IFS(
OR(F26="Selenium (Hands-on)",F26="Guest Lecture: HR Interview"),6,
OR(F26="Soft Skill",F26="Soft Skill (Examination)",F26="AWS Training",F26="AWS Session"),7,
OR(ISNUMBER(SEARCH("MAD",F26)),ISNUMBER(SEARCH("STQA",F26)),F26="CI/CD Session"),8,
OR(ISNUMBER(SEARCH("Cloud",F26)),F26="Industry Readiness Program",ISNUMBER(SEARCH("Talenlio",F26))),9,
OR(ISNUMBER(SEARCH("Innovation",F26)),F26="Mini Project"),10,
OR(ISNUMBER(SEARCH("Data Science",F26)),ISNUMBER(SEARCH("DS",F26))),11,
ISNUMBER(SEARCH("Generative AI",F26)),12
=_xlfn.IFS(
OR(F26="Selenium (Hands-on)",F26="Guest Lecture: HR Interview"),6,
OR(F26="Soft Skill",F26="Soft Skill (Examination)",F26="AWS Training",F26="AWS Session"),7,
OR(ISNUMBER(SEARCH("MAD",F26)),ISNUMBER(SEARCH("STQA",F26)),F26="CI/CD Session"),8,
OR(ISNUMBER(SEARCH("Cloud",F26)),F26="Industry Readiness Program",ISNUMBER(SEARCH("Talenlio",F26))),9,
OR(ISNUMBER(SEARCH("Innovation",F26)),F26="Mini Project"),10,
OR(ISNUMBER(SEARCH("Data Science",F26)),ISNUMBER(SEARCH("DS",F26))),11,
ISNUMBER(SEARCH("Generative AI",F26)),12
=_xlfn.IFS(
OR(F26="Selenium (Hands-on)",F26="Guest Lecture: HR Interview"),6,
OR(F26="Soft Skill",F26="Soft Skill (Examination)",F26="AWS Training",F26="AWS Session"),7,
OR(ISNUMBER(SEARCH("MAD",F26)),ISNUMBER(SEARCH("STQA",F26)),F26="CI/CD Session"),8,
OR(ISNUMBER(SEARCH("Cloud",F26)),F26="Industry Readiness Program",ISNUMBER(SEARCH("Talenlio",F26))),9,
OR(ISNUMBER(SEARCH("Innovation",F26)),F26="Mini Project"),10,
OR(ISNUMBER(SEARCH("Data Science",F26)),ISNUMBER(SEARCH("DS",F26))),11,
ISNUMBER(SEARCH("Generative AI",F26)),12
))))</f>
        <v>10</v>
      </c>
      <c r="X26" s="3">
        <v>2</v>
      </c>
      <c r="Y26" s="3">
        <v>8</v>
      </c>
      <c r="Z26" s="3" t="s">
        <v>35</v>
      </c>
    </row>
    <row r="27" spans="1:26" x14ac:dyDescent="0.3">
      <c r="A27" s="2">
        <v>46195</v>
      </c>
      <c r="B27" s="3" t="s">
        <v>26</v>
      </c>
      <c r="C27" s="3">
        <v>5</v>
      </c>
      <c r="D27" s="4">
        <v>0.5625</v>
      </c>
      <c r="E27" s="4">
        <v>0.60416666666666696</v>
      </c>
      <c r="F27" s="3" t="s">
        <v>55</v>
      </c>
      <c r="G27" s="3" t="s">
        <v>56</v>
      </c>
      <c r="H27" s="3" t="s">
        <v>29</v>
      </c>
      <c r="I27" s="3" t="s">
        <v>30</v>
      </c>
      <c r="J27" s="3" t="s">
        <v>31</v>
      </c>
      <c r="K27" s="3" t="s">
        <v>52</v>
      </c>
      <c r="L27" s="5">
        <v>103</v>
      </c>
      <c r="M27" s="5">
        <f t="shared" ca="1" si="0"/>
        <v>42</v>
      </c>
      <c r="N27" s="6">
        <f t="shared" ca="1" si="3"/>
        <v>40.776699029126213</v>
      </c>
      <c r="O27" s="3">
        <v>86.982398399999994</v>
      </c>
      <c r="P27" s="3">
        <f t="shared" si="4"/>
        <v>1.25</v>
      </c>
      <c r="Q27" s="3" t="s">
        <v>43</v>
      </c>
      <c r="R27" s="3" t="s">
        <v>40</v>
      </c>
      <c r="S27" s="3" t="str">
        <f t="shared" si="1"/>
        <v>No</v>
      </c>
      <c r="T27" s="3" t="s">
        <v>34</v>
      </c>
      <c r="U27" s="3" t="str">
        <f t="shared" si="2"/>
        <v>Cloudy</v>
      </c>
      <c r="V27" s="3" t="s">
        <v>40</v>
      </c>
      <c r="W27" s="3" cm="1">
        <f t="array" ref="W27">_xlfn.IFS(
OR(F27="Selenium (Hands-on)",F27="Guest Lecture: HR Interview"),6,
OR(F27="Soft Skill",F27="Soft Skill (Examination)",F27="AWS Training",F27="AWS Session"),7,
OR(ISNUMBER(SEARCH("MAD",F27)),ISNUMBER(SEARCH("STQA",F27)),F27="CI/CD Session"),8,
OR(ISNUMBER(SEARCH("Cloud",F27)),F27="Industry Readiness Program",ISNUMBER(SEARCH("Talenlio",F27))),9,
OR(ISNUMBER(SEARCH("Innovation",F27)),F27="Mini Project"),10,
OR(ISNUMBER(SEARCH("Data Science",F27)),ISNUMBER(SEARCH("DS",F27))),11,
ISNUMBER(SEARCH("Generative AI",F27)),12
=_xlfn.IFS(
OR(F27="Selenium (Hands-on)",F27="Guest Lecture: HR Interview"),6,
OR(F27="Soft Skill",F27="Soft Skill (Examination)",F27="AWS Training",F27="AWS Session"),7,
OR(ISNUMBER(SEARCH("MAD",F27)),ISNUMBER(SEARCH("STQA",F27)),F27="CI/CD Session"),8,
OR(ISNUMBER(SEARCH("Cloud",F27)),F27="Industry Readiness Program",ISNUMBER(SEARCH("Talenlio",F27))),9,
OR(ISNUMBER(SEARCH("Innovation",F27)),F27="Mini Project"),10,
OR(ISNUMBER(SEARCH("Data Science",F27)),ISNUMBER(SEARCH("DS",F27))),11,
ISNUMBER(SEARCH("Generative AI",F27)),12
=_xlfn.IFS(
OR(F27="Selenium (Hands-on)",F27="Guest Lecture: HR Interview"),6,
OR(F27="Soft Skill",F27="Soft Skill (Examination)",F27="AWS Training",F27="AWS Session"),7,
OR(ISNUMBER(SEARCH("MAD",F27)),ISNUMBER(SEARCH("STQA",F27)),F27="CI/CD Session"),8,
OR(ISNUMBER(SEARCH("Cloud",F27)),F27="Industry Readiness Program",ISNUMBER(SEARCH("Talenlio",F27))),9,
OR(ISNUMBER(SEARCH("Innovation",F27)),F27="Mini Project"),10,
OR(ISNUMBER(SEARCH("Data Science",F27)),ISNUMBER(SEARCH("DS",F27))),11,
ISNUMBER(SEARCH("Generative AI",F27)),12
=_xlfn.IFS(
OR(F27="Selenium (Hands-on)",F27="Guest Lecture: HR Interview"),6,
OR(F27="Soft Skill",F27="Soft Skill (Examination)",F27="AWS Training",F27="AWS Session"),7,
OR(ISNUMBER(SEARCH("MAD",F27)),ISNUMBER(SEARCH("STQA",F27)),F27="CI/CD Session"),8,
OR(ISNUMBER(SEARCH("Cloud",F27)),F27="Industry Readiness Program",ISNUMBER(SEARCH("Talenlio",F27))),9,
OR(ISNUMBER(SEARCH("Innovation",F27)),F27="Mini Project"),10,
OR(ISNUMBER(SEARCH("Data Science",F27)),ISNUMBER(SEARCH("DS",F27))),11,
ISNUMBER(SEARCH("Generative AI",F27)),12
))))</f>
        <v>8</v>
      </c>
      <c r="X27" s="3">
        <v>2</v>
      </c>
      <c r="Y27" s="3">
        <v>8</v>
      </c>
      <c r="Z27" s="3" t="s">
        <v>38</v>
      </c>
    </row>
    <row r="28" spans="1:26" x14ac:dyDescent="0.3">
      <c r="A28" s="2">
        <v>46195</v>
      </c>
      <c r="B28" s="3" t="s">
        <v>26</v>
      </c>
      <c r="C28" s="3">
        <v>6</v>
      </c>
      <c r="D28" s="4">
        <v>0.60416666666666696</v>
      </c>
      <c r="E28" s="4">
        <v>0.64583333333333304</v>
      </c>
      <c r="F28" s="3" t="s">
        <v>55</v>
      </c>
      <c r="G28" s="3" t="s">
        <v>56</v>
      </c>
      <c r="H28" s="3" t="s">
        <v>29</v>
      </c>
      <c r="I28" s="3" t="s">
        <v>30</v>
      </c>
      <c r="J28" s="3" t="s">
        <v>31</v>
      </c>
      <c r="K28" s="3" t="s">
        <v>52</v>
      </c>
      <c r="L28" s="5">
        <v>103</v>
      </c>
      <c r="M28" s="5">
        <f t="shared" ca="1" si="0"/>
        <v>79</v>
      </c>
      <c r="N28" s="6">
        <f t="shared" ca="1" si="3"/>
        <v>76.699029126213588</v>
      </c>
      <c r="O28" s="3" cm="1">
        <f t="array" aca="1" ref="O28" ca="1">IFERROR(LOOKUP(2, 1/((F$1:F27=F28)*(J$1:J27=J28)*(ROW(F$1:F27)&lt;ROW(F28))), N$1:N27), "")</f>
        <v>40.776699029126213</v>
      </c>
      <c r="P28" s="3">
        <f t="shared" si="4"/>
        <v>0</v>
      </c>
      <c r="Q28" s="3" t="s">
        <v>43</v>
      </c>
      <c r="R28" s="3" t="s">
        <v>40</v>
      </c>
      <c r="S28" s="3" t="str">
        <f t="shared" si="1"/>
        <v>No</v>
      </c>
      <c r="T28" s="3" t="s">
        <v>34</v>
      </c>
      <c r="U28" s="3" t="str">
        <f t="shared" si="2"/>
        <v>Cloudy</v>
      </c>
      <c r="V28" s="3" t="s">
        <v>40</v>
      </c>
      <c r="W28" s="3" cm="1">
        <f t="array" ref="W28">_xlfn.IFS(
OR(F28="Selenium (Hands-on)",F28="Guest Lecture: HR Interview"),6,
OR(F28="Soft Skill",F28="Soft Skill (Examination)",F28="AWS Training",F28="AWS Session"),7,
OR(ISNUMBER(SEARCH("MAD",F28)),ISNUMBER(SEARCH("STQA",F28)),F28="CI/CD Session"),8,
OR(ISNUMBER(SEARCH("Cloud",F28)),F28="Industry Readiness Program",ISNUMBER(SEARCH("Talenlio",F28))),9,
OR(ISNUMBER(SEARCH("Innovation",F28)),F28="Mini Project"),10,
OR(ISNUMBER(SEARCH("Data Science",F28)),ISNUMBER(SEARCH("DS",F28))),11,
ISNUMBER(SEARCH("Generative AI",F28)),12
=_xlfn.IFS(
OR(F28="Selenium (Hands-on)",F28="Guest Lecture: HR Interview"),6,
OR(F28="Soft Skill",F28="Soft Skill (Examination)",F28="AWS Training",F28="AWS Session"),7,
OR(ISNUMBER(SEARCH("MAD",F28)),ISNUMBER(SEARCH("STQA",F28)),F28="CI/CD Session"),8,
OR(ISNUMBER(SEARCH("Cloud",F28)),F28="Industry Readiness Program",ISNUMBER(SEARCH("Talenlio",F28))),9,
OR(ISNUMBER(SEARCH("Innovation",F28)),F28="Mini Project"),10,
OR(ISNUMBER(SEARCH("Data Science",F28)),ISNUMBER(SEARCH("DS",F28))),11,
ISNUMBER(SEARCH("Generative AI",F28)),12
=_xlfn.IFS(
OR(F28="Selenium (Hands-on)",F28="Guest Lecture: HR Interview"),6,
OR(F28="Soft Skill",F28="Soft Skill (Examination)",F28="AWS Training",F28="AWS Session"),7,
OR(ISNUMBER(SEARCH("MAD",F28)),ISNUMBER(SEARCH("STQA",F28)),F28="CI/CD Session"),8,
OR(ISNUMBER(SEARCH("Cloud",F28)),F28="Industry Readiness Program",ISNUMBER(SEARCH("Talenlio",F28))),9,
OR(ISNUMBER(SEARCH("Innovation",F28)),F28="Mini Project"),10,
OR(ISNUMBER(SEARCH("Data Science",F28)),ISNUMBER(SEARCH("DS",F28))),11,
ISNUMBER(SEARCH("Generative AI",F28)),12
=_xlfn.IFS(
OR(F28="Selenium (Hands-on)",F28="Guest Lecture: HR Interview"),6,
OR(F28="Soft Skill",F28="Soft Skill (Examination)",F28="AWS Training",F28="AWS Session"),7,
OR(ISNUMBER(SEARCH("MAD",F28)),ISNUMBER(SEARCH("STQA",F28)),F28="CI/CD Session"),8,
OR(ISNUMBER(SEARCH("Cloud",F28)),F28="Industry Readiness Program",ISNUMBER(SEARCH("Talenlio",F28))),9,
OR(ISNUMBER(SEARCH("Innovation",F28)),F28="Mini Project"),10,
OR(ISNUMBER(SEARCH("Data Science",F28)),ISNUMBER(SEARCH("DS",F28))),11,
ISNUMBER(SEARCH("Generative AI",F28)),12
))))</f>
        <v>8</v>
      </c>
      <c r="X28" s="3">
        <v>2</v>
      </c>
      <c r="Y28" s="3">
        <v>8</v>
      </c>
      <c r="Z28" s="3" t="s">
        <v>38</v>
      </c>
    </row>
    <row r="29" spans="1:26" x14ac:dyDescent="0.3">
      <c r="A29" s="2">
        <v>46196</v>
      </c>
      <c r="B29" s="3" t="s">
        <v>39</v>
      </c>
      <c r="C29" s="3">
        <v>1</v>
      </c>
      <c r="D29" s="4">
        <v>0.35416666666666702</v>
      </c>
      <c r="E29" s="4">
        <v>0.38541666666666702</v>
      </c>
      <c r="F29" s="3" t="s">
        <v>50</v>
      </c>
      <c r="G29" s="3" t="s">
        <v>51</v>
      </c>
      <c r="H29" s="3" t="s">
        <v>29</v>
      </c>
      <c r="I29" s="3" t="s">
        <v>30</v>
      </c>
      <c r="J29" s="3" t="s">
        <v>31</v>
      </c>
      <c r="K29" s="3" t="s">
        <v>52</v>
      </c>
      <c r="L29" s="5">
        <v>103</v>
      </c>
      <c r="M29" s="5">
        <f t="shared" ca="1" si="0"/>
        <v>46</v>
      </c>
      <c r="N29" s="6">
        <f t="shared" ca="1" si="3"/>
        <v>44.660194174757287</v>
      </c>
      <c r="O29" s="3" cm="1">
        <f t="array" aca="1" ref="O29" ca="1">IFERROR(LOOKUP(2, 1/((F$1:F28=F29)*(J$1:J28=J29)*(ROW(F$1:F28)&lt;ROW(F29))), N$1:N28), "")</f>
        <v>85.436893203883486</v>
      </c>
      <c r="P29" s="3">
        <f t="shared" si="4"/>
        <v>0</v>
      </c>
      <c r="Q29" s="3" t="s">
        <v>43</v>
      </c>
      <c r="R29" s="3" t="s">
        <v>40</v>
      </c>
      <c r="S29" s="3" t="str">
        <f t="shared" si="1"/>
        <v>No</v>
      </c>
      <c r="T29" s="3" t="s">
        <v>40</v>
      </c>
      <c r="U29" s="3" t="str">
        <f t="shared" si="2"/>
        <v>Cloudy</v>
      </c>
      <c r="V29" s="3" t="s">
        <v>40</v>
      </c>
      <c r="W29" s="3" cm="1">
        <f t="array" ref="W29">_xlfn.IFS(
OR(F29="Selenium (Hands-on)",F29="Guest Lecture: HR Interview"),6,
OR(F29="Soft Skill",F29="Soft Skill (Examination)",F29="AWS Training",F29="AWS Session"),7,
OR(ISNUMBER(SEARCH("MAD",F29)),ISNUMBER(SEARCH("STQA",F29)),F29="CI/CD Session"),8,
OR(ISNUMBER(SEARCH("Cloud",F29)),F29="Industry Readiness Program",ISNUMBER(SEARCH("Talenlio",F29))),9,
OR(ISNUMBER(SEARCH("Innovation",F29)),F29="Mini Project"),10,
OR(ISNUMBER(SEARCH("Data Science",F29)),ISNUMBER(SEARCH("DS",F29))),11,
ISNUMBER(SEARCH("Generative AI",F29)),12
=_xlfn.IFS(
OR(F29="Selenium (Hands-on)",F29="Guest Lecture: HR Interview"),6,
OR(F29="Soft Skill",F29="Soft Skill (Examination)",F29="AWS Training",F29="AWS Session"),7,
OR(ISNUMBER(SEARCH("MAD",F29)),ISNUMBER(SEARCH("STQA",F29)),F29="CI/CD Session"),8,
OR(ISNUMBER(SEARCH("Cloud",F29)),F29="Industry Readiness Program",ISNUMBER(SEARCH("Talenlio",F29))),9,
OR(ISNUMBER(SEARCH("Innovation",F29)),F29="Mini Project"),10,
OR(ISNUMBER(SEARCH("Data Science",F29)),ISNUMBER(SEARCH("DS",F29))),11,
ISNUMBER(SEARCH("Generative AI",F29)),12
=_xlfn.IFS(
OR(F29="Selenium (Hands-on)",F29="Guest Lecture: HR Interview"),6,
OR(F29="Soft Skill",F29="Soft Skill (Examination)",F29="AWS Training",F29="AWS Session"),7,
OR(ISNUMBER(SEARCH("MAD",F29)),ISNUMBER(SEARCH("STQA",F29)),F29="CI/CD Session"),8,
OR(ISNUMBER(SEARCH("Cloud",F29)),F29="Industry Readiness Program",ISNUMBER(SEARCH("Talenlio",F29))),9,
OR(ISNUMBER(SEARCH("Innovation",F29)),F29="Mini Project"),10,
OR(ISNUMBER(SEARCH("Data Science",F29)),ISNUMBER(SEARCH("DS",F29))),11,
ISNUMBER(SEARCH("Generative AI",F29)),12
=_xlfn.IFS(
OR(F29="Selenium (Hands-on)",F29="Guest Lecture: HR Interview"),6,
OR(F29="Soft Skill",F29="Soft Skill (Examination)",F29="AWS Training",F29="AWS Session"),7,
OR(ISNUMBER(SEARCH("MAD",F29)),ISNUMBER(SEARCH("STQA",F29)),F29="CI/CD Session"),8,
OR(ISNUMBER(SEARCH("Cloud",F29)),F29="Industry Readiness Program",ISNUMBER(SEARCH("Talenlio",F29))),9,
OR(ISNUMBER(SEARCH("Innovation",F29)),F29="Mini Project"),10,
OR(ISNUMBER(SEARCH("Data Science",F29)),ISNUMBER(SEARCH("DS",F29))),11,
ISNUMBER(SEARCH("Generative AI",F29)),12
))))</f>
        <v>8</v>
      </c>
      <c r="X29" s="3">
        <v>2</v>
      </c>
      <c r="Y29" s="3">
        <v>9</v>
      </c>
      <c r="Z29" s="3" t="s">
        <v>35</v>
      </c>
    </row>
    <row r="30" spans="1:26" x14ac:dyDescent="0.3">
      <c r="A30" s="2">
        <v>46196</v>
      </c>
      <c r="B30" s="3" t="s">
        <v>39</v>
      </c>
      <c r="C30" s="3">
        <v>2</v>
      </c>
      <c r="D30" s="4">
        <v>0.38541666666666702</v>
      </c>
      <c r="E30" s="4">
        <v>0.42708333333333298</v>
      </c>
      <c r="F30" s="3" t="s">
        <v>50</v>
      </c>
      <c r="G30" s="3" t="s">
        <v>51</v>
      </c>
      <c r="H30" s="3" t="s">
        <v>29</v>
      </c>
      <c r="I30" s="3" t="s">
        <v>30</v>
      </c>
      <c r="J30" s="3" t="s">
        <v>31</v>
      </c>
      <c r="K30" s="3" t="s">
        <v>52</v>
      </c>
      <c r="L30" s="5">
        <v>103</v>
      </c>
      <c r="M30" s="5">
        <f t="shared" ca="1" si="0"/>
        <v>43</v>
      </c>
      <c r="N30" s="6">
        <f t="shared" ca="1" si="3"/>
        <v>41.747572815533978</v>
      </c>
      <c r="O30" s="3" cm="1">
        <f t="array" aca="1" ref="O30" ca="1">IFERROR(LOOKUP(2, 1/((F$1:F29=F30)*(J$1:J29=J30)*(ROW(F$1:F29)&lt;ROW(F30))), N$1:N29), "")</f>
        <v>44.660194174757287</v>
      </c>
      <c r="P30" s="3">
        <f t="shared" si="4"/>
        <v>0</v>
      </c>
      <c r="Q30" s="3" t="s">
        <v>43</v>
      </c>
      <c r="R30" s="3" t="s">
        <v>40</v>
      </c>
      <c r="S30" s="3" t="str">
        <f t="shared" si="1"/>
        <v>No</v>
      </c>
      <c r="T30" s="3" t="s">
        <v>40</v>
      </c>
      <c r="U30" s="3" t="str">
        <f t="shared" si="2"/>
        <v>Cloudy</v>
      </c>
      <c r="V30" s="3" t="s">
        <v>40</v>
      </c>
      <c r="W30" s="3" cm="1">
        <f t="array" ref="W30">_xlfn.IFS(
OR(F30="Selenium (Hands-on)",F30="Guest Lecture: HR Interview"),6,
OR(F30="Soft Skill",F30="Soft Skill (Examination)",F30="AWS Training",F30="AWS Session"),7,
OR(ISNUMBER(SEARCH("MAD",F30)),ISNUMBER(SEARCH("STQA",F30)),F30="CI/CD Session"),8,
OR(ISNUMBER(SEARCH("Cloud",F30)),F30="Industry Readiness Program",ISNUMBER(SEARCH("Talenlio",F30))),9,
OR(ISNUMBER(SEARCH("Innovation",F30)),F30="Mini Project"),10,
OR(ISNUMBER(SEARCH("Data Science",F30)),ISNUMBER(SEARCH("DS",F30))),11,
ISNUMBER(SEARCH("Generative AI",F30)),12
=_xlfn.IFS(
OR(F30="Selenium (Hands-on)",F30="Guest Lecture: HR Interview"),6,
OR(F30="Soft Skill",F30="Soft Skill (Examination)",F30="AWS Training",F30="AWS Session"),7,
OR(ISNUMBER(SEARCH("MAD",F30)),ISNUMBER(SEARCH("STQA",F30)),F30="CI/CD Session"),8,
OR(ISNUMBER(SEARCH("Cloud",F30)),F30="Industry Readiness Program",ISNUMBER(SEARCH("Talenlio",F30))),9,
OR(ISNUMBER(SEARCH("Innovation",F30)),F30="Mini Project"),10,
OR(ISNUMBER(SEARCH("Data Science",F30)),ISNUMBER(SEARCH("DS",F30))),11,
ISNUMBER(SEARCH("Generative AI",F30)),12
=_xlfn.IFS(
OR(F30="Selenium (Hands-on)",F30="Guest Lecture: HR Interview"),6,
OR(F30="Soft Skill",F30="Soft Skill (Examination)",F30="AWS Training",F30="AWS Session"),7,
OR(ISNUMBER(SEARCH("MAD",F30)),ISNUMBER(SEARCH("STQA",F30)),F30="CI/CD Session"),8,
OR(ISNUMBER(SEARCH("Cloud",F30)),F30="Industry Readiness Program",ISNUMBER(SEARCH("Talenlio",F30))),9,
OR(ISNUMBER(SEARCH("Innovation",F30)),F30="Mini Project"),10,
OR(ISNUMBER(SEARCH("Data Science",F30)),ISNUMBER(SEARCH("DS",F30))),11,
ISNUMBER(SEARCH("Generative AI",F30)),12
=_xlfn.IFS(
OR(F30="Selenium (Hands-on)",F30="Guest Lecture: HR Interview"),6,
OR(F30="Soft Skill",F30="Soft Skill (Examination)",F30="AWS Training",F30="AWS Session"),7,
OR(ISNUMBER(SEARCH("MAD",F30)),ISNUMBER(SEARCH("STQA",F30)),F30="CI/CD Session"),8,
OR(ISNUMBER(SEARCH("Cloud",F30)),F30="Industry Readiness Program",ISNUMBER(SEARCH("Talenlio",F30))),9,
OR(ISNUMBER(SEARCH("Innovation",F30)),F30="Mini Project"),10,
OR(ISNUMBER(SEARCH("Data Science",F30)),ISNUMBER(SEARCH("DS",F30))),11,
ISNUMBER(SEARCH("Generative AI",F30)),12
))))</f>
        <v>8</v>
      </c>
      <c r="X30" s="3">
        <v>2</v>
      </c>
      <c r="Y30" s="3">
        <v>9</v>
      </c>
      <c r="Z30" s="3" t="s">
        <v>35</v>
      </c>
    </row>
    <row r="31" spans="1:26" x14ac:dyDescent="0.3">
      <c r="A31" s="2">
        <v>46196</v>
      </c>
      <c r="B31" s="3" t="s">
        <v>39</v>
      </c>
      <c r="C31" s="3">
        <v>3</v>
      </c>
      <c r="D31" s="4">
        <v>0.42708333333333298</v>
      </c>
      <c r="E31" s="4">
        <v>0.46875</v>
      </c>
      <c r="F31" s="3" t="s">
        <v>57</v>
      </c>
      <c r="G31" s="3" t="s">
        <v>58</v>
      </c>
      <c r="H31" s="3" t="s">
        <v>29</v>
      </c>
      <c r="I31" s="3" t="s">
        <v>30</v>
      </c>
      <c r="J31" s="3" t="s">
        <v>31</v>
      </c>
      <c r="K31" s="3" t="s">
        <v>52</v>
      </c>
      <c r="L31" s="5">
        <v>103</v>
      </c>
      <c r="M31" s="5">
        <f t="shared" ca="1" si="0"/>
        <v>73</v>
      </c>
      <c r="N31" s="6">
        <f t="shared" ca="1" si="3"/>
        <v>70.873786407766985</v>
      </c>
      <c r="O31" s="3">
        <v>45.322596799999999</v>
      </c>
      <c r="P31" s="3">
        <f t="shared" si="4"/>
        <v>0</v>
      </c>
      <c r="Q31" s="3" t="s">
        <v>33</v>
      </c>
      <c r="R31" s="3" t="s">
        <v>40</v>
      </c>
      <c r="S31" s="3" t="str">
        <f t="shared" si="1"/>
        <v>No</v>
      </c>
      <c r="T31" s="3" t="s">
        <v>40</v>
      </c>
      <c r="U31" s="3" t="str">
        <f t="shared" si="2"/>
        <v>Cloudy</v>
      </c>
      <c r="V31" s="3" t="s">
        <v>40</v>
      </c>
      <c r="W31" s="3" cm="1">
        <f t="array" ref="W31">_xlfn.IFS(
OR(F31="Selenium (Hands-on)",F31="Guest Lecture: HR Interview"),6,
OR(F31="Soft Skill",F31="Soft Skill (Examination)",F31="AWS Training",F31="AWS Session"),7,
OR(ISNUMBER(SEARCH("MAD",F31)),ISNUMBER(SEARCH("STQA",F31)),F31="CI/CD Session"),8,
OR(ISNUMBER(SEARCH("Cloud",F31)),F31="Industry Readiness Program",ISNUMBER(SEARCH("Talenlio",F31))),9,
OR(ISNUMBER(SEARCH("Innovation",F31)),F31="Mini Project"),10,
OR(ISNUMBER(SEARCH("Data Science",F31)),ISNUMBER(SEARCH("DS",F31))),11,
ISNUMBER(SEARCH("Generative AI",F31)),12
=_xlfn.IFS(
OR(F31="Selenium (Hands-on)",F31="Guest Lecture: HR Interview"),6,
OR(F31="Soft Skill",F31="Soft Skill (Examination)",F31="AWS Training",F31="AWS Session"),7,
OR(ISNUMBER(SEARCH("MAD",F31)),ISNUMBER(SEARCH("STQA",F31)),F31="CI/CD Session"),8,
OR(ISNUMBER(SEARCH("Cloud",F31)),F31="Industry Readiness Program",ISNUMBER(SEARCH("Talenlio",F31))),9,
OR(ISNUMBER(SEARCH("Innovation",F31)),F31="Mini Project"),10,
OR(ISNUMBER(SEARCH("Data Science",F31)),ISNUMBER(SEARCH("DS",F31))),11,
ISNUMBER(SEARCH("Generative AI",F31)),12
=_xlfn.IFS(
OR(F31="Selenium (Hands-on)",F31="Guest Lecture: HR Interview"),6,
OR(F31="Soft Skill",F31="Soft Skill (Examination)",F31="AWS Training",F31="AWS Session"),7,
OR(ISNUMBER(SEARCH("MAD",F31)),ISNUMBER(SEARCH("STQA",F31)),F31="CI/CD Session"),8,
OR(ISNUMBER(SEARCH("Cloud",F31)),F31="Industry Readiness Program",ISNUMBER(SEARCH("Talenlio",F31))),9,
OR(ISNUMBER(SEARCH("Innovation",F31)),F31="Mini Project"),10,
OR(ISNUMBER(SEARCH("Data Science",F31)),ISNUMBER(SEARCH("DS",F31))),11,
ISNUMBER(SEARCH("Generative AI",F31)),12
=_xlfn.IFS(
OR(F31="Selenium (Hands-on)",F31="Guest Lecture: HR Interview"),6,
OR(F31="Soft Skill",F31="Soft Skill (Examination)",F31="AWS Training",F31="AWS Session"),7,
OR(ISNUMBER(SEARCH("MAD",F31)),ISNUMBER(SEARCH("STQA",F31)),F31="CI/CD Session"),8,
OR(ISNUMBER(SEARCH("Cloud",F31)),F31="Industry Readiness Program",ISNUMBER(SEARCH("Talenlio",F31))),9,
OR(ISNUMBER(SEARCH("Innovation",F31)),F31="Mini Project"),10,
OR(ISNUMBER(SEARCH("Data Science",F31)),ISNUMBER(SEARCH("DS",F31))),11,
ISNUMBER(SEARCH("Generative AI",F31)),12
))))</f>
        <v>9</v>
      </c>
      <c r="X31" s="3">
        <v>2</v>
      </c>
      <c r="Y31" s="3">
        <v>9</v>
      </c>
      <c r="Z31" s="3" t="s">
        <v>35</v>
      </c>
    </row>
    <row r="32" spans="1:26" x14ac:dyDescent="0.3">
      <c r="A32" s="2">
        <v>46196</v>
      </c>
      <c r="B32" s="3" t="s">
        <v>39</v>
      </c>
      <c r="C32" s="3">
        <v>4</v>
      </c>
      <c r="D32" s="4">
        <v>0.46875</v>
      </c>
      <c r="E32" s="4">
        <v>0.51041666666666696</v>
      </c>
      <c r="F32" s="3" t="s">
        <v>59</v>
      </c>
      <c r="G32" s="3" t="s">
        <v>60</v>
      </c>
      <c r="H32" s="3" t="s">
        <v>29</v>
      </c>
      <c r="I32" s="3" t="s">
        <v>30</v>
      </c>
      <c r="J32" s="3" t="s">
        <v>31</v>
      </c>
      <c r="K32" s="3" t="s">
        <v>52</v>
      </c>
      <c r="L32" s="5">
        <v>103</v>
      </c>
      <c r="M32" s="5">
        <f t="shared" ca="1" si="0"/>
        <v>56</v>
      </c>
      <c r="N32" s="6">
        <f t="shared" ca="1" si="3"/>
        <v>54.368932038834949</v>
      </c>
      <c r="O32" s="3">
        <v>79.429573599999998</v>
      </c>
      <c r="P32" s="3">
        <f t="shared" si="4"/>
        <v>0</v>
      </c>
      <c r="Q32" s="3" t="s">
        <v>33</v>
      </c>
      <c r="R32" s="3" t="s">
        <v>40</v>
      </c>
      <c r="S32" s="3" t="str">
        <f t="shared" si="1"/>
        <v>No</v>
      </c>
      <c r="T32" s="3" t="s">
        <v>40</v>
      </c>
      <c r="U32" s="3" t="str">
        <f t="shared" si="2"/>
        <v>Cloudy</v>
      </c>
      <c r="V32" s="3" t="s">
        <v>40</v>
      </c>
      <c r="W32" s="3" cm="1">
        <f t="array" ref="W32">_xlfn.IFS(
OR(F32="Selenium (Hands-on)",F32="Guest Lecture: HR Interview"),6,
OR(F32="Soft Skill",F32="Soft Skill (Examination)",F32="AWS Training",F32="AWS Session"),7,
OR(ISNUMBER(SEARCH("MAD",F32)),ISNUMBER(SEARCH("STQA",F32)),F32="CI/CD Session"),8,
OR(ISNUMBER(SEARCH("Cloud",F32)),F32="Industry Readiness Program",ISNUMBER(SEARCH("Talenlio",F32))),9,
OR(ISNUMBER(SEARCH("Innovation",F32)),F32="Mini Project"),10,
OR(ISNUMBER(SEARCH("Data Science",F32)),ISNUMBER(SEARCH("DS",F32))),11,
ISNUMBER(SEARCH("Generative AI",F32)),12
=_xlfn.IFS(
OR(F32="Selenium (Hands-on)",F32="Guest Lecture: HR Interview"),6,
OR(F32="Soft Skill",F32="Soft Skill (Examination)",F32="AWS Training",F32="AWS Session"),7,
OR(ISNUMBER(SEARCH("MAD",F32)),ISNUMBER(SEARCH("STQA",F32)),F32="CI/CD Session"),8,
OR(ISNUMBER(SEARCH("Cloud",F32)),F32="Industry Readiness Program",ISNUMBER(SEARCH("Talenlio",F32))),9,
OR(ISNUMBER(SEARCH("Innovation",F32)),F32="Mini Project"),10,
OR(ISNUMBER(SEARCH("Data Science",F32)),ISNUMBER(SEARCH("DS",F32))),11,
ISNUMBER(SEARCH("Generative AI",F32)),12
=_xlfn.IFS(
OR(F32="Selenium (Hands-on)",F32="Guest Lecture: HR Interview"),6,
OR(F32="Soft Skill",F32="Soft Skill (Examination)",F32="AWS Training",F32="AWS Session"),7,
OR(ISNUMBER(SEARCH("MAD",F32)),ISNUMBER(SEARCH("STQA",F32)),F32="CI/CD Session"),8,
OR(ISNUMBER(SEARCH("Cloud",F32)),F32="Industry Readiness Program",ISNUMBER(SEARCH("Talenlio",F32))),9,
OR(ISNUMBER(SEARCH("Innovation",F32)),F32="Mini Project"),10,
OR(ISNUMBER(SEARCH("Data Science",F32)),ISNUMBER(SEARCH("DS",F32))),11,
ISNUMBER(SEARCH("Generative AI",F32)),12
=_xlfn.IFS(
OR(F32="Selenium (Hands-on)",F32="Guest Lecture: HR Interview"),6,
OR(F32="Soft Skill",F32="Soft Skill (Examination)",F32="AWS Training",F32="AWS Session"),7,
OR(ISNUMBER(SEARCH("MAD",F32)),ISNUMBER(SEARCH("STQA",F32)),F32="CI/CD Session"),8,
OR(ISNUMBER(SEARCH("Cloud",F32)),F32="Industry Readiness Program",ISNUMBER(SEARCH("Talenlio",F32))),9,
OR(ISNUMBER(SEARCH("Innovation",F32)),F32="Mini Project"),10,
OR(ISNUMBER(SEARCH("Data Science",F32)),ISNUMBER(SEARCH("DS",F32))),11,
ISNUMBER(SEARCH("Generative AI",F32)),12
))))</f>
        <v>11</v>
      </c>
      <c r="X32" s="3">
        <v>2</v>
      </c>
      <c r="Y32" s="3">
        <v>9</v>
      </c>
      <c r="Z32" s="3" t="s">
        <v>35</v>
      </c>
    </row>
    <row r="33" spans="1:26" x14ac:dyDescent="0.3">
      <c r="A33" s="2">
        <v>46196</v>
      </c>
      <c r="B33" s="3" t="s">
        <v>39</v>
      </c>
      <c r="C33" s="3">
        <v>5</v>
      </c>
      <c r="D33" s="4">
        <v>0.5625</v>
      </c>
      <c r="E33" s="4">
        <v>0.60416666666666696</v>
      </c>
      <c r="F33" s="3" t="s">
        <v>61</v>
      </c>
      <c r="G33" s="3" t="s">
        <v>60</v>
      </c>
      <c r="H33" s="3" t="s">
        <v>29</v>
      </c>
      <c r="I33" s="3" t="s">
        <v>30</v>
      </c>
      <c r="J33" s="3" t="s">
        <v>31</v>
      </c>
      <c r="K33" s="3" t="s">
        <v>52</v>
      </c>
      <c r="L33" s="5">
        <v>103</v>
      </c>
      <c r="M33" s="5">
        <f t="shared" ca="1" si="0"/>
        <v>50</v>
      </c>
      <c r="N33" s="6">
        <f t="shared" ca="1" si="3"/>
        <v>48.543689320388353</v>
      </c>
      <c r="O33" s="3">
        <v>59.295884000000001</v>
      </c>
      <c r="P33" s="3">
        <f t="shared" si="4"/>
        <v>1.25</v>
      </c>
      <c r="Q33" s="3" t="s">
        <v>43</v>
      </c>
      <c r="R33" s="3" t="s">
        <v>40</v>
      </c>
      <c r="S33" s="3" t="str">
        <f t="shared" si="1"/>
        <v>No</v>
      </c>
      <c r="T33" s="3" t="s">
        <v>40</v>
      </c>
      <c r="U33" s="3" t="str">
        <f t="shared" si="2"/>
        <v>Cloudy</v>
      </c>
      <c r="V33" s="3" t="s">
        <v>40</v>
      </c>
      <c r="W33" s="3" cm="1">
        <f t="array" ref="W33">_xlfn.IFS(
OR(F33="Selenium (Hands-on)",F33="Guest Lecture: HR Interview"),6,
OR(F33="Soft Skill",F33="Soft Skill (Examination)",F33="AWS Training",F33="AWS Session"),7,
OR(ISNUMBER(SEARCH("MAD",F33)),ISNUMBER(SEARCH("STQA",F33)),F33="CI/CD Session"),8,
OR(ISNUMBER(SEARCH("Cloud",F33)),F33="Industry Readiness Program",ISNUMBER(SEARCH("Talenlio",F33))),9,
OR(ISNUMBER(SEARCH("Innovation",F33)),F33="Mini Project"),10,
OR(ISNUMBER(SEARCH("Data Science",F33)),ISNUMBER(SEARCH("DS",F33))),11,
ISNUMBER(SEARCH("Generative AI",F33)),12
=_xlfn.IFS(
OR(F33="Selenium (Hands-on)",F33="Guest Lecture: HR Interview"),6,
OR(F33="Soft Skill",F33="Soft Skill (Examination)",F33="AWS Training",F33="AWS Session"),7,
OR(ISNUMBER(SEARCH("MAD",F33)),ISNUMBER(SEARCH("STQA",F33)),F33="CI/CD Session"),8,
OR(ISNUMBER(SEARCH("Cloud",F33)),F33="Industry Readiness Program",ISNUMBER(SEARCH("Talenlio",F33))),9,
OR(ISNUMBER(SEARCH("Innovation",F33)),F33="Mini Project"),10,
OR(ISNUMBER(SEARCH("Data Science",F33)),ISNUMBER(SEARCH("DS",F33))),11,
ISNUMBER(SEARCH("Generative AI",F33)),12
=_xlfn.IFS(
OR(F33="Selenium (Hands-on)",F33="Guest Lecture: HR Interview"),6,
OR(F33="Soft Skill",F33="Soft Skill (Examination)",F33="AWS Training",F33="AWS Session"),7,
OR(ISNUMBER(SEARCH("MAD",F33)),ISNUMBER(SEARCH("STQA",F33)),F33="CI/CD Session"),8,
OR(ISNUMBER(SEARCH("Cloud",F33)),F33="Industry Readiness Program",ISNUMBER(SEARCH("Talenlio",F33))),9,
OR(ISNUMBER(SEARCH("Innovation",F33)),F33="Mini Project"),10,
OR(ISNUMBER(SEARCH("Data Science",F33)),ISNUMBER(SEARCH("DS",F33))),11,
ISNUMBER(SEARCH("Generative AI",F33)),12
=_xlfn.IFS(
OR(F33="Selenium (Hands-on)",F33="Guest Lecture: HR Interview"),6,
OR(F33="Soft Skill",F33="Soft Skill (Examination)",F33="AWS Training",F33="AWS Session"),7,
OR(ISNUMBER(SEARCH("MAD",F33)),ISNUMBER(SEARCH("STQA",F33)),F33="CI/CD Session"),8,
OR(ISNUMBER(SEARCH("Cloud",F33)),F33="Industry Readiness Program",ISNUMBER(SEARCH("Talenlio",F33))),9,
OR(ISNUMBER(SEARCH("Innovation",F33)),F33="Mini Project"),10,
OR(ISNUMBER(SEARCH("Data Science",F33)),ISNUMBER(SEARCH("DS",F33))),11,
ISNUMBER(SEARCH("Generative AI",F33)),12
))))</f>
        <v>11</v>
      </c>
      <c r="X33" s="3">
        <v>2</v>
      </c>
      <c r="Y33" s="3">
        <v>9</v>
      </c>
      <c r="Z33" s="3" t="s">
        <v>38</v>
      </c>
    </row>
    <row r="34" spans="1:26" x14ac:dyDescent="0.3">
      <c r="A34" s="2">
        <v>46196</v>
      </c>
      <c r="B34" s="3" t="s">
        <v>39</v>
      </c>
      <c r="C34" s="3">
        <v>6</v>
      </c>
      <c r="D34" s="4">
        <v>0.60416666666666696</v>
      </c>
      <c r="E34" s="4">
        <v>0.64583333333333304</v>
      </c>
      <c r="F34" s="3" t="s">
        <v>61</v>
      </c>
      <c r="G34" s="3" t="s">
        <v>60</v>
      </c>
      <c r="H34" s="3" t="s">
        <v>29</v>
      </c>
      <c r="I34" s="3" t="s">
        <v>30</v>
      </c>
      <c r="J34" s="3" t="s">
        <v>31</v>
      </c>
      <c r="K34" s="3" t="s">
        <v>52</v>
      </c>
      <c r="L34" s="5">
        <v>103</v>
      </c>
      <c r="M34" s="5">
        <f t="shared" ca="1" si="0"/>
        <v>59</v>
      </c>
      <c r="N34" s="6">
        <f t="shared" ca="1" si="3"/>
        <v>57.28155339805825</v>
      </c>
      <c r="O34" s="3" cm="1">
        <f t="array" aca="1" ref="O34" ca="1">IFERROR(LOOKUP(2, 1/((F$1:F33=F34)*(J$1:J33=J34)*(ROW(F$1:F33)&lt;ROW(F34))), N$1:N33), "")</f>
        <v>48.543689320388353</v>
      </c>
      <c r="P34" s="3">
        <f t="shared" si="4"/>
        <v>0</v>
      </c>
      <c r="Q34" s="3" t="s">
        <v>43</v>
      </c>
      <c r="R34" s="3" t="s">
        <v>40</v>
      </c>
      <c r="S34" s="3" t="str">
        <f t="shared" si="1"/>
        <v>No</v>
      </c>
      <c r="T34" s="3" t="s">
        <v>40</v>
      </c>
      <c r="U34" s="3" t="str">
        <f t="shared" si="2"/>
        <v>Cloudy</v>
      </c>
      <c r="V34" s="3" t="s">
        <v>40</v>
      </c>
      <c r="W34" s="3" cm="1">
        <f t="array" ref="W34">_xlfn.IFS(
OR(F34="Selenium (Hands-on)",F34="Guest Lecture: HR Interview"),6,
OR(F34="Soft Skill",F34="Soft Skill (Examination)",F34="AWS Training",F34="AWS Session"),7,
OR(ISNUMBER(SEARCH("MAD",F34)),ISNUMBER(SEARCH("STQA",F34)),F34="CI/CD Session"),8,
OR(ISNUMBER(SEARCH("Cloud",F34)),F34="Industry Readiness Program",ISNUMBER(SEARCH("Talenlio",F34))),9,
OR(ISNUMBER(SEARCH("Innovation",F34)),F34="Mini Project"),10,
OR(ISNUMBER(SEARCH("Data Science",F34)),ISNUMBER(SEARCH("DS",F34))),11,
ISNUMBER(SEARCH("Generative AI",F34)),12
=_xlfn.IFS(
OR(F34="Selenium (Hands-on)",F34="Guest Lecture: HR Interview"),6,
OR(F34="Soft Skill",F34="Soft Skill (Examination)",F34="AWS Training",F34="AWS Session"),7,
OR(ISNUMBER(SEARCH("MAD",F34)),ISNUMBER(SEARCH("STQA",F34)),F34="CI/CD Session"),8,
OR(ISNUMBER(SEARCH("Cloud",F34)),F34="Industry Readiness Program",ISNUMBER(SEARCH("Talenlio",F34))),9,
OR(ISNUMBER(SEARCH("Innovation",F34)),F34="Mini Project"),10,
OR(ISNUMBER(SEARCH("Data Science",F34)),ISNUMBER(SEARCH("DS",F34))),11,
ISNUMBER(SEARCH("Generative AI",F34)),12
=_xlfn.IFS(
OR(F34="Selenium (Hands-on)",F34="Guest Lecture: HR Interview"),6,
OR(F34="Soft Skill",F34="Soft Skill (Examination)",F34="AWS Training",F34="AWS Session"),7,
OR(ISNUMBER(SEARCH("MAD",F34)),ISNUMBER(SEARCH("STQA",F34)),F34="CI/CD Session"),8,
OR(ISNUMBER(SEARCH("Cloud",F34)),F34="Industry Readiness Program",ISNUMBER(SEARCH("Talenlio",F34))),9,
OR(ISNUMBER(SEARCH("Innovation",F34)),F34="Mini Project"),10,
OR(ISNUMBER(SEARCH("Data Science",F34)),ISNUMBER(SEARCH("DS",F34))),11,
ISNUMBER(SEARCH("Generative AI",F34)),12
=_xlfn.IFS(
OR(F34="Selenium (Hands-on)",F34="Guest Lecture: HR Interview"),6,
OR(F34="Soft Skill",F34="Soft Skill (Examination)",F34="AWS Training",F34="AWS Session"),7,
OR(ISNUMBER(SEARCH("MAD",F34)),ISNUMBER(SEARCH("STQA",F34)),F34="CI/CD Session"),8,
OR(ISNUMBER(SEARCH("Cloud",F34)),F34="Industry Readiness Program",ISNUMBER(SEARCH("Talenlio",F34))),9,
OR(ISNUMBER(SEARCH("Innovation",F34)),F34="Mini Project"),10,
OR(ISNUMBER(SEARCH("Data Science",F34)),ISNUMBER(SEARCH("DS",F34))),11,
ISNUMBER(SEARCH("Generative AI",F34)),12
))))</f>
        <v>11</v>
      </c>
      <c r="X34" s="3">
        <v>2</v>
      </c>
      <c r="Y34" s="3">
        <v>9</v>
      </c>
      <c r="Z34" s="3" t="s">
        <v>38</v>
      </c>
    </row>
    <row r="35" spans="1:26" x14ac:dyDescent="0.3">
      <c r="A35" s="2">
        <v>46197</v>
      </c>
      <c r="B35" s="3" t="s">
        <v>44</v>
      </c>
      <c r="C35" s="3">
        <v>1</v>
      </c>
      <c r="D35" s="4">
        <v>0.35416666666666702</v>
      </c>
      <c r="E35" s="4">
        <v>0.38541666666666702</v>
      </c>
      <c r="F35" s="3" t="s">
        <v>50</v>
      </c>
      <c r="G35" s="3" t="s">
        <v>51</v>
      </c>
      <c r="H35" s="3" t="s">
        <v>29</v>
      </c>
      <c r="I35" s="3" t="s">
        <v>30</v>
      </c>
      <c r="J35" s="3" t="s">
        <v>31</v>
      </c>
      <c r="K35" s="3" t="s">
        <v>52</v>
      </c>
      <c r="L35" s="5">
        <v>103</v>
      </c>
      <c r="M35" s="5">
        <f t="shared" ca="1" si="0"/>
        <v>66</v>
      </c>
      <c r="N35" s="6">
        <f t="shared" ca="1" si="3"/>
        <v>64.077669902912632</v>
      </c>
      <c r="O35" s="3" cm="1">
        <f t="array" aca="1" ref="O35" ca="1">IFERROR(LOOKUP(2, 1/((F$1:F34=F35)*(J$1:J34=J35)*(ROW(F$1:F34)&lt;ROW(F35))), N$1:N34), "")</f>
        <v>41.747572815533978</v>
      </c>
      <c r="P35" s="3">
        <f t="shared" si="4"/>
        <v>0</v>
      </c>
      <c r="Q35" s="3" t="s">
        <v>43</v>
      </c>
      <c r="R35" s="3" t="s">
        <v>40</v>
      </c>
      <c r="S35" s="3" t="str">
        <f t="shared" si="1"/>
        <v>No</v>
      </c>
      <c r="T35" s="3" t="s">
        <v>40</v>
      </c>
      <c r="U35" s="3" t="str">
        <f t="shared" si="2"/>
        <v>Cloudy</v>
      </c>
      <c r="V35" s="3" t="s">
        <v>40</v>
      </c>
      <c r="W35" s="3" cm="1">
        <f t="array" ref="W35">_xlfn.IFS(
OR(F35="Selenium (Hands-on)",F35="Guest Lecture: HR Interview"),6,
OR(F35="Soft Skill",F35="Soft Skill (Examination)",F35="AWS Training",F35="AWS Session"),7,
OR(ISNUMBER(SEARCH("MAD",F35)),ISNUMBER(SEARCH("STQA",F35)),F35="CI/CD Session"),8,
OR(ISNUMBER(SEARCH("Cloud",F35)),F35="Industry Readiness Program",ISNUMBER(SEARCH("Talenlio",F35))),9,
OR(ISNUMBER(SEARCH("Innovation",F35)),F35="Mini Project"),10,
OR(ISNUMBER(SEARCH("Data Science",F35)),ISNUMBER(SEARCH("DS",F35))),11,
ISNUMBER(SEARCH("Generative AI",F35)),12
=_xlfn.IFS(
OR(F35="Selenium (Hands-on)",F35="Guest Lecture: HR Interview"),6,
OR(F35="Soft Skill",F35="Soft Skill (Examination)",F35="AWS Training",F35="AWS Session"),7,
OR(ISNUMBER(SEARCH("MAD",F35)),ISNUMBER(SEARCH("STQA",F35)),F35="CI/CD Session"),8,
OR(ISNUMBER(SEARCH("Cloud",F35)),F35="Industry Readiness Program",ISNUMBER(SEARCH("Talenlio",F35))),9,
OR(ISNUMBER(SEARCH("Innovation",F35)),F35="Mini Project"),10,
OR(ISNUMBER(SEARCH("Data Science",F35)),ISNUMBER(SEARCH("DS",F35))),11,
ISNUMBER(SEARCH("Generative AI",F35)),12
=_xlfn.IFS(
OR(F35="Selenium (Hands-on)",F35="Guest Lecture: HR Interview"),6,
OR(F35="Soft Skill",F35="Soft Skill (Examination)",F35="AWS Training",F35="AWS Session"),7,
OR(ISNUMBER(SEARCH("MAD",F35)),ISNUMBER(SEARCH("STQA",F35)),F35="CI/CD Session"),8,
OR(ISNUMBER(SEARCH("Cloud",F35)),F35="Industry Readiness Program",ISNUMBER(SEARCH("Talenlio",F35))),9,
OR(ISNUMBER(SEARCH("Innovation",F35)),F35="Mini Project"),10,
OR(ISNUMBER(SEARCH("Data Science",F35)),ISNUMBER(SEARCH("DS",F35))),11,
ISNUMBER(SEARCH("Generative AI",F35)),12
=_xlfn.IFS(
OR(F35="Selenium (Hands-on)",F35="Guest Lecture: HR Interview"),6,
OR(F35="Soft Skill",F35="Soft Skill (Examination)",F35="AWS Training",F35="AWS Session"),7,
OR(ISNUMBER(SEARCH("MAD",F35)),ISNUMBER(SEARCH("STQA",F35)),F35="CI/CD Session"),8,
OR(ISNUMBER(SEARCH("Cloud",F35)),F35="Industry Readiness Program",ISNUMBER(SEARCH("Talenlio",F35))),9,
OR(ISNUMBER(SEARCH("Innovation",F35)),F35="Mini Project"),10,
OR(ISNUMBER(SEARCH("Data Science",F35)),ISNUMBER(SEARCH("DS",F35))),11,
ISNUMBER(SEARCH("Generative AI",F35)),12
))))</f>
        <v>8</v>
      </c>
      <c r="X35" s="3">
        <v>2</v>
      </c>
      <c r="Y35" s="3">
        <v>10</v>
      </c>
      <c r="Z35" s="3" t="s">
        <v>35</v>
      </c>
    </row>
    <row r="36" spans="1:26" x14ac:dyDescent="0.3">
      <c r="A36" s="2">
        <v>46197</v>
      </c>
      <c r="B36" s="3" t="s">
        <v>44</v>
      </c>
      <c r="C36" s="3">
        <v>2</v>
      </c>
      <c r="D36" s="4">
        <v>0.38541666666666702</v>
      </c>
      <c r="E36" s="4">
        <v>0.42708333333333298</v>
      </c>
      <c r="F36" s="3" t="s">
        <v>50</v>
      </c>
      <c r="G36" s="3" t="s">
        <v>51</v>
      </c>
      <c r="H36" s="3" t="s">
        <v>29</v>
      </c>
      <c r="I36" s="3" t="s">
        <v>30</v>
      </c>
      <c r="J36" s="3" t="s">
        <v>31</v>
      </c>
      <c r="K36" s="3" t="s">
        <v>52</v>
      </c>
      <c r="L36" s="5">
        <v>103</v>
      </c>
      <c r="M36" s="5">
        <f t="shared" ca="1" si="0"/>
        <v>50</v>
      </c>
      <c r="N36" s="6">
        <f t="shared" ca="1" si="3"/>
        <v>48.543689320388353</v>
      </c>
      <c r="O36" s="3" cm="1">
        <f t="array" aca="1" ref="O36" ca="1">IFERROR(LOOKUP(2, 1/((F$1:F35=F36)*(J$1:J35=J36)*(ROW(F$1:F35)&lt;ROW(F36))), N$1:N35), "")</f>
        <v>64.077669902912632</v>
      </c>
      <c r="P36" s="3">
        <f t="shared" si="4"/>
        <v>0</v>
      </c>
      <c r="Q36" s="3" t="s">
        <v>43</v>
      </c>
      <c r="R36" s="3" t="s">
        <v>40</v>
      </c>
      <c r="S36" s="3" t="str">
        <f t="shared" si="1"/>
        <v>No</v>
      </c>
      <c r="T36" s="3" t="s">
        <v>40</v>
      </c>
      <c r="U36" s="3" t="str">
        <f t="shared" si="2"/>
        <v>Cloudy</v>
      </c>
      <c r="V36" s="3" t="s">
        <v>40</v>
      </c>
      <c r="W36" s="3" cm="1">
        <f t="array" ref="W36">_xlfn.IFS(
OR(F36="Selenium (Hands-on)",F36="Guest Lecture: HR Interview"),6,
OR(F36="Soft Skill",F36="Soft Skill (Examination)",F36="AWS Training",F36="AWS Session"),7,
OR(ISNUMBER(SEARCH("MAD",F36)),ISNUMBER(SEARCH("STQA",F36)),F36="CI/CD Session"),8,
OR(ISNUMBER(SEARCH("Cloud",F36)),F36="Industry Readiness Program",ISNUMBER(SEARCH("Talenlio",F36))),9,
OR(ISNUMBER(SEARCH("Innovation",F36)),F36="Mini Project"),10,
OR(ISNUMBER(SEARCH("Data Science",F36)),ISNUMBER(SEARCH("DS",F36))),11,
ISNUMBER(SEARCH("Generative AI",F36)),12
=_xlfn.IFS(
OR(F36="Selenium (Hands-on)",F36="Guest Lecture: HR Interview"),6,
OR(F36="Soft Skill",F36="Soft Skill (Examination)",F36="AWS Training",F36="AWS Session"),7,
OR(ISNUMBER(SEARCH("MAD",F36)),ISNUMBER(SEARCH("STQA",F36)),F36="CI/CD Session"),8,
OR(ISNUMBER(SEARCH("Cloud",F36)),F36="Industry Readiness Program",ISNUMBER(SEARCH("Talenlio",F36))),9,
OR(ISNUMBER(SEARCH("Innovation",F36)),F36="Mini Project"),10,
OR(ISNUMBER(SEARCH("Data Science",F36)),ISNUMBER(SEARCH("DS",F36))),11,
ISNUMBER(SEARCH("Generative AI",F36)),12
=_xlfn.IFS(
OR(F36="Selenium (Hands-on)",F36="Guest Lecture: HR Interview"),6,
OR(F36="Soft Skill",F36="Soft Skill (Examination)",F36="AWS Training",F36="AWS Session"),7,
OR(ISNUMBER(SEARCH("MAD",F36)),ISNUMBER(SEARCH("STQA",F36)),F36="CI/CD Session"),8,
OR(ISNUMBER(SEARCH("Cloud",F36)),F36="Industry Readiness Program",ISNUMBER(SEARCH("Talenlio",F36))),9,
OR(ISNUMBER(SEARCH("Innovation",F36)),F36="Mini Project"),10,
OR(ISNUMBER(SEARCH("Data Science",F36)),ISNUMBER(SEARCH("DS",F36))),11,
ISNUMBER(SEARCH("Generative AI",F36)),12
=_xlfn.IFS(
OR(F36="Selenium (Hands-on)",F36="Guest Lecture: HR Interview"),6,
OR(F36="Soft Skill",F36="Soft Skill (Examination)",F36="AWS Training",F36="AWS Session"),7,
OR(ISNUMBER(SEARCH("MAD",F36)),ISNUMBER(SEARCH("STQA",F36)),F36="CI/CD Session"),8,
OR(ISNUMBER(SEARCH("Cloud",F36)),F36="Industry Readiness Program",ISNUMBER(SEARCH("Talenlio",F36))),9,
OR(ISNUMBER(SEARCH("Innovation",F36)),F36="Mini Project"),10,
OR(ISNUMBER(SEARCH("Data Science",F36)),ISNUMBER(SEARCH("DS",F36))),11,
ISNUMBER(SEARCH("Generative AI",F36)),12
))))</f>
        <v>8</v>
      </c>
      <c r="X36" s="3">
        <v>2</v>
      </c>
      <c r="Y36" s="3">
        <v>10</v>
      </c>
      <c r="Z36" s="3" t="s">
        <v>35</v>
      </c>
    </row>
    <row r="37" spans="1:26" x14ac:dyDescent="0.3">
      <c r="A37" s="2">
        <v>46197</v>
      </c>
      <c r="B37" s="3" t="s">
        <v>44</v>
      </c>
      <c r="C37" s="3">
        <v>3</v>
      </c>
      <c r="D37" s="4">
        <v>0.42708333333333298</v>
      </c>
      <c r="E37" s="4">
        <v>0.46875</v>
      </c>
      <c r="F37" s="3" t="s">
        <v>62</v>
      </c>
      <c r="G37" s="3" t="s">
        <v>56</v>
      </c>
      <c r="H37" s="3" t="s">
        <v>29</v>
      </c>
      <c r="I37" s="3" t="s">
        <v>30</v>
      </c>
      <c r="J37" s="3" t="s">
        <v>31</v>
      </c>
      <c r="K37" s="3" t="s">
        <v>52</v>
      </c>
      <c r="L37" s="5">
        <v>103</v>
      </c>
      <c r="M37" s="5">
        <f t="shared" ca="1" si="0"/>
        <v>97</v>
      </c>
      <c r="N37" s="6">
        <f t="shared" ca="1" si="3"/>
        <v>94.174757281553397</v>
      </c>
      <c r="O37" s="3">
        <v>98.245442100000005</v>
      </c>
      <c r="P37" s="3">
        <f t="shared" si="4"/>
        <v>0</v>
      </c>
      <c r="Q37" s="3" t="s">
        <v>33</v>
      </c>
      <c r="R37" s="3" t="s">
        <v>40</v>
      </c>
      <c r="S37" s="3" t="str">
        <f t="shared" si="1"/>
        <v>No</v>
      </c>
      <c r="T37" s="3" t="s">
        <v>40</v>
      </c>
      <c r="U37" s="3" t="str">
        <f t="shared" si="2"/>
        <v>Cloudy</v>
      </c>
      <c r="V37" s="3" t="s">
        <v>40</v>
      </c>
      <c r="W37" s="3">
        <v>7</v>
      </c>
      <c r="X37" s="3">
        <v>2</v>
      </c>
      <c r="Y37" s="3">
        <v>10</v>
      </c>
      <c r="Z37" s="3" t="s">
        <v>35</v>
      </c>
    </row>
    <row r="38" spans="1:26" x14ac:dyDescent="0.3">
      <c r="A38" s="2">
        <v>46197</v>
      </c>
      <c r="B38" s="3" t="s">
        <v>44</v>
      </c>
      <c r="C38" s="3">
        <v>4</v>
      </c>
      <c r="D38" s="4">
        <v>0.46875</v>
      </c>
      <c r="E38" s="4">
        <v>0.51041666666666696</v>
      </c>
      <c r="F38" s="3" t="s">
        <v>57</v>
      </c>
      <c r="G38" s="3" t="s">
        <v>58</v>
      </c>
      <c r="H38" s="3" t="s">
        <v>29</v>
      </c>
      <c r="I38" s="3" t="s">
        <v>30</v>
      </c>
      <c r="J38" s="3" t="s">
        <v>31</v>
      </c>
      <c r="K38" s="3" t="s">
        <v>52</v>
      </c>
      <c r="L38" s="5">
        <v>103</v>
      </c>
      <c r="M38" s="5">
        <f t="shared" ca="1" si="0"/>
        <v>52</v>
      </c>
      <c r="N38" s="6">
        <f t="shared" ca="1" si="3"/>
        <v>50.485436893203882</v>
      </c>
      <c r="O38" s="3" cm="1">
        <f t="array" aca="1" ref="O38" ca="1">IFERROR(LOOKUP(2, 1/((F$1:F37=F38)*(J$1:J37=J38)*(ROW(F$1:F37)&lt;ROW(F38))), N$1:N37), "")</f>
        <v>70.873786407766985</v>
      </c>
      <c r="P38" s="3">
        <f t="shared" si="4"/>
        <v>0</v>
      </c>
      <c r="Q38" s="3" t="s">
        <v>33</v>
      </c>
      <c r="R38" s="3" t="s">
        <v>40</v>
      </c>
      <c r="S38" s="3" t="str">
        <f t="shared" si="1"/>
        <v>No</v>
      </c>
      <c r="T38" s="3" t="s">
        <v>40</v>
      </c>
      <c r="U38" s="3" t="str">
        <f t="shared" si="2"/>
        <v>Cloudy</v>
      </c>
      <c r="V38" s="3" t="s">
        <v>40</v>
      </c>
      <c r="W38" s="3" cm="1">
        <f t="array" ref="W38">_xlfn.IFS(
OR(F38="Selenium (Hands-on)",F38="Guest Lecture: HR Interview"),6,
OR(F38="Soft Skill",F38="Soft Skill (Examination)",F38="AWS Training",F38="AWS Session"),7,
OR(ISNUMBER(SEARCH("MAD",F38)),ISNUMBER(SEARCH("STQA",F38)),F38="CI/CD Session"),8,
OR(ISNUMBER(SEARCH("Cloud",F38)),F38="Industry Readiness Program",ISNUMBER(SEARCH("Talenlio",F38))),9,
OR(ISNUMBER(SEARCH("Innovation",F38)),F38="Mini Project"),10,
OR(ISNUMBER(SEARCH("Data Science",F38)),ISNUMBER(SEARCH("DS",F38))),11,
ISNUMBER(SEARCH("Generative AI",F38)),12
=_xlfn.IFS(
OR(F38="Selenium (Hands-on)",F38="Guest Lecture: HR Interview"),6,
OR(F38="Soft Skill",F38="Soft Skill (Examination)",F38="AWS Training",F38="AWS Session"),7,
OR(ISNUMBER(SEARCH("MAD",F38)),ISNUMBER(SEARCH("STQA",F38)),F38="CI/CD Session"),8,
OR(ISNUMBER(SEARCH("Cloud",F38)),F38="Industry Readiness Program",ISNUMBER(SEARCH("Talenlio",F38))),9,
OR(ISNUMBER(SEARCH("Innovation",F38)),F38="Mini Project"),10,
OR(ISNUMBER(SEARCH("Data Science",F38)),ISNUMBER(SEARCH("DS",F38))),11,
ISNUMBER(SEARCH("Generative AI",F38)),12
=_xlfn.IFS(
OR(F38="Selenium (Hands-on)",F38="Guest Lecture: HR Interview"),6,
OR(F38="Soft Skill",F38="Soft Skill (Examination)",F38="AWS Training",F38="AWS Session"),7,
OR(ISNUMBER(SEARCH("MAD",F38)),ISNUMBER(SEARCH("STQA",F38)),F38="CI/CD Session"),8,
OR(ISNUMBER(SEARCH("Cloud",F38)),F38="Industry Readiness Program",ISNUMBER(SEARCH("Talenlio",F38))),9,
OR(ISNUMBER(SEARCH("Innovation",F38)),F38="Mini Project"),10,
OR(ISNUMBER(SEARCH("Data Science",F38)),ISNUMBER(SEARCH("DS",F38))),11,
ISNUMBER(SEARCH("Generative AI",F38)),12
=_xlfn.IFS(
OR(F38="Selenium (Hands-on)",F38="Guest Lecture: HR Interview"),6,
OR(F38="Soft Skill",F38="Soft Skill (Examination)",F38="AWS Training",F38="AWS Session"),7,
OR(ISNUMBER(SEARCH("MAD",F38)),ISNUMBER(SEARCH("STQA",F38)),F38="CI/CD Session"),8,
OR(ISNUMBER(SEARCH("Cloud",F38)),F38="Industry Readiness Program",ISNUMBER(SEARCH("Talenlio",F38))),9,
OR(ISNUMBER(SEARCH("Innovation",F38)),F38="Mini Project"),10,
OR(ISNUMBER(SEARCH("Data Science",F38)),ISNUMBER(SEARCH("DS",F38))),11,
ISNUMBER(SEARCH("Generative AI",F38)),12
))))</f>
        <v>9</v>
      </c>
      <c r="X38" s="3">
        <v>2</v>
      </c>
      <c r="Y38" s="3">
        <v>10</v>
      </c>
      <c r="Z38" s="3" t="s">
        <v>35</v>
      </c>
    </row>
    <row r="39" spans="1:26" x14ac:dyDescent="0.3">
      <c r="A39" s="2">
        <v>46197</v>
      </c>
      <c r="B39" s="3" t="s">
        <v>44</v>
      </c>
      <c r="C39" s="3">
        <v>5</v>
      </c>
      <c r="D39" s="4">
        <v>0.5625</v>
      </c>
      <c r="E39" s="4">
        <v>0.60416666666666696</v>
      </c>
      <c r="F39" s="3" t="s">
        <v>53</v>
      </c>
      <c r="G39" s="3" t="s">
        <v>54</v>
      </c>
      <c r="H39" s="3" t="s">
        <v>29</v>
      </c>
      <c r="I39" s="3" t="s">
        <v>30</v>
      </c>
      <c r="J39" s="3" t="s">
        <v>31</v>
      </c>
      <c r="K39" s="3" t="s">
        <v>52</v>
      </c>
      <c r="L39" s="5">
        <v>103</v>
      </c>
      <c r="M39" s="5">
        <f t="shared" ca="1" si="0"/>
        <v>82</v>
      </c>
      <c r="N39" s="6">
        <f t="shared" ca="1" si="3"/>
        <v>79.611650485436897</v>
      </c>
      <c r="O39" s="3" cm="1">
        <f t="array" aca="1" ref="O39" ca="1">IFERROR(LOOKUP(2, 1/((F$1:F38=F39)*(J$1:J38=J39)*(ROW(F$1:F38)&lt;ROW(F39))), N$1:N38), "")</f>
        <v>90.291262135922338</v>
      </c>
      <c r="P39" s="3">
        <f t="shared" si="4"/>
        <v>1.25</v>
      </c>
      <c r="Q39" s="3" t="s">
        <v>33</v>
      </c>
      <c r="R39" s="3" t="s">
        <v>40</v>
      </c>
      <c r="S39" s="3" t="str">
        <f t="shared" si="1"/>
        <v>No</v>
      </c>
      <c r="T39" s="3" t="s">
        <v>40</v>
      </c>
      <c r="U39" s="3" t="str">
        <f t="shared" si="2"/>
        <v>Cloudy</v>
      </c>
      <c r="V39" s="3" t="s">
        <v>40</v>
      </c>
      <c r="W39" s="3" cm="1">
        <f t="array" ref="W39">_xlfn.IFS(
OR(F39="Selenium (Hands-on)",F39="Guest Lecture: HR Interview"),6,
OR(F39="Soft Skill",F39="Soft Skill (Examination)",F39="AWS Training",F39="AWS Session"),7,
OR(ISNUMBER(SEARCH("MAD",F39)),ISNUMBER(SEARCH("STQA",F39)),F39="CI/CD Session"),8,
OR(ISNUMBER(SEARCH("Cloud",F39)),F39="Industry Readiness Program",ISNUMBER(SEARCH("Talenlio",F39))),9,
OR(ISNUMBER(SEARCH("Innovation",F39)),F39="Mini Project"),10,
OR(ISNUMBER(SEARCH("Data Science",F39)),ISNUMBER(SEARCH("DS",F39))),11,
ISNUMBER(SEARCH("Generative AI",F39)),12
=_xlfn.IFS(
OR(F39="Selenium (Hands-on)",F39="Guest Lecture: HR Interview"),6,
OR(F39="Soft Skill",F39="Soft Skill (Examination)",F39="AWS Training",F39="AWS Session"),7,
OR(ISNUMBER(SEARCH("MAD",F39)),ISNUMBER(SEARCH("STQA",F39)),F39="CI/CD Session"),8,
OR(ISNUMBER(SEARCH("Cloud",F39)),F39="Industry Readiness Program",ISNUMBER(SEARCH("Talenlio",F39))),9,
OR(ISNUMBER(SEARCH("Innovation",F39)),F39="Mini Project"),10,
OR(ISNUMBER(SEARCH("Data Science",F39)),ISNUMBER(SEARCH("DS",F39))),11,
ISNUMBER(SEARCH("Generative AI",F39)),12
=_xlfn.IFS(
OR(F39="Selenium (Hands-on)",F39="Guest Lecture: HR Interview"),6,
OR(F39="Soft Skill",F39="Soft Skill (Examination)",F39="AWS Training",F39="AWS Session"),7,
OR(ISNUMBER(SEARCH("MAD",F39)),ISNUMBER(SEARCH("STQA",F39)),F39="CI/CD Session"),8,
OR(ISNUMBER(SEARCH("Cloud",F39)),F39="Industry Readiness Program",ISNUMBER(SEARCH("Talenlio",F39))),9,
OR(ISNUMBER(SEARCH("Innovation",F39)),F39="Mini Project"),10,
OR(ISNUMBER(SEARCH("Data Science",F39)),ISNUMBER(SEARCH("DS",F39))),11,
ISNUMBER(SEARCH("Generative AI",F39)),12
=_xlfn.IFS(
OR(F39="Selenium (Hands-on)",F39="Guest Lecture: HR Interview"),6,
OR(F39="Soft Skill",F39="Soft Skill (Examination)",F39="AWS Training",F39="AWS Session"),7,
OR(ISNUMBER(SEARCH("MAD",F39)),ISNUMBER(SEARCH("STQA",F39)),F39="CI/CD Session"),8,
OR(ISNUMBER(SEARCH("Cloud",F39)),F39="Industry Readiness Program",ISNUMBER(SEARCH("Talenlio",F39))),9,
OR(ISNUMBER(SEARCH("Innovation",F39)),F39="Mini Project"),10,
OR(ISNUMBER(SEARCH("Data Science",F39)),ISNUMBER(SEARCH("DS",F39))),11,
ISNUMBER(SEARCH("Generative AI",F39)),12
))))</f>
        <v>10</v>
      </c>
      <c r="X39" s="3">
        <v>2</v>
      </c>
      <c r="Y39" s="3">
        <v>10</v>
      </c>
      <c r="Z39" s="3" t="s">
        <v>38</v>
      </c>
    </row>
    <row r="40" spans="1:26" x14ac:dyDescent="0.3">
      <c r="A40" s="2">
        <v>46197</v>
      </c>
      <c r="B40" s="3" t="s">
        <v>44</v>
      </c>
      <c r="C40" s="3">
        <v>6</v>
      </c>
      <c r="D40" s="4">
        <v>0.60416666666666696</v>
      </c>
      <c r="E40" s="4">
        <v>0.64583333333333304</v>
      </c>
      <c r="F40" s="3" t="s">
        <v>53</v>
      </c>
      <c r="G40" s="3" t="s">
        <v>54</v>
      </c>
      <c r="H40" s="3" t="s">
        <v>29</v>
      </c>
      <c r="I40" s="3" t="s">
        <v>30</v>
      </c>
      <c r="J40" s="3" t="s">
        <v>31</v>
      </c>
      <c r="K40" s="3" t="s">
        <v>52</v>
      </c>
      <c r="L40" s="5">
        <v>103</v>
      </c>
      <c r="M40" s="5">
        <f t="shared" ca="1" si="0"/>
        <v>76</v>
      </c>
      <c r="N40" s="6">
        <f t="shared" ca="1" si="3"/>
        <v>73.786407766990294</v>
      </c>
      <c r="O40" s="3" cm="1">
        <f t="array" aca="1" ref="O40" ca="1">IFERROR(LOOKUP(2, 1/((F$1:F39=F40)*(J$1:J39=J40)*(ROW(F$1:F39)&lt;ROW(F40))), N$1:N39), "")</f>
        <v>79.611650485436897</v>
      </c>
      <c r="P40" s="3">
        <f t="shared" si="4"/>
        <v>0</v>
      </c>
      <c r="Q40" s="3" t="s">
        <v>33</v>
      </c>
      <c r="R40" s="3" t="s">
        <v>40</v>
      </c>
      <c r="S40" s="3" t="str">
        <f t="shared" si="1"/>
        <v>No</v>
      </c>
      <c r="T40" s="3" t="s">
        <v>40</v>
      </c>
      <c r="U40" s="3" t="str">
        <f t="shared" si="2"/>
        <v>Cloudy</v>
      </c>
      <c r="V40" s="3" t="s">
        <v>40</v>
      </c>
      <c r="W40" s="3" cm="1">
        <f t="array" ref="W40">_xlfn.IFS(
OR(F40="Selenium (Hands-on)",F40="Guest Lecture: HR Interview"),6,
OR(F40="Soft Skill",F40="Soft Skill (Examination)",F40="AWS Training",F40="AWS Session"),7,
OR(ISNUMBER(SEARCH("MAD",F40)),ISNUMBER(SEARCH("STQA",F40)),F40="CI/CD Session"),8,
OR(ISNUMBER(SEARCH("Cloud",F40)),F40="Industry Readiness Program",ISNUMBER(SEARCH("Talenlio",F40))),9,
OR(ISNUMBER(SEARCH("Innovation",F40)),F40="Mini Project"),10,
OR(ISNUMBER(SEARCH("Data Science",F40)),ISNUMBER(SEARCH("DS",F40))),11,
ISNUMBER(SEARCH("Generative AI",F40)),12
=_xlfn.IFS(
OR(F40="Selenium (Hands-on)",F40="Guest Lecture: HR Interview"),6,
OR(F40="Soft Skill",F40="Soft Skill (Examination)",F40="AWS Training",F40="AWS Session"),7,
OR(ISNUMBER(SEARCH("MAD",F40)),ISNUMBER(SEARCH("STQA",F40)),F40="CI/CD Session"),8,
OR(ISNUMBER(SEARCH("Cloud",F40)),F40="Industry Readiness Program",ISNUMBER(SEARCH("Talenlio",F40))),9,
OR(ISNUMBER(SEARCH("Innovation",F40)),F40="Mini Project"),10,
OR(ISNUMBER(SEARCH("Data Science",F40)),ISNUMBER(SEARCH("DS",F40))),11,
ISNUMBER(SEARCH("Generative AI",F40)),12
=_xlfn.IFS(
OR(F40="Selenium (Hands-on)",F40="Guest Lecture: HR Interview"),6,
OR(F40="Soft Skill",F40="Soft Skill (Examination)",F40="AWS Training",F40="AWS Session"),7,
OR(ISNUMBER(SEARCH("MAD",F40)),ISNUMBER(SEARCH("STQA",F40)),F40="CI/CD Session"),8,
OR(ISNUMBER(SEARCH("Cloud",F40)),F40="Industry Readiness Program",ISNUMBER(SEARCH("Talenlio",F40))),9,
OR(ISNUMBER(SEARCH("Innovation",F40)),F40="Mini Project"),10,
OR(ISNUMBER(SEARCH("Data Science",F40)),ISNUMBER(SEARCH("DS",F40))),11,
ISNUMBER(SEARCH("Generative AI",F40)),12
=_xlfn.IFS(
OR(F40="Selenium (Hands-on)",F40="Guest Lecture: HR Interview"),6,
OR(F40="Soft Skill",F40="Soft Skill (Examination)",F40="AWS Training",F40="AWS Session"),7,
OR(ISNUMBER(SEARCH("MAD",F40)),ISNUMBER(SEARCH("STQA",F40)),F40="CI/CD Session"),8,
OR(ISNUMBER(SEARCH("Cloud",F40)),F40="Industry Readiness Program",ISNUMBER(SEARCH("Talenlio",F40))),9,
OR(ISNUMBER(SEARCH("Innovation",F40)),F40="Mini Project"),10,
OR(ISNUMBER(SEARCH("Data Science",F40)),ISNUMBER(SEARCH("DS",F40))),11,
ISNUMBER(SEARCH("Generative AI",F40)),12
))))</f>
        <v>10</v>
      </c>
      <c r="X40" s="3">
        <v>2</v>
      </c>
      <c r="Y40" s="3">
        <v>10</v>
      </c>
      <c r="Z40" s="3" t="s">
        <v>38</v>
      </c>
    </row>
    <row r="41" spans="1:26" x14ac:dyDescent="0.3">
      <c r="A41" s="2">
        <v>46198</v>
      </c>
      <c r="B41" s="3" t="s">
        <v>45</v>
      </c>
      <c r="C41" s="3">
        <v>1</v>
      </c>
      <c r="D41" s="4">
        <v>0.35416666666666702</v>
      </c>
      <c r="E41" s="4">
        <v>0.38541666666666702</v>
      </c>
      <c r="F41" s="3" t="s">
        <v>50</v>
      </c>
      <c r="G41" s="3" t="s">
        <v>51</v>
      </c>
      <c r="H41" s="3" t="s">
        <v>29</v>
      </c>
      <c r="I41" s="3" t="s">
        <v>30</v>
      </c>
      <c r="J41" s="3" t="s">
        <v>31</v>
      </c>
      <c r="K41" s="3" t="s">
        <v>52</v>
      </c>
      <c r="L41" s="5">
        <v>103</v>
      </c>
      <c r="M41" s="5">
        <f t="shared" ca="1" si="0"/>
        <v>72</v>
      </c>
      <c r="N41" s="6">
        <f t="shared" ca="1" si="3"/>
        <v>69.902912621359221</v>
      </c>
      <c r="O41" s="3" cm="1">
        <f t="array" aca="1" ref="O41" ca="1">IFERROR(LOOKUP(2, 1/((F$1:F40=F41)*(J$1:J40=J41)*(ROW(F$1:F40)&lt;ROW(F41))), N$1:N40), "")</f>
        <v>48.543689320388353</v>
      </c>
      <c r="P41" s="3">
        <f t="shared" si="4"/>
        <v>0</v>
      </c>
      <c r="Q41" s="3" t="s">
        <v>43</v>
      </c>
      <c r="R41" s="3" t="s">
        <v>40</v>
      </c>
      <c r="S41" s="3" t="str">
        <f t="shared" si="1"/>
        <v>No</v>
      </c>
      <c r="T41" s="3" t="s">
        <v>34</v>
      </c>
      <c r="U41" s="3" t="str">
        <f t="shared" si="2"/>
        <v>Cloudy</v>
      </c>
      <c r="V41" s="3" t="s">
        <v>40</v>
      </c>
      <c r="W41" s="3" cm="1">
        <f t="array" ref="W41">_xlfn.IFS(
OR(F41="Selenium (Hands-on)",F41="Guest Lecture: HR Interview"),6,
OR(F41="Soft Skill",F41="Soft Skill (Examination)",F41="AWS Training",F41="AWS Session"),7,
OR(ISNUMBER(SEARCH("MAD",F41)),ISNUMBER(SEARCH("STQA",F41)),F41="CI/CD Session"),8,
OR(ISNUMBER(SEARCH("Cloud",F41)),F41="Industry Readiness Program",ISNUMBER(SEARCH("Talenlio",F41))),9,
OR(ISNUMBER(SEARCH("Innovation",F41)),F41="Mini Project"),10,
OR(ISNUMBER(SEARCH("Data Science",F41)),ISNUMBER(SEARCH("DS",F41))),11,
ISNUMBER(SEARCH("Generative AI",F41)),12
=_xlfn.IFS(
OR(F41="Selenium (Hands-on)",F41="Guest Lecture: HR Interview"),6,
OR(F41="Soft Skill",F41="Soft Skill (Examination)",F41="AWS Training",F41="AWS Session"),7,
OR(ISNUMBER(SEARCH("MAD",F41)),ISNUMBER(SEARCH("STQA",F41)),F41="CI/CD Session"),8,
OR(ISNUMBER(SEARCH("Cloud",F41)),F41="Industry Readiness Program",ISNUMBER(SEARCH("Talenlio",F41))),9,
OR(ISNUMBER(SEARCH("Innovation",F41)),F41="Mini Project"),10,
OR(ISNUMBER(SEARCH("Data Science",F41)),ISNUMBER(SEARCH("DS",F41))),11,
ISNUMBER(SEARCH("Generative AI",F41)),12
=_xlfn.IFS(
OR(F41="Selenium (Hands-on)",F41="Guest Lecture: HR Interview"),6,
OR(F41="Soft Skill",F41="Soft Skill (Examination)",F41="AWS Training",F41="AWS Session"),7,
OR(ISNUMBER(SEARCH("MAD",F41)),ISNUMBER(SEARCH("STQA",F41)),F41="CI/CD Session"),8,
OR(ISNUMBER(SEARCH("Cloud",F41)),F41="Industry Readiness Program",ISNUMBER(SEARCH("Talenlio",F41))),9,
OR(ISNUMBER(SEARCH("Innovation",F41)),F41="Mini Project"),10,
OR(ISNUMBER(SEARCH("Data Science",F41)),ISNUMBER(SEARCH("DS",F41))),11,
ISNUMBER(SEARCH("Generative AI",F41)),12
=_xlfn.IFS(
OR(F41="Selenium (Hands-on)",F41="Guest Lecture: HR Interview"),6,
OR(F41="Soft Skill",F41="Soft Skill (Examination)",F41="AWS Training",F41="AWS Session"),7,
OR(ISNUMBER(SEARCH("MAD",F41)),ISNUMBER(SEARCH("STQA",F41)),F41="CI/CD Session"),8,
OR(ISNUMBER(SEARCH("Cloud",F41)),F41="Industry Readiness Program",ISNUMBER(SEARCH("Talenlio",F41))),9,
OR(ISNUMBER(SEARCH("Innovation",F41)),F41="Mini Project"),10,
OR(ISNUMBER(SEARCH("Data Science",F41)),ISNUMBER(SEARCH("DS",F41))),11,
ISNUMBER(SEARCH("Generative AI",F41)),12
))))</f>
        <v>8</v>
      </c>
      <c r="X41" s="3">
        <v>2</v>
      </c>
      <c r="Y41" s="3">
        <v>11</v>
      </c>
      <c r="Z41" s="3" t="s">
        <v>35</v>
      </c>
    </row>
    <row r="42" spans="1:26" x14ac:dyDescent="0.3">
      <c r="A42" s="2">
        <v>46198</v>
      </c>
      <c r="B42" s="3" t="s">
        <v>45</v>
      </c>
      <c r="C42" s="3">
        <v>2</v>
      </c>
      <c r="D42" s="4">
        <v>0.38541666666666702</v>
      </c>
      <c r="E42" s="4">
        <v>0.42708333333333298</v>
      </c>
      <c r="F42" s="3" t="s">
        <v>50</v>
      </c>
      <c r="G42" s="3" t="s">
        <v>51</v>
      </c>
      <c r="H42" s="3" t="s">
        <v>29</v>
      </c>
      <c r="I42" s="3" t="s">
        <v>30</v>
      </c>
      <c r="J42" s="3" t="s">
        <v>31</v>
      </c>
      <c r="K42" s="3" t="s">
        <v>52</v>
      </c>
      <c r="L42" s="5">
        <v>103</v>
      </c>
      <c r="M42" s="5">
        <f t="shared" ca="1" si="0"/>
        <v>79</v>
      </c>
      <c r="N42" s="6">
        <f t="shared" ca="1" si="3"/>
        <v>76.699029126213588</v>
      </c>
      <c r="O42" s="3" cm="1">
        <f t="array" aca="1" ref="O42" ca="1">IFERROR(LOOKUP(2, 1/((F$1:F41=F42)*(J$1:J41=J42)*(ROW(F$1:F41)&lt;ROW(F42))), N$1:N41), "")</f>
        <v>69.902912621359221</v>
      </c>
      <c r="P42" s="3">
        <f t="shared" si="4"/>
        <v>0</v>
      </c>
      <c r="Q42" s="3" t="s">
        <v>43</v>
      </c>
      <c r="R42" s="3" t="s">
        <v>40</v>
      </c>
      <c r="S42" s="3" t="str">
        <f t="shared" si="1"/>
        <v>No</v>
      </c>
      <c r="T42" s="3" t="s">
        <v>34</v>
      </c>
      <c r="U42" s="3" t="str">
        <f t="shared" si="2"/>
        <v>Cloudy</v>
      </c>
      <c r="V42" s="3" t="s">
        <v>40</v>
      </c>
      <c r="W42" s="3" cm="1">
        <f t="array" ref="W42">_xlfn.IFS(
OR(F42="Selenium (Hands-on)",F42="Guest Lecture: HR Interview"),6,
OR(F42="Soft Skill",F42="Soft Skill (Examination)",F42="AWS Training",F42="AWS Session"),7,
OR(ISNUMBER(SEARCH("MAD",F42)),ISNUMBER(SEARCH("STQA",F42)),F42="CI/CD Session"),8,
OR(ISNUMBER(SEARCH("Cloud",F42)),F42="Industry Readiness Program",ISNUMBER(SEARCH("Talenlio",F42))),9,
OR(ISNUMBER(SEARCH("Innovation",F42)),F42="Mini Project"),10,
OR(ISNUMBER(SEARCH("Data Science",F42)),ISNUMBER(SEARCH("DS",F42))),11,
ISNUMBER(SEARCH("Generative AI",F42)),12
=_xlfn.IFS(
OR(F42="Selenium (Hands-on)",F42="Guest Lecture: HR Interview"),6,
OR(F42="Soft Skill",F42="Soft Skill (Examination)",F42="AWS Training",F42="AWS Session"),7,
OR(ISNUMBER(SEARCH("MAD",F42)),ISNUMBER(SEARCH("STQA",F42)),F42="CI/CD Session"),8,
OR(ISNUMBER(SEARCH("Cloud",F42)),F42="Industry Readiness Program",ISNUMBER(SEARCH("Talenlio",F42))),9,
OR(ISNUMBER(SEARCH("Innovation",F42)),F42="Mini Project"),10,
OR(ISNUMBER(SEARCH("Data Science",F42)),ISNUMBER(SEARCH("DS",F42))),11,
ISNUMBER(SEARCH("Generative AI",F42)),12
=_xlfn.IFS(
OR(F42="Selenium (Hands-on)",F42="Guest Lecture: HR Interview"),6,
OR(F42="Soft Skill",F42="Soft Skill (Examination)",F42="AWS Training",F42="AWS Session"),7,
OR(ISNUMBER(SEARCH("MAD",F42)),ISNUMBER(SEARCH("STQA",F42)),F42="CI/CD Session"),8,
OR(ISNUMBER(SEARCH("Cloud",F42)),F42="Industry Readiness Program",ISNUMBER(SEARCH("Talenlio",F42))),9,
OR(ISNUMBER(SEARCH("Innovation",F42)),F42="Mini Project"),10,
OR(ISNUMBER(SEARCH("Data Science",F42)),ISNUMBER(SEARCH("DS",F42))),11,
ISNUMBER(SEARCH("Generative AI",F42)),12
=_xlfn.IFS(
OR(F42="Selenium (Hands-on)",F42="Guest Lecture: HR Interview"),6,
OR(F42="Soft Skill",F42="Soft Skill (Examination)",F42="AWS Training",F42="AWS Session"),7,
OR(ISNUMBER(SEARCH("MAD",F42)),ISNUMBER(SEARCH("STQA",F42)),F42="CI/CD Session"),8,
OR(ISNUMBER(SEARCH("Cloud",F42)),F42="Industry Readiness Program",ISNUMBER(SEARCH("Talenlio",F42))),9,
OR(ISNUMBER(SEARCH("Innovation",F42)),F42="Mini Project"),10,
OR(ISNUMBER(SEARCH("Data Science",F42)),ISNUMBER(SEARCH("DS",F42))),11,
ISNUMBER(SEARCH("Generative AI",F42)),12
))))</f>
        <v>8</v>
      </c>
      <c r="X42" s="3">
        <v>2</v>
      </c>
      <c r="Y42" s="3">
        <v>11</v>
      </c>
      <c r="Z42" s="3" t="s">
        <v>35</v>
      </c>
    </row>
    <row r="43" spans="1:26" x14ac:dyDescent="0.3">
      <c r="A43" s="2">
        <v>46198</v>
      </c>
      <c r="B43" s="3" t="s">
        <v>45</v>
      </c>
      <c r="C43" s="3">
        <v>3</v>
      </c>
      <c r="D43" s="4">
        <v>0.42708333333333298</v>
      </c>
      <c r="E43" s="4">
        <v>0.46875</v>
      </c>
      <c r="F43" s="3" t="s">
        <v>59</v>
      </c>
      <c r="G43" s="3" t="s">
        <v>60</v>
      </c>
      <c r="H43" s="3" t="s">
        <v>29</v>
      </c>
      <c r="I43" s="3" t="s">
        <v>30</v>
      </c>
      <c r="J43" s="3" t="s">
        <v>31</v>
      </c>
      <c r="K43" s="3" t="s">
        <v>52</v>
      </c>
      <c r="L43" s="5">
        <v>103</v>
      </c>
      <c r="M43" s="5">
        <f t="shared" ca="1" si="0"/>
        <v>60</v>
      </c>
      <c r="N43" s="6">
        <f t="shared" ca="1" si="3"/>
        <v>58.252427184466015</v>
      </c>
      <c r="O43" s="3" cm="1">
        <f t="array" aca="1" ref="O43" ca="1">IFERROR(LOOKUP(2, 1/((F$1:F42=F43)*(J$1:J42=J43)*(ROW(F$1:F42)&lt;ROW(F43))), N$1:N42), "")</f>
        <v>54.368932038834949</v>
      </c>
      <c r="P43" s="3">
        <f t="shared" si="4"/>
        <v>0</v>
      </c>
      <c r="Q43" s="3" t="s">
        <v>33</v>
      </c>
      <c r="R43" s="3" t="s">
        <v>40</v>
      </c>
      <c r="S43" s="3" t="str">
        <f t="shared" si="1"/>
        <v>No</v>
      </c>
      <c r="T43" s="3" t="s">
        <v>34</v>
      </c>
      <c r="U43" s="3" t="str">
        <f t="shared" si="2"/>
        <v>Cloudy</v>
      </c>
      <c r="V43" s="3" t="s">
        <v>40</v>
      </c>
      <c r="W43" s="3" cm="1">
        <f t="array" ref="W43">_xlfn.IFS(
OR(F43="Selenium (Hands-on)",F43="Guest Lecture: HR Interview"),6,
OR(F43="Soft Skill",F43="Soft Skill (Examination)",F43="AWS Training",F43="AWS Session"),7,
OR(ISNUMBER(SEARCH("MAD",F43)),ISNUMBER(SEARCH("STQA",F43)),F43="CI/CD Session"),8,
OR(ISNUMBER(SEARCH("Cloud",F43)),F43="Industry Readiness Program",ISNUMBER(SEARCH("Talenlio",F43))),9,
OR(ISNUMBER(SEARCH("Innovation",F43)),F43="Mini Project"),10,
OR(ISNUMBER(SEARCH("Data Science",F43)),ISNUMBER(SEARCH("DS",F43))),11,
ISNUMBER(SEARCH("Generative AI",F43)),12
=_xlfn.IFS(
OR(F43="Selenium (Hands-on)",F43="Guest Lecture: HR Interview"),6,
OR(F43="Soft Skill",F43="Soft Skill (Examination)",F43="AWS Training",F43="AWS Session"),7,
OR(ISNUMBER(SEARCH("MAD",F43)),ISNUMBER(SEARCH("STQA",F43)),F43="CI/CD Session"),8,
OR(ISNUMBER(SEARCH("Cloud",F43)),F43="Industry Readiness Program",ISNUMBER(SEARCH("Talenlio",F43))),9,
OR(ISNUMBER(SEARCH("Innovation",F43)),F43="Mini Project"),10,
OR(ISNUMBER(SEARCH("Data Science",F43)),ISNUMBER(SEARCH("DS",F43))),11,
ISNUMBER(SEARCH("Generative AI",F43)),12
=_xlfn.IFS(
OR(F43="Selenium (Hands-on)",F43="Guest Lecture: HR Interview"),6,
OR(F43="Soft Skill",F43="Soft Skill (Examination)",F43="AWS Training",F43="AWS Session"),7,
OR(ISNUMBER(SEARCH("MAD",F43)),ISNUMBER(SEARCH("STQA",F43)),F43="CI/CD Session"),8,
OR(ISNUMBER(SEARCH("Cloud",F43)),F43="Industry Readiness Program",ISNUMBER(SEARCH("Talenlio",F43))),9,
OR(ISNUMBER(SEARCH("Innovation",F43)),F43="Mini Project"),10,
OR(ISNUMBER(SEARCH("Data Science",F43)),ISNUMBER(SEARCH("DS",F43))),11,
ISNUMBER(SEARCH("Generative AI",F43)),12
=_xlfn.IFS(
OR(F43="Selenium (Hands-on)",F43="Guest Lecture: HR Interview"),6,
OR(F43="Soft Skill",F43="Soft Skill (Examination)",F43="AWS Training",F43="AWS Session"),7,
OR(ISNUMBER(SEARCH("MAD",F43)),ISNUMBER(SEARCH("STQA",F43)),F43="CI/CD Session"),8,
OR(ISNUMBER(SEARCH("Cloud",F43)),F43="Industry Readiness Program",ISNUMBER(SEARCH("Talenlio",F43))),9,
OR(ISNUMBER(SEARCH("Innovation",F43)),F43="Mini Project"),10,
OR(ISNUMBER(SEARCH("Data Science",F43)),ISNUMBER(SEARCH("DS",F43))),11,
ISNUMBER(SEARCH("Generative AI",F43)),12
))))</f>
        <v>11</v>
      </c>
      <c r="X43" s="3">
        <v>2</v>
      </c>
      <c r="Y43" s="3">
        <v>11</v>
      </c>
      <c r="Z43" s="3" t="s">
        <v>35</v>
      </c>
    </row>
    <row r="44" spans="1:26" x14ac:dyDescent="0.3">
      <c r="A44" s="2">
        <v>46198</v>
      </c>
      <c r="B44" s="3" t="s">
        <v>45</v>
      </c>
      <c r="C44" s="3">
        <v>4</v>
      </c>
      <c r="D44" s="4">
        <v>0.46875</v>
      </c>
      <c r="E44" s="4">
        <v>0.51041666666666696</v>
      </c>
      <c r="F44" s="3" t="s">
        <v>62</v>
      </c>
      <c r="G44" s="3" t="s">
        <v>56</v>
      </c>
      <c r="H44" s="3" t="s">
        <v>29</v>
      </c>
      <c r="I44" s="3" t="s">
        <v>30</v>
      </c>
      <c r="J44" s="3" t="s">
        <v>31</v>
      </c>
      <c r="K44" s="3" t="s">
        <v>52</v>
      </c>
      <c r="L44" s="5">
        <v>103</v>
      </c>
      <c r="M44" s="5">
        <f t="shared" ca="1" si="0"/>
        <v>55</v>
      </c>
      <c r="N44" s="6">
        <f t="shared" ca="1" si="3"/>
        <v>53.398058252427184</v>
      </c>
      <c r="O44" s="3" cm="1">
        <f t="array" aca="1" ref="O44" ca="1">IFERROR(LOOKUP(2, 1/((F$1:F43=F44)*(J$1:J43=J44)*(ROW(F$1:F43)&lt;ROW(F44))), N$1:N43), "")</f>
        <v>94.174757281553397</v>
      </c>
      <c r="P44" s="3">
        <f t="shared" si="4"/>
        <v>0</v>
      </c>
      <c r="Q44" s="3" t="s">
        <v>33</v>
      </c>
      <c r="R44" s="3" t="s">
        <v>40</v>
      </c>
      <c r="S44" s="3" t="str">
        <f t="shared" si="1"/>
        <v>No</v>
      </c>
      <c r="T44" s="3" t="s">
        <v>34</v>
      </c>
      <c r="U44" s="3" t="str">
        <f t="shared" si="2"/>
        <v>Cloudy</v>
      </c>
      <c r="V44" s="3" t="s">
        <v>40</v>
      </c>
      <c r="W44" s="3">
        <v>7</v>
      </c>
      <c r="X44" s="3">
        <v>2</v>
      </c>
      <c r="Y44" s="3">
        <v>11</v>
      </c>
      <c r="Z44" s="3" t="s">
        <v>35</v>
      </c>
    </row>
    <row r="45" spans="1:26" x14ac:dyDescent="0.3">
      <c r="A45" s="2">
        <v>46198</v>
      </c>
      <c r="B45" s="3" t="s">
        <v>45</v>
      </c>
      <c r="C45" s="3">
        <v>5</v>
      </c>
      <c r="D45" s="4">
        <v>0.5625</v>
      </c>
      <c r="E45" s="4">
        <v>0.60416666666666696</v>
      </c>
      <c r="F45" s="3" t="s">
        <v>63</v>
      </c>
      <c r="G45" s="3" t="s">
        <v>64</v>
      </c>
      <c r="H45" s="3" t="s">
        <v>29</v>
      </c>
      <c r="I45" s="3" t="s">
        <v>30</v>
      </c>
      <c r="J45" s="3" t="s">
        <v>31</v>
      </c>
      <c r="K45" s="3" t="s">
        <v>52</v>
      </c>
      <c r="L45" s="5">
        <v>103</v>
      </c>
      <c r="M45" s="5">
        <f t="shared" ca="1" si="0"/>
        <v>57</v>
      </c>
      <c r="N45" s="6">
        <f t="shared" ca="1" si="3"/>
        <v>55.339805825242713</v>
      </c>
      <c r="O45" s="3">
        <v>83.465218530000001</v>
      </c>
      <c r="P45" s="3">
        <f t="shared" si="4"/>
        <v>1.25</v>
      </c>
      <c r="Q45" s="3" t="s">
        <v>33</v>
      </c>
      <c r="R45" s="3" t="s">
        <v>40</v>
      </c>
      <c r="S45" s="3" t="str">
        <f t="shared" si="1"/>
        <v>No</v>
      </c>
      <c r="T45" s="3" t="s">
        <v>34</v>
      </c>
      <c r="U45" s="3" t="str">
        <f t="shared" si="2"/>
        <v>Cloudy</v>
      </c>
      <c r="V45" s="3" t="s">
        <v>40</v>
      </c>
      <c r="W45" s="3" cm="1">
        <f t="array" ref="W45">_xlfn.IFS(
OR(F45="Selenium (Hands-on)",F45="Guest Lecture: HR Interview"),6,
OR(F45="Soft Skill",F45="Soft Skill (Examination)",F45="AWS Training",F45="AWS Session"),7,
OR(ISNUMBER(SEARCH("MAD",F45)),ISNUMBER(SEARCH("STQA",F45)),F45="CI/CD Session"),8,
OR(ISNUMBER(SEARCH("Cloud",F45)),F45="Industry Readiness Program",ISNUMBER(SEARCH("Talenlio",F45))),9,
OR(ISNUMBER(SEARCH("Innovation",F45)),F45="Mini Project"),10,
OR(ISNUMBER(SEARCH("Data Science",F45)),ISNUMBER(SEARCH("DS",F45))),11,
ISNUMBER(SEARCH("Generative AI",F45)),12
=_xlfn.IFS(
OR(F45="Selenium (Hands-on)",F45="Guest Lecture: HR Interview"),6,
OR(F45="Soft Skill",F45="Soft Skill (Examination)",F45="AWS Training",F45="AWS Session"),7,
OR(ISNUMBER(SEARCH("MAD",F45)),ISNUMBER(SEARCH("STQA",F45)),F45="CI/CD Session"),8,
OR(ISNUMBER(SEARCH("Cloud",F45)),F45="Industry Readiness Program",ISNUMBER(SEARCH("Talenlio",F45))),9,
OR(ISNUMBER(SEARCH("Innovation",F45)),F45="Mini Project"),10,
OR(ISNUMBER(SEARCH("Data Science",F45)),ISNUMBER(SEARCH("DS",F45))),11,
ISNUMBER(SEARCH("Generative AI",F45)),12
=_xlfn.IFS(
OR(F45="Selenium (Hands-on)",F45="Guest Lecture: HR Interview"),6,
OR(F45="Soft Skill",F45="Soft Skill (Examination)",F45="AWS Training",F45="AWS Session"),7,
OR(ISNUMBER(SEARCH("MAD",F45)),ISNUMBER(SEARCH("STQA",F45)),F45="CI/CD Session"),8,
OR(ISNUMBER(SEARCH("Cloud",F45)),F45="Industry Readiness Program",ISNUMBER(SEARCH("Talenlio",F45))),9,
OR(ISNUMBER(SEARCH("Innovation",F45)),F45="Mini Project"),10,
OR(ISNUMBER(SEARCH("Data Science",F45)),ISNUMBER(SEARCH("DS",F45))),11,
ISNUMBER(SEARCH("Generative AI",F45)),12
=_xlfn.IFS(
OR(F45="Selenium (Hands-on)",F45="Guest Lecture: HR Interview"),6,
OR(F45="Soft Skill",F45="Soft Skill (Examination)",F45="AWS Training",F45="AWS Session"),7,
OR(ISNUMBER(SEARCH("MAD",F45)),ISNUMBER(SEARCH("STQA",F45)),F45="CI/CD Session"),8,
OR(ISNUMBER(SEARCH("Cloud",F45)),F45="Industry Readiness Program",ISNUMBER(SEARCH("Talenlio",F45))),9,
OR(ISNUMBER(SEARCH("Innovation",F45)),F45="Mini Project"),10,
OR(ISNUMBER(SEARCH("Data Science",F45)),ISNUMBER(SEARCH("DS",F45))),11,
ISNUMBER(SEARCH("Generative AI",F45)),12
))))</f>
        <v>9</v>
      </c>
      <c r="X45" s="3">
        <v>2</v>
      </c>
      <c r="Y45" s="3">
        <v>11</v>
      </c>
      <c r="Z45" s="3" t="s">
        <v>38</v>
      </c>
    </row>
    <row r="46" spans="1:26" x14ac:dyDescent="0.3">
      <c r="A46" s="2">
        <v>46198</v>
      </c>
      <c r="B46" s="3" t="s">
        <v>45</v>
      </c>
      <c r="C46" s="3">
        <v>6</v>
      </c>
      <c r="D46" s="4">
        <v>0.60416666666666696</v>
      </c>
      <c r="E46" s="4">
        <v>0.64583333333333304</v>
      </c>
      <c r="F46" s="3" t="s">
        <v>63</v>
      </c>
      <c r="G46" s="3" t="s">
        <v>64</v>
      </c>
      <c r="H46" s="3" t="s">
        <v>29</v>
      </c>
      <c r="I46" s="3" t="s">
        <v>30</v>
      </c>
      <c r="J46" s="3" t="s">
        <v>31</v>
      </c>
      <c r="K46" s="3" t="s">
        <v>52</v>
      </c>
      <c r="L46" s="5">
        <v>103</v>
      </c>
      <c r="M46" s="5">
        <f t="shared" ca="1" si="0"/>
        <v>64</v>
      </c>
      <c r="N46" s="6">
        <f t="shared" ca="1" si="3"/>
        <v>62.135922330097081</v>
      </c>
      <c r="O46" s="3" cm="1">
        <f t="array" aca="1" ref="O46" ca="1">IFERROR(LOOKUP(2, 1/((F$1:F45=F46)*(J$1:J45=J46)*(ROW(F$1:F45)&lt;ROW(F46))), N$1:N45), "")</f>
        <v>55.339805825242713</v>
      </c>
      <c r="P46" s="3">
        <f t="shared" si="4"/>
        <v>0</v>
      </c>
      <c r="Q46" s="3" t="s">
        <v>33</v>
      </c>
      <c r="R46" s="3" t="s">
        <v>40</v>
      </c>
      <c r="S46" s="3" t="str">
        <f t="shared" si="1"/>
        <v>No</v>
      </c>
      <c r="T46" s="3" t="s">
        <v>34</v>
      </c>
      <c r="U46" s="3" t="str">
        <f t="shared" si="2"/>
        <v>Cloudy</v>
      </c>
      <c r="V46" s="3" t="s">
        <v>40</v>
      </c>
      <c r="W46" s="3" cm="1">
        <f t="array" ref="W46">_xlfn.IFS(
OR(F46="Selenium (Hands-on)",F46="Guest Lecture: HR Interview"),6,
OR(F46="Soft Skill",F46="Soft Skill (Examination)",F46="AWS Training",F46="AWS Session"),7,
OR(ISNUMBER(SEARCH("MAD",F46)),ISNUMBER(SEARCH("STQA",F46)),F46="CI/CD Session"),8,
OR(ISNUMBER(SEARCH("Cloud",F46)),F46="Industry Readiness Program",ISNUMBER(SEARCH("Talenlio",F46))),9,
OR(ISNUMBER(SEARCH("Innovation",F46)),F46="Mini Project"),10,
OR(ISNUMBER(SEARCH("Data Science",F46)),ISNUMBER(SEARCH("DS",F46))),11,
ISNUMBER(SEARCH("Generative AI",F46)),12
=_xlfn.IFS(
OR(F46="Selenium (Hands-on)",F46="Guest Lecture: HR Interview"),6,
OR(F46="Soft Skill",F46="Soft Skill (Examination)",F46="AWS Training",F46="AWS Session"),7,
OR(ISNUMBER(SEARCH("MAD",F46)),ISNUMBER(SEARCH("STQA",F46)),F46="CI/CD Session"),8,
OR(ISNUMBER(SEARCH("Cloud",F46)),F46="Industry Readiness Program",ISNUMBER(SEARCH("Talenlio",F46))),9,
OR(ISNUMBER(SEARCH("Innovation",F46)),F46="Mini Project"),10,
OR(ISNUMBER(SEARCH("Data Science",F46)),ISNUMBER(SEARCH("DS",F46))),11,
ISNUMBER(SEARCH("Generative AI",F46)),12
=_xlfn.IFS(
OR(F46="Selenium (Hands-on)",F46="Guest Lecture: HR Interview"),6,
OR(F46="Soft Skill",F46="Soft Skill (Examination)",F46="AWS Training",F46="AWS Session"),7,
OR(ISNUMBER(SEARCH("MAD",F46)),ISNUMBER(SEARCH("STQA",F46)),F46="CI/CD Session"),8,
OR(ISNUMBER(SEARCH("Cloud",F46)),F46="Industry Readiness Program",ISNUMBER(SEARCH("Talenlio",F46))),9,
OR(ISNUMBER(SEARCH("Innovation",F46)),F46="Mini Project"),10,
OR(ISNUMBER(SEARCH("Data Science",F46)),ISNUMBER(SEARCH("DS",F46))),11,
ISNUMBER(SEARCH("Generative AI",F46)),12
=_xlfn.IFS(
OR(F46="Selenium (Hands-on)",F46="Guest Lecture: HR Interview"),6,
OR(F46="Soft Skill",F46="Soft Skill (Examination)",F46="AWS Training",F46="AWS Session"),7,
OR(ISNUMBER(SEARCH("MAD",F46)),ISNUMBER(SEARCH("STQA",F46)),F46="CI/CD Session"),8,
OR(ISNUMBER(SEARCH("Cloud",F46)),F46="Industry Readiness Program",ISNUMBER(SEARCH("Talenlio",F46))),9,
OR(ISNUMBER(SEARCH("Innovation",F46)),F46="Mini Project"),10,
OR(ISNUMBER(SEARCH("Data Science",F46)),ISNUMBER(SEARCH("DS",F46))),11,
ISNUMBER(SEARCH("Generative AI",F46)),12
))))</f>
        <v>9</v>
      </c>
      <c r="X46" s="3">
        <v>2</v>
      </c>
      <c r="Y46" s="3">
        <v>11</v>
      </c>
      <c r="Z46" s="3" t="s">
        <v>38</v>
      </c>
    </row>
    <row r="47" spans="1:26" x14ac:dyDescent="0.3">
      <c r="A47" s="2">
        <v>46200</v>
      </c>
      <c r="B47" s="3" t="s">
        <v>47</v>
      </c>
      <c r="C47" s="3">
        <v>1</v>
      </c>
      <c r="D47" s="4">
        <v>0.35416666666666702</v>
      </c>
      <c r="E47" s="4">
        <v>0.38541666666666702</v>
      </c>
      <c r="F47" s="3" t="s">
        <v>65</v>
      </c>
      <c r="G47" s="3" t="s">
        <v>51</v>
      </c>
      <c r="H47" s="3" t="s">
        <v>29</v>
      </c>
      <c r="I47" s="3" t="s">
        <v>30</v>
      </c>
      <c r="J47" s="3" t="s">
        <v>31</v>
      </c>
      <c r="K47" s="3" t="s">
        <v>52</v>
      </c>
      <c r="L47" s="5">
        <v>103</v>
      </c>
      <c r="M47" s="5">
        <f t="shared" ca="1" si="0"/>
        <v>75</v>
      </c>
      <c r="N47" s="6">
        <f t="shared" ca="1" si="3"/>
        <v>72.815533980582529</v>
      </c>
      <c r="O47" s="3">
        <v>79.864561519999995</v>
      </c>
      <c r="P47" s="3">
        <f t="shared" si="4"/>
        <v>0</v>
      </c>
      <c r="Q47" s="3" t="s">
        <v>43</v>
      </c>
      <c r="R47" s="3" t="s">
        <v>40</v>
      </c>
      <c r="S47" s="3" t="str">
        <f t="shared" si="1"/>
        <v>No</v>
      </c>
      <c r="T47" s="3" t="s">
        <v>34</v>
      </c>
      <c r="U47" s="3" t="str">
        <f t="shared" si="2"/>
        <v>Cloudy</v>
      </c>
      <c r="V47" s="3" t="s">
        <v>40</v>
      </c>
      <c r="W47" s="3" cm="1">
        <f t="array" ref="W47">_xlfn.IFS(
OR(F47="Selenium (Hands-on)",F47="Guest Lecture: HR Interview"),6,
OR(F47="Soft Skill",F47="Soft Skill (Examination)",F47="AWS Training",F47="AWS Session"),7,
OR(ISNUMBER(SEARCH("MAD",F47)),ISNUMBER(SEARCH("STQA",F47)),F47="CI/CD Session"),8,
OR(ISNUMBER(SEARCH("Cloud",F47)),F47="Industry Readiness Program",ISNUMBER(SEARCH("Talenlio",F47))),9,
OR(ISNUMBER(SEARCH("Innovation",F47)),F47="Mini Project"),10,
OR(ISNUMBER(SEARCH("Data Science",F47)),ISNUMBER(SEARCH("DS",F47))),11,
ISNUMBER(SEARCH("Generative AI",F47)),12
=_xlfn.IFS(
OR(F47="Selenium (Hands-on)",F47="Guest Lecture: HR Interview"),6,
OR(F47="Soft Skill",F47="Soft Skill (Examination)",F47="AWS Training",F47="AWS Session"),7,
OR(ISNUMBER(SEARCH("MAD",F47)),ISNUMBER(SEARCH("STQA",F47)),F47="CI/CD Session"),8,
OR(ISNUMBER(SEARCH("Cloud",F47)),F47="Industry Readiness Program",ISNUMBER(SEARCH("Talenlio",F47))),9,
OR(ISNUMBER(SEARCH("Innovation",F47)),F47="Mini Project"),10,
OR(ISNUMBER(SEARCH("Data Science",F47)),ISNUMBER(SEARCH("DS",F47))),11,
ISNUMBER(SEARCH("Generative AI",F47)),12
=_xlfn.IFS(
OR(F47="Selenium (Hands-on)",F47="Guest Lecture: HR Interview"),6,
OR(F47="Soft Skill",F47="Soft Skill (Examination)",F47="AWS Training",F47="AWS Session"),7,
OR(ISNUMBER(SEARCH("MAD",F47)),ISNUMBER(SEARCH("STQA",F47)),F47="CI/CD Session"),8,
OR(ISNUMBER(SEARCH("Cloud",F47)),F47="Industry Readiness Program",ISNUMBER(SEARCH("Talenlio",F47))),9,
OR(ISNUMBER(SEARCH("Innovation",F47)),F47="Mini Project"),10,
OR(ISNUMBER(SEARCH("Data Science",F47)),ISNUMBER(SEARCH("DS",F47))),11,
ISNUMBER(SEARCH("Generative AI",F47)),12
=_xlfn.IFS(
OR(F47="Selenium (Hands-on)",F47="Guest Lecture: HR Interview"),6,
OR(F47="Soft Skill",F47="Soft Skill (Examination)",F47="AWS Training",F47="AWS Session"),7,
OR(ISNUMBER(SEARCH("MAD",F47)),ISNUMBER(SEARCH("STQA",F47)),F47="CI/CD Session"),8,
OR(ISNUMBER(SEARCH("Cloud",F47)),F47="Industry Readiness Program",ISNUMBER(SEARCH("Talenlio",F47))),9,
OR(ISNUMBER(SEARCH("Innovation",F47)),F47="Mini Project"),10,
OR(ISNUMBER(SEARCH("Data Science",F47)),ISNUMBER(SEARCH("DS",F47))),11,
ISNUMBER(SEARCH("Generative AI",F47)),12
))))</f>
        <v>8</v>
      </c>
      <c r="X47" s="3">
        <v>2</v>
      </c>
      <c r="Y47" s="3">
        <v>13</v>
      </c>
      <c r="Z47" s="3" t="s">
        <v>35</v>
      </c>
    </row>
    <row r="48" spans="1:26" x14ac:dyDescent="0.3">
      <c r="A48" s="2">
        <v>46200</v>
      </c>
      <c r="B48" s="3" t="s">
        <v>47</v>
      </c>
      <c r="C48" s="3">
        <v>2</v>
      </c>
      <c r="D48" s="4">
        <v>0.38541666666666702</v>
      </c>
      <c r="E48" s="4">
        <v>0.42708333333333298</v>
      </c>
      <c r="F48" s="3" t="s">
        <v>65</v>
      </c>
      <c r="G48" s="3" t="s">
        <v>51</v>
      </c>
      <c r="H48" s="3" t="s">
        <v>29</v>
      </c>
      <c r="I48" s="3" t="s">
        <v>30</v>
      </c>
      <c r="J48" s="3" t="s">
        <v>31</v>
      </c>
      <c r="K48" s="3" t="s">
        <v>52</v>
      </c>
      <c r="L48" s="5">
        <v>103</v>
      </c>
      <c r="M48" s="5">
        <f t="shared" ca="1" si="0"/>
        <v>103</v>
      </c>
      <c r="N48" s="6">
        <f t="shared" ca="1" si="3"/>
        <v>100</v>
      </c>
      <c r="O48" s="3" cm="1">
        <f t="array" aca="1" ref="O48" ca="1">IFERROR(LOOKUP(2, 1/((F$1:F47=F48)*(J$1:J47=J48)*(ROW(F$1:F47)&lt;ROW(F48))), N$1:N47), "")</f>
        <v>72.815533980582529</v>
      </c>
      <c r="P48" s="3">
        <f t="shared" si="4"/>
        <v>0</v>
      </c>
      <c r="Q48" s="3" t="s">
        <v>43</v>
      </c>
      <c r="R48" s="3" t="s">
        <v>40</v>
      </c>
      <c r="S48" s="3" t="str">
        <f t="shared" si="1"/>
        <v>No</v>
      </c>
      <c r="T48" s="3" t="s">
        <v>34</v>
      </c>
      <c r="U48" s="3" t="str">
        <f t="shared" si="2"/>
        <v>Cloudy</v>
      </c>
      <c r="V48" s="3" t="s">
        <v>40</v>
      </c>
      <c r="W48" s="3" cm="1">
        <f t="array" ref="W48">_xlfn.IFS(
OR(F48="Selenium (Hands-on)",F48="Guest Lecture: HR Interview"),6,
OR(F48="Soft Skill",F48="Soft Skill (Examination)",F48="AWS Training",F48="AWS Session"),7,
OR(ISNUMBER(SEARCH("MAD",F48)),ISNUMBER(SEARCH("STQA",F48)),F48="CI/CD Session"),8,
OR(ISNUMBER(SEARCH("Cloud",F48)),F48="Industry Readiness Program",ISNUMBER(SEARCH("Talenlio",F48))),9,
OR(ISNUMBER(SEARCH("Innovation",F48)),F48="Mini Project"),10,
OR(ISNUMBER(SEARCH("Data Science",F48)),ISNUMBER(SEARCH("DS",F48))),11,
ISNUMBER(SEARCH("Generative AI",F48)),12
=_xlfn.IFS(
OR(F48="Selenium (Hands-on)",F48="Guest Lecture: HR Interview"),6,
OR(F48="Soft Skill",F48="Soft Skill (Examination)",F48="AWS Training",F48="AWS Session"),7,
OR(ISNUMBER(SEARCH("MAD",F48)),ISNUMBER(SEARCH("STQA",F48)),F48="CI/CD Session"),8,
OR(ISNUMBER(SEARCH("Cloud",F48)),F48="Industry Readiness Program",ISNUMBER(SEARCH("Talenlio",F48))),9,
OR(ISNUMBER(SEARCH("Innovation",F48)),F48="Mini Project"),10,
OR(ISNUMBER(SEARCH("Data Science",F48)),ISNUMBER(SEARCH("DS",F48))),11,
ISNUMBER(SEARCH("Generative AI",F48)),12
=_xlfn.IFS(
OR(F48="Selenium (Hands-on)",F48="Guest Lecture: HR Interview"),6,
OR(F48="Soft Skill",F48="Soft Skill (Examination)",F48="AWS Training",F48="AWS Session"),7,
OR(ISNUMBER(SEARCH("MAD",F48)),ISNUMBER(SEARCH("STQA",F48)),F48="CI/CD Session"),8,
OR(ISNUMBER(SEARCH("Cloud",F48)),F48="Industry Readiness Program",ISNUMBER(SEARCH("Talenlio",F48))),9,
OR(ISNUMBER(SEARCH("Innovation",F48)),F48="Mini Project"),10,
OR(ISNUMBER(SEARCH("Data Science",F48)),ISNUMBER(SEARCH("DS",F48))),11,
ISNUMBER(SEARCH("Generative AI",F48)),12
=_xlfn.IFS(
OR(F48="Selenium (Hands-on)",F48="Guest Lecture: HR Interview"),6,
OR(F48="Soft Skill",F48="Soft Skill (Examination)",F48="AWS Training",F48="AWS Session"),7,
OR(ISNUMBER(SEARCH("MAD",F48)),ISNUMBER(SEARCH("STQA",F48)),F48="CI/CD Session"),8,
OR(ISNUMBER(SEARCH("Cloud",F48)),F48="Industry Readiness Program",ISNUMBER(SEARCH("Talenlio",F48))),9,
OR(ISNUMBER(SEARCH("Innovation",F48)),F48="Mini Project"),10,
OR(ISNUMBER(SEARCH("Data Science",F48)),ISNUMBER(SEARCH("DS",F48))),11,
ISNUMBER(SEARCH("Generative AI",F48)),12
))))</f>
        <v>8</v>
      </c>
      <c r="X48" s="3">
        <v>2</v>
      </c>
      <c r="Y48" s="3">
        <v>13</v>
      </c>
      <c r="Z48" s="3" t="s">
        <v>35</v>
      </c>
    </row>
    <row r="49" spans="1:26" x14ac:dyDescent="0.3">
      <c r="A49" s="2">
        <v>46200</v>
      </c>
      <c r="B49" s="3" t="s">
        <v>47</v>
      </c>
      <c r="C49" s="3">
        <v>3</v>
      </c>
      <c r="D49" s="4">
        <v>0.42708333333333298</v>
      </c>
      <c r="E49" s="4">
        <v>0.46875</v>
      </c>
      <c r="F49" s="3" t="s">
        <v>66</v>
      </c>
      <c r="G49" s="3" t="s">
        <v>67</v>
      </c>
      <c r="H49" s="3" t="s">
        <v>29</v>
      </c>
      <c r="I49" s="3" t="s">
        <v>30</v>
      </c>
      <c r="J49" s="3" t="s">
        <v>31</v>
      </c>
      <c r="K49" s="3" t="s">
        <v>52</v>
      </c>
      <c r="L49" s="5">
        <v>103</v>
      </c>
      <c r="M49" s="5">
        <f t="shared" ca="1" si="0"/>
        <v>46</v>
      </c>
      <c r="N49" s="6">
        <f t="shared" ca="1" si="3"/>
        <v>44.660194174757287</v>
      </c>
      <c r="O49" s="3">
        <v>46.844516820000003</v>
      </c>
      <c r="P49" s="3">
        <f t="shared" si="4"/>
        <v>0</v>
      </c>
      <c r="Q49" s="3" t="s">
        <v>43</v>
      </c>
      <c r="R49" s="3" t="s">
        <v>40</v>
      </c>
      <c r="S49" s="3" t="str">
        <f t="shared" si="1"/>
        <v>Yes</v>
      </c>
      <c r="T49" s="3" t="s">
        <v>34</v>
      </c>
      <c r="U49" s="3" t="str">
        <f t="shared" si="2"/>
        <v>Cloudy</v>
      </c>
      <c r="V49" s="3" t="s">
        <v>40</v>
      </c>
      <c r="W49" s="3" cm="1">
        <f t="array" ref="W49">_xlfn.IFS(
OR(F49="Selenium (Hands-on)",F49="Guest Lecture: HR Interview"),6,
OR(F49="Soft Skill",F49="Soft Skill (Examination)",F49="AWS Training",F49="AWS Session"),7,
OR(ISNUMBER(SEARCH("MAD",F49)),ISNUMBER(SEARCH("STQA",F49)),F49="CI/CD Session"),8,
OR(ISNUMBER(SEARCH("Cloud",F49)),F49="Industry Readiness Program",ISNUMBER(SEARCH("Talenlio",F49))),9,
OR(ISNUMBER(SEARCH("Innovation",F49)),F49="Mini Project"),10,
OR(ISNUMBER(SEARCH("Data Science",F49)),ISNUMBER(SEARCH("DS",F49))),11,
ISNUMBER(SEARCH("Generative AI",F49)),12
=_xlfn.IFS(
OR(F49="Selenium (Hands-on)",F49="Guest Lecture: HR Interview"),6,
OR(F49="Soft Skill",F49="Soft Skill (Examination)",F49="AWS Training",F49="AWS Session"),7,
OR(ISNUMBER(SEARCH("MAD",F49)),ISNUMBER(SEARCH("STQA",F49)),F49="CI/CD Session"),8,
OR(ISNUMBER(SEARCH("Cloud",F49)),F49="Industry Readiness Program",ISNUMBER(SEARCH("Talenlio",F49))),9,
OR(ISNUMBER(SEARCH("Innovation",F49)),F49="Mini Project"),10,
OR(ISNUMBER(SEARCH("Data Science",F49)),ISNUMBER(SEARCH("DS",F49))),11,
ISNUMBER(SEARCH("Generative AI",F49)),12
=_xlfn.IFS(
OR(F49="Selenium (Hands-on)",F49="Guest Lecture: HR Interview"),6,
OR(F49="Soft Skill",F49="Soft Skill (Examination)",F49="AWS Training",F49="AWS Session"),7,
OR(ISNUMBER(SEARCH("MAD",F49)),ISNUMBER(SEARCH("STQA",F49)),F49="CI/CD Session"),8,
OR(ISNUMBER(SEARCH("Cloud",F49)),F49="Industry Readiness Program",ISNUMBER(SEARCH("Talenlio",F49))),9,
OR(ISNUMBER(SEARCH("Innovation",F49)),F49="Mini Project"),10,
OR(ISNUMBER(SEARCH("Data Science",F49)),ISNUMBER(SEARCH("DS",F49))),11,
ISNUMBER(SEARCH("Generative AI",F49)),12
=_xlfn.IFS(
OR(F49="Selenium (Hands-on)",F49="Guest Lecture: HR Interview"),6,
OR(F49="Soft Skill",F49="Soft Skill (Examination)",F49="AWS Training",F49="AWS Session"),7,
OR(ISNUMBER(SEARCH("MAD",F49)),ISNUMBER(SEARCH("STQA",F49)),F49="CI/CD Session"),8,
OR(ISNUMBER(SEARCH("Cloud",F49)),F49="Industry Readiness Program",ISNUMBER(SEARCH("Talenlio",F49))),9,
OR(ISNUMBER(SEARCH("Innovation",F49)),F49="Mini Project"),10,
OR(ISNUMBER(SEARCH("Data Science",F49)),ISNUMBER(SEARCH("DS",F49))),11,
ISNUMBER(SEARCH("Generative AI",F49)),12
))))</f>
        <v>10</v>
      </c>
      <c r="X49" s="3">
        <v>2</v>
      </c>
      <c r="Y49" s="3">
        <v>13</v>
      </c>
      <c r="Z49" s="3" t="s">
        <v>35</v>
      </c>
    </row>
    <row r="50" spans="1:26" x14ac:dyDescent="0.3">
      <c r="A50" s="2">
        <v>46200</v>
      </c>
      <c r="B50" s="3" t="s">
        <v>47</v>
      </c>
      <c r="C50" s="3">
        <v>4</v>
      </c>
      <c r="D50" s="4">
        <v>0.46875</v>
      </c>
      <c r="E50" s="4">
        <v>0.51041666666666696</v>
      </c>
      <c r="F50" s="3" t="s">
        <v>66</v>
      </c>
      <c r="G50" s="3" t="s">
        <v>67</v>
      </c>
      <c r="H50" s="3" t="s">
        <v>29</v>
      </c>
      <c r="I50" s="3" t="s">
        <v>30</v>
      </c>
      <c r="J50" s="3" t="s">
        <v>31</v>
      </c>
      <c r="K50" s="3" t="s">
        <v>52</v>
      </c>
      <c r="L50" s="5">
        <v>103</v>
      </c>
      <c r="M50" s="5">
        <f t="shared" ca="1" si="0"/>
        <v>102</v>
      </c>
      <c r="N50" s="6">
        <f t="shared" ca="1" si="3"/>
        <v>99.029126213592235</v>
      </c>
      <c r="O50" s="3" cm="1">
        <f t="array" aca="1" ref="O50" ca="1">IFERROR(LOOKUP(2, 1/((F$1:F49=F50)*(J$1:J49=J50)*(ROW(F$1:F49)&lt;ROW(F50))), N$1:N49), "")</f>
        <v>44.660194174757287</v>
      </c>
      <c r="P50" s="3">
        <f t="shared" si="4"/>
        <v>0</v>
      </c>
      <c r="Q50" s="3" t="s">
        <v>43</v>
      </c>
      <c r="R50" s="3" t="s">
        <v>40</v>
      </c>
      <c r="S50" s="3" t="str">
        <f t="shared" si="1"/>
        <v>Yes</v>
      </c>
      <c r="T50" s="3" t="s">
        <v>34</v>
      </c>
      <c r="U50" s="3" t="str">
        <f t="shared" si="2"/>
        <v>Cloudy</v>
      </c>
      <c r="V50" s="3" t="s">
        <v>40</v>
      </c>
      <c r="W50" s="3" cm="1">
        <f t="array" ref="W50">_xlfn.IFS(
OR(F50="Selenium (Hands-on)",F50="Guest Lecture: HR Interview"),6,
OR(F50="Soft Skill",F50="Soft Skill (Examination)",F50="AWS Training",F50="AWS Session"),7,
OR(ISNUMBER(SEARCH("MAD",F50)),ISNUMBER(SEARCH("STQA",F50)),F50="CI/CD Session"),8,
OR(ISNUMBER(SEARCH("Cloud",F50)),F50="Industry Readiness Program",ISNUMBER(SEARCH("Talenlio",F50))),9,
OR(ISNUMBER(SEARCH("Innovation",F50)),F50="Mini Project"),10,
OR(ISNUMBER(SEARCH("Data Science",F50)),ISNUMBER(SEARCH("DS",F50))),11,
ISNUMBER(SEARCH("Generative AI",F50)),12
=_xlfn.IFS(
OR(F50="Selenium (Hands-on)",F50="Guest Lecture: HR Interview"),6,
OR(F50="Soft Skill",F50="Soft Skill (Examination)",F50="AWS Training",F50="AWS Session"),7,
OR(ISNUMBER(SEARCH("MAD",F50)),ISNUMBER(SEARCH("STQA",F50)),F50="CI/CD Session"),8,
OR(ISNUMBER(SEARCH("Cloud",F50)),F50="Industry Readiness Program",ISNUMBER(SEARCH("Talenlio",F50))),9,
OR(ISNUMBER(SEARCH("Innovation",F50)),F50="Mini Project"),10,
OR(ISNUMBER(SEARCH("Data Science",F50)),ISNUMBER(SEARCH("DS",F50))),11,
ISNUMBER(SEARCH("Generative AI",F50)),12
=_xlfn.IFS(
OR(F50="Selenium (Hands-on)",F50="Guest Lecture: HR Interview"),6,
OR(F50="Soft Skill",F50="Soft Skill (Examination)",F50="AWS Training",F50="AWS Session"),7,
OR(ISNUMBER(SEARCH("MAD",F50)),ISNUMBER(SEARCH("STQA",F50)),F50="CI/CD Session"),8,
OR(ISNUMBER(SEARCH("Cloud",F50)),F50="Industry Readiness Program",ISNUMBER(SEARCH("Talenlio",F50))),9,
OR(ISNUMBER(SEARCH("Innovation",F50)),F50="Mini Project"),10,
OR(ISNUMBER(SEARCH("Data Science",F50)),ISNUMBER(SEARCH("DS",F50))),11,
ISNUMBER(SEARCH("Generative AI",F50)),12
=_xlfn.IFS(
OR(F50="Selenium (Hands-on)",F50="Guest Lecture: HR Interview"),6,
OR(F50="Soft Skill",F50="Soft Skill (Examination)",F50="AWS Training",F50="AWS Session"),7,
OR(ISNUMBER(SEARCH("MAD",F50)),ISNUMBER(SEARCH("STQA",F50)),F50="CI/CD Session"),8,
OR(ISNUMBER(SEARCH("Cloud",F50)),F50="Industry Readiness Program",ISNUMBER(SEARCH("Talenlio",F50))),9,
OR(ISNUMBER(SEARCH("Innovation",F50)),F50="Mini Project"),10,
OR(ISNUMBER(SEARCH("Data Science",F50)),ISNUMBER(SEARCH("DS",F50))),11,
ISNUMBER(SEARCH("Generative AI",F50)),12
))))</f>
        <v>10</v>
      </c>
      <c r="X50" s="3">
        <v>2</v>
      </c>
      <c r="Y50" s="3">
        <v>13</v>
      </c>
      <c r="Z50" s="3" t="s">
        <v>35</v>
      </c>
    </row>
    <row r="51" spans="1:26" x14ac:dyDescent="0.3">
      <c r="A51" s="2">
        <v>46200</v>
      </c>
      <c r="B51" s="3" t="s">
        <v>47</v>
      </c>
      <c r="C51" s="3">
        <v>5</v>
      </c>
      <c r="D51" s="4">
        <v>0.5625</v>
      </c>
      <c r="E51" s="4">
        <v>0.60416666666666696</v>
      </c>
      <c r="F51" s="3" t="s">
        <v>66</v>
      </c>
      <c r="G51" s="3" t="s">
        <v>67</v>
      </c>
      <c r="H51" s="3" t="s">
        <v>29</v>
      </c>
      <c r="I51" s="3" t="s">
        <v>30</v>
      </c>
      <c r="J51" s="3" t="s">
        <v>31</v>
      </c>
      <c r="K51" s="3" t="s">
        <v>52</v>
      </c>
      <c r="L51" s="5">
        <v>103</v>
      </c>
      <c r="M51" s="5">
        <f t="shared" ca="1" si="0"/>
        <v>74</v>
      </c>
      <c r="N51" s="6">
        <f t="shared" ca="1" si="3"/>
        <v>71.844660194174764</v>
      </c>
      <c r="O51" s="3" cm="1">
        <f t="array" aca="1" ref="O51" ca="1">IFERROR(LOOKUP(2, 1/((F$1:F50=F51)*(J$1:J50=J51)*(ROW(F$1:F50)&lt;ROW(F51))), N$1:N50), "")</f>
        <v>99.029126213592235</v>
      </c>
      <c r="P51" s="3">
        <f t="shared" si="4"/>
        <v>1.25</v>
      </c>
      <c r="Q51" s="3" t="s">
        <v>43</v>
      </c>
      <c r="R51" s="3" t="s">
        <v>40</v>
      </c>
      <c r="S51" s="3" t="str">
        <f t="shared" si="1"/>
        <v>Yes</v>
      </c>
      <c r="T51" s="3" t="s">
        <v>34</v>
      </c>
      <c r="U51" s="3" t="str">
        <f t="shared" si="2"/>
        <v>Cloudy</v>
      </c>
      <c r="V51" s="3" t="s">
        <v>40</v>
      </c>
      <c r="W51" s="3" cm="1">
        <f t="array" ref="W51">_xlfn.IFS(
OR(F51="Selenium (Hands-on)",F51="Guest Lecture: HR Interview"),6,
OR(F51="Soft Skill",F51="Soft Skill (Examination)",F51="AWS Training",F51="AWS Session"),7,
OR(ISNUMBER(SEARCH("MAD",F51)),ISNUMBER(SEARCH("STQA",F51)),F51="CI/CD Session"),8,
OR(ISNUMBER(SEARCH("Cloud",F51)),F51="Industry Readiness Program",ISNUMBER(SEARCH("Talenlio",F51))),9,
OR(ISNUMBER(SEARCH("Innovation",F51)),F51="Mini Project"),10,
OR(ISNUMBER(SEARCH("Data Science",F51)),ISNUMBER(SEARCH("DS",F51))),11,
ISNUMBER(SEARCH("Generative AI",F51)),12
=_xlfn.IFS(
OR(F51="Selenium (Hands-on)",F51="Guest Lecture: HR Interview"),6,
OR(F51="Soft Skill",F51="Soft Skill (Examination)",F51="AWS Training",F51="AWS Session"),7,
OR(ISNUMBER(SEARCH("MAD",F51)),ISNUMBER(SEARCH("STQA",F51)),F51="CI/CD Session"),8,
OR(ISNUMBER(SEARCH("Cloud",F51)),F51="Industry Readiness Program",ISNUMBER(SEARCH("Talenlio",F51))),9,
OR(ISNUMBER(SEARCH("Innovation",F51)),F51="Mini Project"),10,
OR(ISNUMBER(SEARCH("Data Science",F51)),ISNUMBER(SEARCH("DS",F51))),11,
ISNUMBER(SEARCH("Generative AI",F51)),12
=_xlfn.IFS(
OR(F51="Selenium (Hands-on)",F51="Guest Lecture: HR Interview"),6,
OR(F51="Soft Skill",F51="Soft Skill (Examination)",F51="AWS Training",F51="AWS Session"),7,
OR(ISNUMBER(SEARCH("MAD",F51)),ISNUMBER(SEARCH("STQA",F51)),F51="CI/CD Session"),8,
OR(ISNUMBER(SEARCH("Cloud",F51)),F51="Industry Readiness Program",ISNUMBER(SEARCH("Talenlio",F51))),9,
OR(ISNUMBER(SEARCH("Innovation",F51)),F51="Mini Project"),10,
OR(ISNUMBER(SEARCH("Data Science",F51)),ISNUMBER(SEARCH("DS",F51))),11,
ISNUMBER(SEARCH("Generative AI",F51)),12
=_xlfn.IFS(
OR(F51="Selenium (Hands-on)",F51="Guest Lecture: HR Interview"),6,
OR(F51="Soft Skill",F51="Soft Skill (Examination)",F51="AWS Training",F51="AWS Session"),7,
OR(ISNUMBER(SEARCH("MAD",F51)),ISNUMBER(SEARCH("STQA",F51)),F51="CI/CD Session"),8,
OR(ISNUMBER(SEARCH("Cloud",F51)),F51="Industry Readiness Program",ISNUMBER(SEARCH("Talenlio",F51))),9,
OR(ISNUMBER(SEARCH("Innovation",F51)),F51="Mini Project"),10,
OR(ISNUMBER(SEARCH("Data Science",F51)),ISNUMBER(SEARCH("DS",F51))),11,
ISNUMBER(SEARCH("Generative AI",F51)),12
))))</f>
        <v>10</v>
      </c>
      <c r="X51" s="3">
        <v>2</v>
      </c>
      <c r="Y51" s="3">
        <v>13</v>
      </c>
      <c r="Z51" s="3" t="s">
        <v>38</v>
      </c>
    </row>
    <row r="52" spans="1:26" x14ac:dyDescent="0.3">
      <c r="A52" s="2">
        <v>46200</v>
      </c>
      <c r="B52" s="3" t="s">
        <v>47</v>
      </c>
      <c r="C52" s="3">
        <v>6</v>
      </c>
      <c r="D52" s="4">
        <v>0.60416666666666696</v>
      </c>
      <c r="E52" s="4">
        <v>0.64583333333333304</v>
      </c>
      <c r="F52" s="3" t="s">
        <v>66</v>
      </c>
      <c r="G52" s="3" t="s">
        <v>67</v>
      </c>
      <c r="H52" s="3" t="s">
        <v>29</v>
      </c>
      <c r="I52" s="3" t="s">
        <v>30</v>
      </c>
      <c r="J52" s="3" t="s">
        <v>31</v>
      </c>
      <c r="K52" s="3" t="s">
        <v>52</v>
      </c>
      <c r="L52" s="5">
        <v>103</v>
      </c>
      <c r="M52" s="5">
        <f t="shared" ca="1" si="0"/>
        <v>99</v>
      </c>
      <c r="N52" s="6">
        <f t="shared" ca="1" si="3"/>
        <v>96.116504854368941</v>
      </c>
      <c r="O52" s="3" cm="1">
        <f t="array" aca="1" ref="O52" ca="1">IFERROR(LOOKUP(2, 1/((F$1:F51=F52)*(J$1:J51=J52)*(ROW(F$1:F51)&lt;ROW(F52))), N$1:N51), "")</f>
        <v>71.844660194174764</v>
      </c>
      <c r="P52" s="3">
        <f t="shared" si="4"/>
        <v>0</v>
      </c>
      <c r="Q52" s="3" t="s">
        <v>43</v>
      </c>
      <c r="R52" s="3" t="s">
        <v>40</v>
      </c>
      <c r="S52" s="3" t="str">
        <f t="shared" si="1"/>
        <v>Yes</v>
      </c>
      <c r="T52" s="3" t="s">
        <v>34</v>
      </c>
      <c r="U52" s="3" t="str">
        <f t="shared" si="2"/>
        <v>Cloudy</v>
      </c>
      <c r="V52" s="3" t="s">
        <v>40</v>
      </c>
      <c r="W52" s="3" cm="1">
        <f t="array" ref="W52">_xlfn.IFS(
OR(F52="Selenium (Hands-on)",F52="Guest Lecture: HR Interview"),6,
OR(F52="Soft Skill",F52="Soft Skill (Examination)",F52="AWS Training",F52="AWS Session"),7,
OR(ISNUMBER(SEARCH("MAD",F52)),ISNUMBER(SEARCH("STQA",F52)),F52="CI/CD Session"),8,
OR(ISNUMBER(SEARCH("Cloud",F52)),F52="Industry Readiness Program",ISNUMBER(SEARCH("Talenlio",F52))),9,
OR(ISNUMBER(SEARCH("Innovation",F52)),F52="Mini Project"),10,
OR(ISNUMBER(SEARCH("Data Science",F52)),ISNUMBER(SEARCH("DS",F52))),11,
ISNUMBER(SEARCH("Generative AI",F52)),12
=_xlfn.IFS(
OR(F52="Selenium (Hands-on)",F52="Guest Lecture: HR Interview"),6,
OR(F52="Soft Skill",F52="Soft Skill (Examination)",F52="AWS Training",F52="AWS Session"),7,
OR(ISNUMBER(SEARCH("MAD",F52)),ISNUMBER(SEARCH("STQA",F52)),F52="CI/CD Session"),8,
OR(ISNUMBER(SEARCH("Cloud",F52)),F52="Industry Readiness Program",ISNUMBER(SEARCH("Talenlio",F52))),9,
OR(ISNUMBER(SEARCH("Innovation",F52)),F52="Mini Project"),10,
OR(ISNUMBER(SEARCH("Data Science",F52)),ISNUMBER(SEARCH("DS",F52))),11,
ISNUMBER(SEARCH("Generative AI",F52)),12
=_xlfn.IFS(
OR(F52="Selenium (Hands-on)",F52="Guest Lecture: HR Interview"),6,
OR(F52="Soft Skill",F52="Soft Skill (Examination)",F52="AWS Training",F52="AWS Session"),7,
OR(ISNUMBER(SEARCH("MAD",F52)),ISNUMBER(SEARCH("STQA",F52)),F52="CI/CD Session"),8,
OR(ISNUMBER(SEARCH("Cloud",F52)),F52="Industry Readiness Program",ISNUMBER(SEARCH("Talenlio",F52))),9,
OR(ISNUMBER(SEARCH("Innovation",F52)),F52="Mini Project"),10,
OR(ISNUMBER(SEARCH("Data Science",F52)),ISNUMBER(SEARCH("DS",F52))),11,
ISNUMBER(SEARCH("Generative AI",F52)),12
=_xlfn.IFS(
OR(F52="Selenium (Hands-on)",F52="Guest Lecture: HR Interview"),6,
OR(F52="Soft Skill",F52="Soft Skill (Examination)",F52="AWS Training",F52="AWS Session"),7,
OR(ISNUMBER(SEARCH("MAD",F52)),ISNUMBER(SEARCH("STQA",F52)),F52="CI/CD Session"),8,
OR(ISNUMBER(SEARCH("Cloud",F52)),F52="Industry Readiness Program",ISNUMBER(SEARCH("Talenlio",F52))),9,
OR(ISNUMBER(SEARCH("Innovation",F52)),F52="Mini Project"),10,
OR(ISNUMBER(SEARCH("Data Science",F52)),ISNUMBER(SEARCH("DS",F52))),11,
ISNUMBER(SEARCH("Generative AI",F52)),12
))))</f>
        <v>10</v>
      </c>
      <c r="X52" s="3">
        <v>2</v>
      </c>
      <c r="Y52" s="3">
        <v>13</v>
      </c>
      <c r="Z52" s="3" t="s">
        <v>38</v>
      </c>
    </row>
    <row r="53" spans="1:26" x14ac:dyDescent="0.3">
      <c r="A53" s="2">
        <v>46202</v>
      </c>
      <c r="B53" s="3" t="s">
        <v>26</v>
      </c>
      <c r="C53" s="3">
        <v>1</v>
      </c>
      <c r="D53" s="4">
        <v>0.35416666666666702</v>
      </c>
      <c r="E53" s="4">
        <v>0.38541666666666702</v>
      </c>
      <c r="F53" s="3" t="s">
        <v>50</v>
      </c>
      <c r="G53" s="3" t="s">
        <v>51</v>
      </c>
      <c r="H53" s="3" t="s">
        <v>29</v>
      </c>
      <c r="I53" s="3" t="s">
        <v>30</v>
      </c>
      <c r="J53" s="3" t="s">
        <v>31</v>
      </c>
      <c r="K53" s="3" t="s">
        <v>52</v>
      </c>
      <c r="L53" s="5">
        <v>103</v>
      </c>
      <c r="M53" s="5">
        <f t="shared" ca="1" si="0"/>
        <v>51</v>
      </c>
      <c r="N53" s="6">
        <f t="shared" ca="1" si="3"/>
        <v>49.514563106796118</v>
      </c>
      <c r="O53" s="3" cm="1">
        <f t="array" aca="1" ref="O53" ca="1">IFERROR(LOOKUP(2, 1/((F$1:F52=F53)*(J$1:J52=J53)*(ROW(F$1:F52)&lt;ROW(F53))), N$1:N52), "")</f>
        <v>76.699029126213588</v>
      </c>
      <c r="P53" s="3">
        <f t="shared" si="4"/>
        <v>0</v>
      </c>
      <c r="Q53" s="3" t="s">
        <v>43</v>
      </c>
      <c r="R53" s="3" t="s">
        <v>40</v>
      </c>
      <c r="S53" s="3" t="str">
        <f t="shared" si="1"/>
        <v>No</v>
      </c>
      <c r="T53" s="3" t="s">
        <v>34</v>
      </c>
      <c r="U53" s="3" t="str">
        <f t="shared" si="2"/>
        <v>Cloudy</v>
      </c>
      <c r="V53" s="3" t="s">
        <v>40</v>
      </c>
      <c r="W53" s="3" cm="1">
        <f t="array" ref="W53">_xlfn.IFS(
OR(F53="Selenium (Hands-on)",F53="Guest Lecture: HR Interview"),6,
OR(F53="Soft Skill",F53="Soft Skill (Examination)",F53="AWS Training",F53="AWS Session"),7,
OR(ISNUMBER(SEARCH("MAD",F53)),ISNUMBER(SEARCH("STQA",F53)),F53="CI/CD Session"),8,
OR(ISNUMBER(SEARCH("Cloud",F53)),F53="Industry Readiness Program",ISNUMBER(SEARCH("Talenlio",F53))),9,
OR(ISNUMBER(SEARCH("Innovation",F53)),F53="Mini Project"),10,
OR(ISNUMBER(SEARCH("Data Science",F53)),ISNUMBER(SEARCH("DS",F53))),11,
ISNUMBER(SEARCH("Generative AI",F53)),12
=_xlfn.IFS(
OR(F53="Selenium (Hands-on)",F53="Guest Lecture: HR Interview"),6,
OR(F53="Soft Skill",F53="Soft Skill (Examination)",F53="AWS Training",F53="AWS Session"),7,
OR(ISNUMBER(SEARCH("MAD",F53)),ISNUMBER(SEARCH("STQA",F53)),F53="CI/CD Session"),8,
OR(ISNUMBER(SEARCH("Cloud",F53)),F53="Industry Readiness Program",ISNUMBER(SEARCH("Talenlio",F53))),9,
OR(ISNUMBER(SEARCH("Innovation",F53)),F53="Mini Project"),10,
OR(ISNUMBER(SEARCH("Data Science",F53)),ISNUMBER(SEARCH("DS",F53))),11,
ISNUMBER(SEARCH("Generative AI",F53)),12
=_xlfn.IFS(
OR(F53="Selenium (Hands-on)",F53="Guest Lecture: HR Interview"),6,
OR(F53="Soft Skill",F53="Soft Skill (Examination)",F53="AWS Training",F53="AWS Session"),7,
OR(ISNUMBER(SEARCH("MAD",F53)),ISNUMBER(SEARCH("STQA",F53)),F53="CI/CD Session"),8,
OR(ISNUMBER(SEARCH("Cloud",F53)),F53="Industry Readiness Program",ISNUMBER(SEARCH("Talenlio",F53))),9,
OR(ISNUMBER(SEARCH("Innovation",F53)),F53="Mini Project"),10,
OR(ISNUMBER(SEARCH("Data Science",F53)),ISNUMBER(SEARCH("DS",F53))),11,
ISNUMBER(SEARCH("Generative AI",F53)),12
=_xlfn.IFS(
OR(F53="Selenium (Hands-on)",F53="Guest Lecture: HR Interview"),6,
OR(F53="Soft Skill",F53="Soft Skill (Examination)",F53="AWS Training",F53="AWS Session"),7,
OR(ISNUMBER(SEARCH("MAD",F53)),ISNUMBER(SEARCH("STQA",F53)),F53="CI/CD Session"),8,
OR(ISNUMBER(SEARCH("Cloud",F53)),F53="Industry Readiness Program",ISNUMBER(SEARCH("Talenlio",F53))),9,
OR(ISNUMBER(SEARCH("Innovation",F53)),F53="Mini Project"),10,
OR(ISNUMBER(SEARCH("Data Science",F53)),ISNUMBER(SEARCH("DS",F53))),11,
ISNUMBER(SEARCH("Generative AI",F53)),12
))))</f>
        <v>8</v>
      </c>
      <c r="X53" s="3">
        <v>3</v>
      </c>
      <c r="Y53" s="3">
        <v>15</v>
      </c>
      <c r="Z53" s="3" t="s">
        <v>35</v>
      </c>
    </row>
    <row r="54" spans="1:26" x14ac:dyDescent="0.3">
      <c r="A54" s="2">
        <v>46202</v>
      </c>
      <c r="B54" s="3" t="s">
        <v>26</v>
      </c>
      <c r="C54" s="3">
        <v>2</v>
      </c>
      <c r="D54" s="4">
        <v>0.38541666666666702</v>
      </c>
      <c r="E54" s="4">
        <v>0.42708333333333298</v>
      </c>
      <c r="F54" s="3" t="s">
        <v>50</v>
      </c>
      <c r="G54" s="3" t="s">
        <v>51</v>
      </c>
      <c r="H54" s="3" t="s">
        <v>29</v>
      </c>
      <c r="I54" s="3" t="s">
        <v>30</v>
      </c>
      <c r="J54" s="3" t="s">
        <v>31</v>
      </c>
      <c r="K54" s="3" t="s">
        <v>52</v>
      </c>
      <c r="L54" s="5">
        <v>103</v>
      </c>
      <c r="M54" s="5">
        <f t="shared" ca="1" si="0"/>
        <v>97</v>
      </c>
      <c r="N54" s="6">
        <f t="shared" ca="1" si="3"/>
        <v>94.174757281553397</v>
      </c>
      <c r="O54" s="3" cm="1">
        <f t="array" aca="1" ref="O54" ca="1">IFERROR(LOOKUP(2, 1/((F$1:F53=F54)*(J$1:J53=J54)*(ROW(F$1:F53)&lt;ROW(F54))), N$1:N53), "")</f>
        <v>49.514563106796118</v>
      </c>
      <c r="P54" s="3">
        <f t="shared" si="4"/>
        <v>0</v>
      </c>
      <c r="Q54" s="3" t="s">
        <v>43</v>
      </c>
      <c r="R54" s="3" t="s">
        <v>40</v>
      </c>
      <c r="S54" s="3" t="str">
        <f t="shared" si="1"/>
        <v>No</v>
      </c>
      <c r="T54" s="3" t="s">
        <v>34</v>
      </c>
      <c r="U54" s="3" t="str">
        <f t="shared" si="2"/>
        <v>Cloudy</v>
      </c>
      <c r="V54" s="3" t="s">
        <v>40</v>
      </c>
      <c r="W54" s="3" cm="1">
        <f t="array" ref="W54">_xlfn.IFS(
OR(F54="Selenium (Hands-on)",F54="Guest Lecture: HR Interview"),6,
OR(F54="Soft Skill",F54="Soft Skill (Examination)",F54="AWS Training",F54="AWS Session"),7,
OR(ISNUMBER(SEARCH("MAD",F54)),ISNUMBER(SEARCH("STQA",F54)),F54="CI/CD Session"),8,
OR(ISNUMBER(SEARCH("Cloud",F54)),F54="Industry Readiness Program",ISNUMBER(SEARCH("Talenlio",F54))),9,
OR(ISNUMBER(SEARCH("Innovation",F54)),F54="Mini Project"),10,
OR(ISNUMBER(SEARCH("Data Science",F54)),ISNUMBER(SEARCH("DS",F54))),11,
ISNUMBER(SEARCH("Generative AI",F54)),12
=_xlfn.IFS(
OR(F54="Selenium (Hands-on)",F54="Guest Lecture: HR Interview"),6,
OR(F54="Soft Skill",F54="Soft Skill (Examination)",F54="AWS Training",F54="AWS Session"),7,
OR(ISNUMBER(SEARCH("MAD",F54)),ISNUMBER(SEARCH("STQA",F54)),F54="CI/CD Session"),8,
OR(ISNUMBER(SEARCH("Cloud",F54)),F54="Industry Readiness Program",ISNUMBER(SEARCH("Talenlio",F54))),9,
OR(ISNUMBER(SEARCH("Innovation",F54)),F54="Mini Project"),10,
OR(ISNUMBER(SEARCH("Data Science",F54)),ISNUMBER(SEARCH("DS",F54))),11,
ISNUMBER(SEARCH("Generative AI",F54)),12
=_xlfn.IFS(
OR(F54="Selenium (Hands-on)",F54="Guest Lecture: HR Interview"),6,
OR(F54="Soft Skill",F54="Soft Skill (Examination)",F54="AWS Training",F54="AWS Session"),7,
OR(ISNUMBER(SEARCH("MAD",F54)),ISNUMBER(SEARCH("STQA",F54)),F54="CI/CD Session"),8,
OR(ISNUMBER(SEARCH("Cloud",F54)),F54="Industry Readiness Program",ISNUMBER(SEARCH("Talenlio",F54))),9,
OR(ISNUMBER(SEARCH("Innovation",F54)),F54="Mini Project"),10,
OR(ISNUMBER(SEARCH("Data Science",F54)),ISNUMBER(SEARCH("DS",F54))),11,
ISNUMBER(SEARCH("Generative AI",F54)),12
=_xlfn.IFS(
OR(F54="Selenium (Hands-on)",F54="Guest Lecture: HR Interview"),6,
OR(F54="Soft Skill",F54="Soft Skill (Examination)",F54="AWS Training",F54="AWS Session"),7,
OR(ISNUMBER(SEARCH("MAD",F54)),ISNUMBER(SEARCH("STQA",F54)),F54="CI/CD Session"),8,
OR(ISNUMBER(SEARCH("Cloud",F54)),F54="Industry Readiness Program",ISNUMBER(SEARCH("Talenlio",F54))),9,
OR(ISNUMBER(SEARCH("Innovation",F54)),F54="Mini Project"),10,
OR(ISNUMBER(SEARCH("Data Science",F54)),ISNUMBER(SEARCH("DS",F54))),11,
ISNUMBER(SEARCH("Generative AI",F54)),12
))))</f>
        <v>8</v>
      </c>
      <c r="X54" s="3">
        <v>3</v>
      </c>
      <c r="Y54" s="3">
        <v>15</v>
      </c>
      <c r="Z54" s="3" t="s">
        <v>35</v>
      </c>
    </row>
    <row r="55" spans="1:26" x14ac:dyDescent="0.3">
      <c r="A55" s="2">
        <v>46202</v>
      </c>
      <c r="B55" s="3" t="s">
        <v>26</v>
      </c>
      <c r="C55" s="3">
        <v>3</v>
      </c>
      <c r="D55" s="4">
        <v>0.42708333333333298</v>
      </c>
      <c r="E55" s="4">
        <v>0.46875</v>
      </c>
      <c r="F55" s="3" t="s">
        <v>53</v>
      </c>
      <c r="G55" s="3" t="s">
        <v>54</v>
      </c>
      <c r="H55" s="3" t="s">
        <v>29</v>
      </c>
      <c r="I55" s="3" t="s">
        <v>30</v>
      </c>
      <c r="J55" s="3" t="s">
        <v>31</v>
      </c>
      <c r="K55" s="3" t="s">
        <v>52</v>
      </c>
      <c r="L55" s="5">
        <v>103</v>
      </c>
      <c r="M55" s="5">
        <f t="shared" ca="1" si="0"/>
        <v>79</v>
      </c>
      <c r="N55" s="6">
        <f t="shared" ca="1" si="3"/>
        <v>76.699029126213588</v>
      </c>
      <c r="O55" s="3" cm="1">
        <f t="array" aca="1" ref="O55" ca="1">IFERROR(LOOKUP(2, 1/((F$1:F54=F55)*(J$1:J54=J55)*(ROW(F$1:F54)&lt;ROW(F55))), N$1:N54), "")</f>
        <v>73.786407766990294</v>
      </c>
      <c r="P55" s="3">
        <f t="shared" si="4"/>
        <v>0</v>
      </c>
      <c r="Q55" s="3" t="s">
        <v>33</v>
      </c>
      <c r="R55" s="3" t="s">
        <v>40</v>
      </c>
      <c r="S55" s="3" t="str">
        <f t="shared" si="1"/>
        <v>No</v>
      </c>
      <c r="T55" s="3" t="s">
        <v>34</v>
      </c>
      <c r="U55" s="3" t="str">
        <f t="shared" si="2"/>
        <v>Cloudy</v>
      </c>
      <c r="V55" s="3" t="s">
        <v>40</v>
      </c>
      <c r="W55" s="3" cm="1">
        <f t="array" ref="W55">_xlfn.IFS(
OR(F55="Selenium (Hands-on)",F55="Guest Lecture: HR Interview"),6,
OR(F55="Soft Skill",F55="Soft Skill (Examination)",F55="AWS Training",F55="AWS Session"),7,
OR(ISNUMBER(SEARCH("MAD",F55)),ISNUMBER(SEARCH("STQA",F55)),F55="CI/CD Session"),8,
OR(ISNUMBER(SEARCH("Cloud",F55)),F55="Industry Readiness Program",ISNUMBER(SEARCH("Talenlio",F55))),9,
OR(ISNUMBER(SEARCH("Innovation",F55)),F55="Mini Project"),10,
OR(ISNUMBER(SEARCH("Data Science",F55)),ISNUMBER(SEARCH("DS",F55))),11,
ISNUMBER(SEARCH("Generative AI",F55)),12
=_xlfn.IFS(
OR(F55="Selenium (Hands-on)",F55="Guest Lecture: HR Interview"),6,
OR(F55="Soft Skill",F55="Soft Skill (Examination)",F55="AWS Training",F55="AWS Session"),7,
OR(ISNUMBER(SEARCH("MAD",F55)),ISNUMBER(SEARCH("STQA",F55)),F55="CI/CD Session"),8,
OR(ISNUMBER(SEARCH("Cloud",F55)),F55="Industry Readiness Program",ISNUMBER(SEARCH("Talenlio",F55))),9,
OR(ISNUMBER(SEARCH("Innovation",F55)),F55="Mini Project"),10,
OR(ISNUMBER(SEARCH("Data Science",F55)),ISNUMBER(SEARCH("DS",F55))),11,
ISNUMBER(SEARCH("Generative AI",F55)),12
=_xlfn.IFS(
OR(F55="Selenium (Hands-on)",F55="Guest Lecture: HR Interview"),6,
OR(F55="Soft Skill",F55="Soft Skill (Examination)",F55="AWS Training",F55="AWS Session"),7,
OR(ISNUMBER(SEARCH("MAD",F55)),ISNUMBER(SEARCH("STQA",F55)),F55="CI/CD Session"),8,
OR(ISNUMBER(SEARCH("Cloud",F55)),F55="Industry Readiness Program",ISNUMBER(SEARCH("Talenlio",F55))),9,
OR(ISNUMBER(SEARCH("Innovation",F55)),F55="Mini Project"),10,
OR(ISNUMBER(SEARCH("Data Science",F55)),ISNUMBER(SEARCH("DS",F55))),11,
ISNUMBER(SEARCH("Generative AI",F55)),12
=_xlfn.IFS(
OR(F55="Selenium (Hands-on)",F55="Guest Lecture: HR Interview"),6,
OR(F55="Soft Skill",F55="Soft Skill (Examination)",F55="AWS Training",F55="AWS Session"),7,
OR(ISNUMBER(SEARCH("MAD",F55)),ISNUMBER(SEARCH("STQA",F55)),F55="CI/CD Session"),8,
OR(ISNUMBER(SEARCH("Cloud",F55)),F55="Industry Readiness Program",ISNUMBER(SEARCH("Talenlio",F55))),9,
OR(ISNUMBER(SEARCH("Innovation",F55)),F55="Mini Project"),10,
OR(ISNUMBER(SEARCH("Data Science",F55)),ISNUMBER(SEARCH("DS",F55))),11,
ISNUMBER(SEARCH("Generative AI",F55)),12
))))</f>
        <v>10</v>
      </c>
      <c r="X55" s="3">
        <v>3</v>
      </c>
      <c r="Y55" s="3">
        <v>15</v>
      </c>
      <c r="Z55" s="3" t="s">
        <v>35</v>
      </c>
    </row>
    <row r="56" spans="1:26" x14ac:dyDescent="0.3">
      <c r="A56" s="2">
        <v>46202</v>
      </c>
      <c r="B56" s="3" t="s">
        <v>26</v>
      </c>
      <c r="C56" s="3">
        <v>4</v>
      </c>
      <c r="D56" s="4">
        <v>0.46875</v>
      </c>
      <c r="E56" s="4">
        <v>0.51041666666666696</v>
      </c>
      <c r="F56" s="3" t="s">
        <v>53</v>
      </c>
      <c r="G56" s="3" t="s">
        <v>54</v>
      </c>
      <c r="H56" s="3" t="s">
        <v>29</v>
      </c>
      <c r="I56" s="3" t="s">
        <v>30</v>
      </c>
      <c r="J56" s="3" t="s">
        <v>31</v>
      </c>
      <c r="K56" s="3" t="s">
        <v>52</v>
      </c>
      <c r="L56" s="5">
        <v>103</v>
      </c>
      <c r="M56" s="5">
        <f t="shared" ca="1" si="0"/>
        <v>84</v>
      </c>
      <c r="N56" s="6">
        <f t="shared" ca="1" si="3"/>
        <v>81.553398058252426</v>
      </c>
      <c r="O56" s="3" cm="1">
        <f t="array" aca="1" ref="O56" ca="1">IFERROR(LOOKUP(2, 1/((F$1:F55=F56)*(J$1:J55=J56)*(ROW(F$1:F55)&lt;ROW(F56))), N$1:N55), "")</f>
        <v>76.699029126213588</v>
      </c>
      <c r="P56" s="3">
        <f t="shared" si="4"/>
        <v>0</v>
      </c>
      <c r="Q56" s="3" t="s">
        <v>33</v>
      </c>
      <c r="R56" s="3" t="s">
        <v>40</v>
      </c>
      <c r="S56" s="3" t="str">
        <f t="shared" si="1"/>
        <v>No</v>
      </c>
      <c r="T56" s="3" t="s">
        <v>34</v>
      </c>
      <c r="U56" s="3" t="str">
        <f t="shared" si="2"/>
        <v>Cloudy</v>
      </c>
      <c r="V56" s="3" t="s">
        <v>40</v>
      </c>
      <c r="W56" s="3" cm="1">
        <f t="array" ref="W56">_xlfn.IFS(
OR(F56="Selenium (Hands-on)",F56="Guest Lecture: HR Interview"),6,
OR(F56="Soft Skill",F56="Soft Skill (Examination)",F56="AWS Training",F56="AWS Session"),7,
OR(ISNUMBER(SEARCH("MAD",F56)),ISNUMBER(SEARCH("STQA",F56)),F56="CI/CD Session"),8,
OR(ISNUMBER(SEARCH("Cloud",F56)),F56="Industry Readiness Program",ISNUMBER(SEARCH("Talenlio",F56))),9,
OR(ISNUMBER(SEARCH("Innovation",F56)),F56="Mini Project"),10,
OR(ISNUMBER(SEARCH("Data Science",F56)),ISNUMBER(SEARCH("DS",F56))),11,
ISNUMBER(SEARCH("Generative AI",F56)),12
=_xlfn.IFS(
OR(F56="Selenium (Hands-on)",F56="Guest Lecture: HR Interview"),6,
OR(F56="Soft Skill",F56="Soft Skill (Examination)",F56="AWS Training",F56="AWS Session"),7,
OR(ISNUMBER(SEARCH("MAD",F56)),ISNUMBER(SEARCH("STQA",F56)),F56="CI/CD Session"),8,
OR(ISNUMBER(SEARCH("Cloud",F56)),F56="Industry Readiness Program",ISNUMBER(SEARCH("Talenlio",F56))),9,
OR(ISNUMBER(SEARCH("Innovation",F56)),F56="Mini Project"),10,
OR(ISNUMBER(SEARCH("Data Science",F56)),ISNUMBER(SEARCH("DS",F56))),11,
ISNUMBER(SEARCH("Generative AI",F56)),12
=_xlfn.IFS(
OR(F56="Selenium (Hands-on)",F56="Guest Lecture: HR Interview"),6,
OR(F56="Soft Skill",F56="Soft Skill (Examination)",F56="AWS Training",F56="AWS Session"),7,
OR(ISNUMBER(SEARCH("MAD",F56)),ISNUMBER(SEARCH("STQA",F56)),F56="CI/CD Session"),8,
OR(ISNUMBER(SEARCH("Cloud",F56)),F56="Industry Readiness Program",ISNUMBER(SEARCH("Talenlio",F56))),9,
OR(ISNUMBER(SEARCH("Innovation",F56)),F56="Mini Project"),10,
OR(ISNUMBER(SEARCH("Data Science",F56)),ISNUMBER(SEARCH("DS",F56))),11,
ISNUMBER(SEARCH("Generative AI",F56)),12
=_xlfn.IFS(
OR(F56="Selenium (Hands-on)",F56="Guest Lecture: HR Interview"),6,
OR(F56="Soft Skill",F56="Soft Skill (Examination)",F56="AWS Training",F56="AWS Session"),7,
OR(ISNUMBER(SEARCH("MAD",F56)),ISNUMBER(SEARCH("STQA",F56)),F56="CI/CD Session"),8,
OR(ISNUMBER(SEARCH("Cloud",F56)),F56="Industry Readiness Program",ISNUMBER(SEARCH("Talenlio",F56))),9,
OR(ISNUMBER(SEARCH("Innovation",F56)),F56="Mini Project"),10,
OR(ISNUMBER(SEARCH("Data Science",F56)),ISNUMBER(SEARCH("DS",F56))),11,
ISNUMBER(SEARCH("Generative AI",F56)),12
))))</f>
        <v>10</v>
      </c>
      <c r="X56" s="3">
        <v>3</v>
      </c>
      <c r="Y56" s="3">
        <v>15</v>
      </c>
      <c r="Z56" s="3" t="s">
        <v>35</v>
      </c>
    </row>
    <row r="57" spans="1:26" x14ac:dyDescent="0.3">
      <c r="A57" s="2">
        <v>46202</v>
      </c>
      <c r="B57" s="3" t="s">
        <v>26</v>
      </c>
      <c r="C57" s="3">
        <v>5</v>
      </c>
      <c r="D57" s="4">
        <v>0.5625</v>
      </c>
      <c r="E57" s="4">
        <v>0.60416666666666696</v>
      </c>
      <c r="F57" s="3" t="s">
        <v>55</v>
      </c>
      <c r="G57" s="3" t="s">
        <v>56</v>
      </c>
      <c r="H57" s="3" t="s">
        <v>29</v>
      </c>
      <c r="I57" s="3" t="s">
        <v>30</v>
      </c>
      <c r="J57" s="3" t="s">
        <v>31</v>
      </c>
      <c r="K57" s="3" t="s">
        <v>52</v>
      </c>
      <c r="L57" s="5">
        <v>103</v>
      </c>
      <c r="M57" s="5">
        <f t="shared" ca="1" si="0"/>
        <v>57</v>
      </c>
      <c r="N57" s="6">
        <f t="shared" ca="1" si="3"/>
        <v>55.339805825242713</v>
      </c>
      <c r="O57" s="3" cm="1">
        <f t="array" aca="1" ref="O57" ca="1">IFERROR(LOOKUP(2, 1/((F$1:F56=F57)*(J$1:J56=J57)*(ROW(F$1:F56)&lt;ROW(F57))), N$1:N56), "")</f>
        <v>76.699029126213588</v>
      </c>
      <c r="P57" s="3">
        <f t="shared" si="4"/>
        <v>1.25</v>
      </c>
      <c r="Q57" s="3" t="s">
        <v>43</v>
      </c>
      <c r="R57" s="3" t="s">
        <v>40</v>
      </c>
      <c r="S57" s="3" t="str">
        <f t="shared" si="1"/>
        <v>No</v>
      </c>
      <c r="T57" s="3" t="s">
        <v>34</v>
      </c>
      <c r="U57" s="3" t="str">
        <f t="shared" si="2"/>
        <v>Cloudy</v>
      </c>
      <c r="V57" s="3" t="s">
        <v>40</v>
      </c>
      <c r="W57" s="3" cm="1">
        <f t="array" ref="W57">_xlfn.IFS(
OR(F57="Selenium (Hands-on)",F57="Guest Lecture: HR Interview"),6,
OR(F57="Soft Skill",F57="Soft Skill (Examination)",F57="AWS Training",F57="AWS Session"),7,
OR(ISNUMBER(SEARCH("MAD",F57)),ISNUMBER(SEARCH("STQA",F57)),F57="CI/CD Session"),8,
OR(ISNUMBER(SEARCH("Cloud",F57)),F57="Industry Readiness Program",ISNUMBER(SEARCH("Talenlio",F57))),9,
OR(ISNUMBER(SEARCH("Innovation",F57)),F57="Mini Project"),10,
OR(ISNUMBER(SEARCH("Data Science",F57)),ISNUMBER(SEARCH("DS",F57))),11,
ISNUMBER(SEARCH("Generative AI",F57)),12
=_xlfn.IFS(
OR(F57="Selenium (Hands-on)",F57="Guest Lecture: HR Interview"),6,
OR(F57="Soft Skill",F57="Soft Skill (Examination)",F57="AWS Training",F57="AWS Session"),7,
OR(ISNUMBER(SEARCH("MAD",F57)),ISNUMBER(SEARCH("STQA",F57)),F57="CI/CD Session"),8,
OR(ISNUMBER(SEARCH("Cloud",F57)),F57="Industry Readiness Program",ISNUMBER(SEARCH("Talenlio",F57))),9,
OR(ISNUMBER(SEARCH("Innovation",F57)),F57="Mini Project"),10,
OR(ISNUMBER(SEARCH("Data Science",F57)),ISNUMBER(SEARCH("DS",F57))),11,
ISNUMBER(SEARCH("Generative AI",F57)),12
=_xlfn.IFS(
OR(F57="Selenium (Hands-on)",F57="Guest Lecture: HR Interview"),6,
OR(F57="Soft Skill",F57="Soft Skill (Examination)",F57="AWS Training",F57="AWS Session"),7,
OR(ISNUMBER(SEARCH("MAD",F57)),ISNUMBER(SEARCH("STQA",F57)),F57="CI/CD Session"),8,
OR(ISNUMBER(SEARCH("Cloud",F57)),F57="Industry Readiness Program",ISNUMBER(SEARCH("Talenlio",F57))),9,
OR(ISNUMBER(SEARCH("Innovation",F57)),F57="Mini Project"),10,
OR(ISNUMBER(SEARCH("Data Science",F57)),ISNUMBER(SEARCH("DS",F57))),11,
ISNUMBER(SEARCH("Generative AI",F57)),12
=_xlfn.IFS(
OR(F57="Selenium (Hands-on)",F57="Guest Lecture: HR Interview"),6,
OR(F57="Soft Skill",F57="Soft Skill (Examination)",F57="AWS Training",F57="AWS Session"),7,
OR(ISNUMBER(SEARCH("MAD",F57)),ISNUMBER(SEARCH("STQA",F57)),F57="CI/CD Session"),8,
OR(ISNUMBER(SEARCH("Cloud",F57)),F57="Industry Readiness Program",ISNUMBER(SEARCH("Talenlio",F57))),9,
OR(ISNUMBER(SEARCH("Innovation",F57)),F57="Mini Project"),10,
OR(ISNUMBER(SEARCH("Data Science",F57)),ISNUMBER(SEARCH("DS",F57))),11,
ISNUMBER(SEARCH("Generative AI",F57)),12
))))</f>
        <v>8</v>
      </c>
      <c r="X57" s="3">
        <v>3</v>
      </c>
      <c r="Y57" s="3">
        <v>15</v>
      </c>
      <c r="Z57" s="3" t="s">
        <v>38</v>
      </c>
    </row>
    <row r="58" spans="1:26" x14ac:dyDescent="0.3">
      <c r="A58" s="2">
        <v>46202</v>
      </c>
      <c r="B58" s="3" t="s">
        <v>26</v>
      </c>
      <c r="C58" s="3">
        <v>6</v>
      </c>
      <c r="D58" s="4">
        <v>0.60416666666666696</v>
      </c>
      <c r="E58" s="4">
        <v>0.64583333333333304</v>
      </c>
      <c r="F58" s="3" t="s">
        <v>55</v>
      </c>
      <c r="G58" s="3" t="s">
        <v>56</v>
      </c>
      <c r="H58" s="3" t="s">
        <v>29</v>
      </c>
      <c r="I58" s="3" t="s">
        <v>30</v>
      </c>
      <c r="J58" s="3" t="s">
        <v>31</v>
      </c>
      <c r="K58" s="3" t="s">
        <v>52</v>
      </c>
      <c r="L58" s="5">
        <v>103</v>
      </c>
      <c r="M58" s="5">
        <f t="shared" ca="1" si="0"/>
        <v>63</v>
      </c>
      <c r="N58" s="6">
        <f t="shared" ca="1" si="3"/>
        <v>61.165048543689316</v>
      </c>
      <c r="O58" s="3" cm="1">
        <f t="array" aca="1" ref="O58" ca="1">IFERROR(LOOKUP(2, 1/((F$1:F57=F58)*(J$1:J57=J58)*(ROW(F$1:F57)&lt;ROW(F58))), N$1:N57), "")</f>
        <v>55.339805825242713</v>
      </c>
      <c r="P58" s="3">
        <f t="shared" si="4"/>
        <v>0</v>
      </c>
      <c r="Q58" s="3" t="s">
        <v>43</v>
      </c>
      <c r="R58" s="3" t="s">
        <v>40</v>
      </c>
      <c r="S58" s="3" t="str">
        <f t="shared" si="1"/>
        <v>No</v>
      </c>
      <c r="T58" s="3" t="s">
        <v>34</v>
      </c>
      <c r="U58" s="3" t="str">
        <f t="shared" si="2"/>
        <v>Cloudy</v>
      </c>
      <c r="V58" s="3" t="s">
        <v>40</v>
      </c>
      <c r="W58" s="3" cm="1">
        <f t="array" ref="W58">_xlfn.IFS(
OR(F58="Selenium (Hands-on)",F58="Guest Lecture: HR Interview"),6,
OR(F58="Soft Skill",F58="Soft Skill (Examination)",F58="AWS Training",F58="AWS Session"),7,
OR(ISNUMBER(SEARCH("MAD",F58)),ISNUMBER(SEARCH("STQA",F58)),F58="CI/CD Session"),8,
OR(ISNUMBER(SEARCH("Cloud",F58)),F58="Industry Readiness Program",ISNUMBER(SEARCH("Talenlio",F58))),9,
OR(ISNUMBER(SEARCH("Innovation",F58)),F58="Mini Project"),10,
OR(ISNUMBER(SEARCH("Data Science",F58)),ISNUMBER(SEARCH("DS",F58))),11,
ISNUMBER(SEARCH("Generative AI",F58)),12
=_xlfn.IFS(
OR(F58="Selenium (Hands-on)",F58="Guest Lecture: HR Interview"),6,
OR(F58="Soft Skill",F58="Soft Skill (Examination)",F58="AWS Training",F58="AWS Session"),7,
OR(ISNUMBER(SEARCH("MAD",F58)),ISNUMBER(SEARCH("STQA",F58)),F58="CI/CD Session"),8,
OR(ISNUMBER(SEARCH("Cloud",F58)),F58="Industry Readiness Program",ISNUMBER(SEARCH("Talenlio",F58))),9,
OR(ISNUMBER(SEARCH("Innovation",F58)),F58="Mini Project"),10,
OR(ISNUMBER(SEARCH("Data Science",F58)),ISNUMBER(SEARCH("DS",F58))),11,
ISNUMBER(SEARCH("Generative AI",F58)),12
=_xlfn.IFS(
OR(F58="Selenium (Hands-on)",F58="Guest Lecture: HR Interview"),6,
OR(F58="Soft Skill",F58="Soft Skill (Examination)",F58="AWS Training",F58="AWS Session"),7,
OR(ISNUMBER(SEARCH("MAD",F58)),ISNUMBER(SEARCH("STQA",F58)),F58="CI/CD Session"),8,
OR(ISNUMBER(SEARCH("Cloud",F58)),F58="Industry Readiness Program",ISNUMBER(SEARCH("Talenlio",F58))),9,
OR(ISNUMBER(SEARCH("Innovation",F58)),F58="Mini Project"),10,
OR(ISNUMBER(SEARCH("Data Science",F58)),ISNUMBER(SEARCH("DS",F58))),11,
ISNUMBER(SEARCH("Generative AI",F58)),12
=_xlfn.IFS(
OR(F58="Selenium (Hands-on)",F58="Guest Lecture: HR Interview"),6,
OR(F58="Soft Skill",F58="Soft Skill (Examination)",F58="AWS Training",F58="AWS Session"),7,
OR(ISNUMBER(SEARCH("MAD",F58)),ISNUMBER(SEARCH("STQA",F58)),F58="CI/CD Session"),8,
OR(ISNUMBER(SEARCH("Cloud",F58)),F58="Industry Readiness Program",ISNUMBER(SEARCH("Talenlio",F58))),9,
OR(ISNUMBER(SEARCH("Innovation",F58)),F58="Mini Project"),10,
OR(ISNUMBER(SEARCH("Data Science",F58)),ISNUMBER(SEARCH("DS",F58))),11,
ISNUMBER(SEARCH("Generative AI",F58)),12
))))</f>
        <v>8</v>
      </c>
      <c r="X58" s="3">
        <v>3</v>
      </c>
      <c r="Y58" s="3">
        <v>15</v>
      </c>
      <c r="Z58" s="3" t="s">
        <v>38</v>
      </c>
    </row>
    <row r="59" spans="1:26" x14ac:dyDescent="0.3">
      <c r="A59" s="2">
        <v>46203</v>
      </c>
      <c r="B59" s="3" t="s">
        <v>39</v>
      </c>
      <c r="C59" s="3">
        <v>1</v>
      </c>
      <c r="D59" s="4">
        <v>0.35416666666666702</v>
      </c>
      <c r="E59" s="4">
        <v>0.38541666666666702</v>
      </c>
      <c r="F59" s="3" t="s">
        <v>50</v>
      </c>
      <c r="G59" s="3" t="s">
        <v>51</v>
      </c>
      <c r="H59" s="3" t="s">
        <v>29</v>
      </c>
      <c r="I59" s="3" t="s">
        <v>30</v>
      </c>
      <c r="J59" s="3" t="s">
        <v>31</v>
      </c>
      <c r="K59" s="3" t="s">
        <v>52</v>
      </c>
      <c r="L59" s="5">
        <v>103</v>
      </c>
      <c r="M59" s="5">
        <f t="shared" ca="1" si="0"/>
        <v>61</v>
      </c>
      <c r="N59" s="6">
        <f t="shared" ca="1" si="3"/>
        <v>59.22330097087378</v>
      </c>
      <c r="O59" s="3" cm="1">
        <f t="array" aca="1" ref="O59" ca="1">IFERROR(LOOKUP(2, 1/((F$1:F58=F59)*(J$1:J58=J59)*(ROW(F$1:F58)&lt;ROW(F59))), N$1:N58), "")</f>
        <v>94.174757281553397</v>
      </c>
      <c r="P59" s="3">
        <f t="shared" si="4"/>
        <v>0</v>
      </c>
      <c r="Q59" s="3" t="s">
        <v>43</v>
      </c>
      <c r="R59" s="3" t="s">
        <v>40</v>
      </c>
      <c r="S59" s="3" t="str">
        <f t="shared" si="1"/>
        <v>No</v>
      </c>
      <c r="T59" s="3" t="s">
        <v>40</v>
      </c>
      <c r="U59" s="3" t="str">
        <f t="shared" si="2"/>
        <v>Cloudy</v>
      </c>
      <c r="V59" s="3" t="s">
        <v>40</v>
      </c>
      <c r="W59" s="3" cm="1">
        <f t="array" ref="W59">_xlfn.IFS(
OR(F59="Selenium (Hands-on)",F59="Guest Lecture: HR Interview"),6,
OR(F59="Soft Skill",F59="Soft Skill (Examination)",F59="AWS Training",F59="AWS Session"),7,
OR(ISNUMBER(SEARCH("MAD",F59)),ISNUMBER(SEARCH("STQA",F59)),F59="CI/CD Session"),8,
OR(ISNUMBER(SEARCH("Cloud",F59)),F59="Industry Readiness Program",ISNUMBER(SEARCH("Talenlio",F59))),9,
OR(ISNUMBER(SEARCH("Innovation",F59)),F59="Mini Project"),10,
OR(ISNUMBER(SEARCH("Data Science",F59)),ISNUMBER(SEARCH("DS",F59))),11,
ISNUMBER(SEARCH("Generative AI",F59)),12
=_xlfn.IFS(
OR(F59="Selenium (Hands-on)",F59="Guest Lecture: HR Interview"),6,
OR(F59="Soft Skill",F59="Soft Skill (Examination)",F59="AWS Training",F59="AWS Session"),7,
OR(ISNUMBER(SEARCH("MAD",F59)),ISNUMBER(SEARCH("STQA",F59)),F59="CI/CD Session"),8,
OR(ISNUMBER(SEARCH("Cloud",F59)),F59="Industry Readiness Program",ISNUMBER(SEARCH("Talenlio",F59))),9,
OR(ISNUMBER(SEARCH("Innovation",F59)),F59="Mini Project"),10,
OR(ISNUMBER(SEARCH("Data Science",F59)),ISNUMBER(SEARCH("DS",F59))),11,
ISNUMBER(SEARCH("Generative AI",F59)),12
=_xlfn.IFS(
OR(F59="Selenium (Hands-on)",F59="Guest Lecture: HR Interview"),6,
OR(F59="Soft Skill",F59="Soft Skill (Examination)",F59="AWS Training",F59="AWS Session"),7,
OR(ISNUMBER(SEARCH("MAD",F59)),ISNUMBER(SEARCH("STQA",F59)),F59="CI/CD Session"),8,
OR(ISNUMBER(SEARCH("Cloud",F59)),F59="Industry Readiness Program",ISNUMBER(SEARCH("Talenlio",F59))),9,
OR(ISNUMBER(SEARCH("Innovation",F59)),F59="Mini Project"),10,
OR(ISNUMBER(SEARCH("Data Science",F59)),ISNUMBER(SEARCH("DS",F59))),11,
ISNUMBER(SEARCH("Generative AI",F59)),12
=_xlfn.IFS(
OR(F59="Selenium (Hands-on)",F59="Guest Lecture: HR Interview"),6,
OR(F59="Soft Skill",F59="Soft Skill (Examination)",F59="AWS Training",F59="AWS Session"),7,
OR(ISNUMBER(SEARCH("MAD",F59)),ISNUMBER(SEARCH("STQA",F59)),F59="CI/CD Session"),8,
OR(ISNUMBER(SEARCH("Cloud",F59)),F59="Industry Readiness Program",ISNUMBER(SEARCH("Talenlio",F59))),9,
OR(ISNUMBER(SEARCH("Innovation",F59)),F59="Mini Project"),10,
OR(ISNUMBER(SEARCH("Data Science",F59)),ISNUMBER(SEARCH("DS",F59))),11,
ISNUMBER(SEARCH("Generative AI",F59)),12
))))</f>
        <v>8</v>
      </c>
      <c r="X59" s="3">
        <v>3</v>
      </c>
      <c r="Y59" s="3">
        <v>16</v>
      </c>
      <c r="Z59" s="3" t="s">
        <v>35</v>
      </c>
    </row>
    <row r="60" spans="1:26" x14ac:dyDescent="0.3">
      <c r="A60" s="2">
        <v>46203</v>
      </c>
      <c r="B60" s="3" t="s">
        <v>39</v>
      </c>
      <c r="C60" s="3">
        <v>2</v>
      </c>
      <c r="D60" s="4">
        <v>0.38541666666666702</v>
      </c>
      <c r="E60" s="4">
        <v>0.42708333333333298</v>
      </c>
      <c r="F60" s="3" t="s">
        <v>50</v>
      </c>
      <c r="G60" s="3" t="s">
        <v>51</v>
      </c>
      <c r="H60" s="3" t="s">
        <v>29</v>
      </c>
      <c r="I60" s="3" t="s">
        <v>30</v>
      </c>
      <c r="J60" s="3" t="s">
        <v>31</v>
      </c>
      <c r="K60" s="3" t="s">
        <v>52</v>
      </c>
      <c r="L60" s="5">
        <v>103</v>
      </c>
      <c r="M60" s="5">
        <f t="shared" ca="1" si="0"/>
        <v>64</v>
      </c>
      <c r="N60" s="6">
        <f t="shared" ca="1" si="3"/>
        <v>62.135922330097081</v>
      </c>
      <c r="O60" s="3" cm="1">
        <f t="array" aca="1" ref="O60" ca="1">IFERROR(LOOKUP(2, 1/((F$1:F59=F60)*(J$1:J59=J60)*(ROW(F$1:F59)&lt;ROW(F60))), N$1:N59), "")</f>
        <v>59.22330097087378</v>
      </c>
      <c r="P60" s="3">
        <f t="shared" si="4"/>
        <v>0</v>
      </c>
      <c r="Q60" s="3" t="s">
        <v>43</v>
      </c>
      <c r="R60" s="3" t="s">
        <v>40</v>
      </c>
      <c r="S60" s="3" t="str">
        <f t="shared" si="1"/>
        <v>No</v>
      </c>
      <c r="T60" s="3" t="s">
        <v>40</v>
      </c>
      <c r="U60" s="3" t="str">
        <f t="shared" si="2"/>
        <v>Cloudy</v>
      </c>
      <c r="V60" s="3" t="s">
        <v>40</v>
      </c>
      <c r="W60" s="3" cm="1">
        <f t="array" ref="W60">_xlfn.IFS(
OR(F60="Selenium (Hands-on)",F60="Guest Lecture: HR Interview"),6,
OR(F60="Soft Skill",F60="Soft Skill (Examination)",F60="AWS Training",F60="AWS Session"),7,
OR(ISNUMBER(SEARCH("MAD",F60)),ISNUMBER(SEARCH("STQA",F60)),F60="CI/CD Session"),8,
OR(ISNUMBER(SEARCH("Cloud",F60)),F60="Industry Readiness Program",ISNUMBER(SEARCH("Talenlio",F60))),9,
OR(ISNUMBER(SEARCH("Innovation",F60)),F60="Mini Project"),10,
OR(ISNUMBER(SEARCH("Data Science",F60)),ISNUMBER(SEARCH("DS",F60))),11,
ISNUMBER(SEARCH("Generative AI",F60)),12
=_xlfn.IFS(
OR(F60="Selenium (Hands-on)",F60="Guest Lecture: HR Interview"),6,
OR(F60="Soft Skill",F60="Soft Skill (Examination)",F60="AWS Training",F60="AWS Session"),7,
OR(ISNUMBER(SEARCH("MAD",F60)),ISNUMBER(SEARCH("STQA",F60)),F60="CI/CD Session"),8,
OR(ISNUMBER(SEARCH("Cloud",F60)),F60="Industry Readiness Program",ISNUMBER(SEARCH("Talenlio",F60))),9,
OR(ISNUMBER(SEARCH("Innovation",F60)),F60="Mini Project"),10,
OR(ISNUMBER(SEARCH("Data Science",F60)),ISNUMBER(SEARCH("DS",F60))),11,
ISNUMBER(SEARCH("Generative AI",F60)),12
=_xlfn.IFS(
OR(F60="Selenium (Hands-on)",F60="Guest Lecture: HR Interview"),6,
OR(F60="Soft Skill",F60="Soft Skill (Examination)",F60="AWS Training",F60="AWS Session"),7,
OR(ISNUMBER(SEARCH("MAD",F60)),ISNUMBER(SEARCH("STQA",F60)),F60="CI/CD Session"),8,
OR(ISNUMBER(SEARCH("Cloud",F60)),F60="Industry Readiness Program",ISNUMBER(SEARCH("Talenlio",F60))),9,
OR(ISNUMBER(SEARCH("Innovation",F60)),F60="Mini Project"),10,
OR(ISNUMBER(SEARCH("Data Science",F60)),ISNUMBER(SEARCH("DS",F60))),11,
ISNUMBER(SEARCH("Generative AI",F60)),12
=_xlfn.IFS(
OR(F60="Selenium (Hands-on)",F60="Guest Lecture: HR Interview"),6,
OR(F60="Soft Skill",F60="Soft Skill (Examination)",F60="AWS Training",F60="AWS Session"),7,
OR(ISNUMBER(SEARCH("MAD",F60)),ISNUMBER(SEARCH("STQA",F60)),F60="CI/CD Session"),8,
OR(ISNUMBER(SEARCH("Cloud",F60)),F60="Industry Readiness Program",ISNUMBER(SEARCH("Talenlio",F60))),9,
OR(ISNUMBER(SEARCH("Innovation",F60)),F60="Mini Project"),10,
OR(ISNUMBER(SEARCH("Data Science",F60)),ISNUMBER(SEARCH("DS",F60))),11,
ISNUMBER(SEARCH("Generative AI",F60)),12
))))</f>
        <v>8</v>
      </c>
      <c r="X60" s="3">
        <v>3</v>
      </c>
      <c r="Y60" s="3">
        <v>16</v>
      </c>
      <c r="Z60" s="3" t="s">
        <v>35</v>
      </c>
    </row>
    <row r="61" spans="1:26" x14ac:dyDescent="0.3">
      <c r="A61" s="2">
        <v>46203</v>
      </c>
      <c r="B61" s="3" t="s">
        <v>39</v>
      </c>
      <c r="C61" s="3">
        <v>3</v>
      </c>
      <c r="D61" s="4">
        <v>0.42708333333333298</v>
      </c>
      <c r="E61" s="4">
        <v>0.46875</v>
      </c>
      <c r="F61" s="3" t="s">
        <v>57</v>
      </c>
      <c r="G61" s="3" t="s">
        <v>58</v>
      </c>
      <c r="H61" s="3" t="s">
        <v>29</v>
      </c>
      <c r="I61" s="3" t="s">
        <v>30</v>
      </c>
      <c r="J61" s="3" t="s">
        <v>31</v>
      </c>
      <c r="K61" s="3" t="s">
        <v>52</v>
      </c>
      <c r="L61" s="5">
        <v>103</v>
      </c>
      <c r="M61" s="5">
        <f t="shared" ca="1" si="0"/>
        <v>102</v>
      </c>
      <c r="N61" s="6">
        <f t="shared" ca="1" si="3"/>
        <v>99.029126213592235</v>
      </c>
      <c r="O61" s="3" cm="1">
        <f t="array" aca="1" ref="O61" ca="1">IFERROR(LOOKUP(2, 1/((F$1:F60=F61)*(J$1:J60=J61)*(ROW(F$1:F60)&lt;ROW(F61))), N$1:N60), "")</f>
        <v>50.485436893203882</v>
      </c>
      <c r="P61" s="3">
        <f t="shared" si="4"/>
        <v>0</v>
      </c>
      <c r="Q61" s="3" t="s">
        <v>33</v>
      </c>
      <c r="R61" s="3" t="s">
        <v>40</v>
      </c>
      <c r="S61" s="3" t="str">
        <f t="shared" si="1"/>
        <v>No</v>
      </c>
      <c r="T61" s="3" t="s">
        <v>40</v>
      </c>
      <c r="U61" s="3" t="str">
        <f t="shared" si="2"/>
        <v>Cloudy</v>
      </c>
      <c r="V61" s="3" t="s">
        <v>40</v>
      </c>
      <c r="W61" s="3" cm="1">
        <f t="array" ref="W61">_xlfn.IFS(
OR(F61="Selenium (Hands-on)",F61="Guest Lecture: HR Interview"),6,
OR(F61="Soft Skill",F61="Soft Skill (Examination)",F61="AWS Training",F61="AWS Session"),7,
OR(ISNUMBER(SEARCH("MAD",F61)),ISNUMBER(SEARCH("STQA",F61)),F61="CI/CD Session"),8,
OR(ISNUMBER(SEARCH("Cloud",F61)),F61="Industry Readiness Program",ISNUMBER(SEARCH("Talenlio",F61))),9,
OR(ISNUMBER(SEARCH("Innovation",F61)),F61="Mini Project"),10,
OR(ISNUMBER(SEARCH("Data Science",F61)),ISNUMBER(SEARCH("DS",F61))),11,
ISNUMBER(SEARCH("Generative AI",F61)),12
=_xlfn.IFS(
OR(F61="Selenium (Hands-on)",F61="Guest Lecture: HR Interview"),6,
OR(F61="Soft Skill",F61="Soft Skill (Examination)",F61="AWS Training",F61="AWS Session"),7,
OR(ISNUMBER(SEARCH("MAD",F61)),ISNUMBER(SEARCH("STQA",F61)),F61="CI/CD Session"),8,
OR(ISNUMBER(SEARCH("Cloud",F61)),F61="Industry Readiness Program",ISNUMBER(SEARCH("Talenlio",F61))),9,
OR(ISNUMBER(SEARCH("Innovation",F61)),F61="Mini Project"),10,
OR(ISNUMBER(SEARCH("Data Science",F61)),ISNUMBER(SEARCH("DS",F61))),11,
ISNUMBER(SEARCH("Generative AI",F61)),12
=_xlfn.IFS(
OR(F61="Selenium (Hands-on)",F61="Guest Lecture: HR Interview"),6,
OR(F61="Soft Skill",F61="Soft Skill (Examination)",F61="AWS Training",F61="AWS Session"),7,
OR(ISNUMBER(SEARCH("MAD",F61)),ISNUMBER(SEARCH("STQA",F61)),F61="CI/CD Session"),8,
OR(ISNUMBER(SEARCH("Cloud",F61)),F61="Industry Readiness Program",ISNUMBER(SEARCH("Talenlio",F61))),9,
OR(ISNUMBER(SEARCH("Innovation",F61)),F61="Mini Project"),10,
OR(ISNUMBER(SEARCH("Data Science",F61)),ISNUMBER(SEARCH("DS",F61))),11,
ISNUMBER(SEARCH("Generative AI",F61)),12
=_xlfn.IFS(
OR(F61="Selenium (Hands-on)",F61="Guest Lecture: HR Interview"),6,
OR(F61="Soft Skill",F61="Soft Skill (Examination)",F61="AWS Training",F61="AWS Session"),7,
OR(ISNUMBER(SEARCH("MAD",F61)),ISNUMBER(SEARCH("STQA",F61)),F61="CI/CD Session"),8,
OR(ISNUMBER(SEARCH("Cloud",F61)),F61="Industry Readiness Program",ISNUMBER(SEARCH("Talenlio",F61))),9,
OR(ISNUMBER(SEARCH("Innovation",F61)),F61="Mini Project"),10,
OR(ISNUMBER(SEARCH("Data Science",F61)),ISNUMBER(SEARCH("DS",F61))),11,
ISNUMBER(SEARCH("Generative AI",F61)),12
))))</f>
        <v>9</v>
      </c>
      <c r="X61" s="3">
        <v>3</v>
      </c>
      <c r="Y61" s="3">
        <v>16</v>
      </c>
      <c r="Z61" s="3" t="s">
        <v>35</v>
      </c>
    </row>
    <row r="62" spans="1:26" x14ac:dyDescent="0.3">
      <c r="A62" s="2">
        <v>46203</v>
      </c>
      <c r="B62" s="3" t="s">
        <v>39</v>
      </c>
      <c r="C62" s="3">
        <v>4</v>
      </c>
      <c r="D62" s="4">
        <v>0.46875</v>
      </c>
      <c r="E62" s="4">
        <v>0.51041666666666696</v>
      </c>
      <c r="F62" s="3" t="s">
        <v>59</v>
      </c>
      <c r="G62" s="3" t="s">
        <v>60</v>
      </c>
      <c r="H62" s="3" t="s">
        <v>29</v>
      </c>
      <c r="I62" s="3" t="s">
        <v>30</v>
      </c>
      <c r="J62" s="3" t="s">
        <v>31</v>
      </c>
      <c r="K62" s="3" t="s">
        <v>52</v>
      </c>
      <c r="L62" s="5">
        <v>103</v>
      </c>
      <c r="M62" s="5">
        <f t="shared" ca="1" si="0"/>
        <v>58</v>
      </c>
      <c r="N62" s="6">
        <f t="shared" ca="1" si="3"/>
        <v>56.310679611650485</v>
      </c>
      <c r="O62" s="3" cm="1">
        <f t="array" aca="1" ref="O62" ca="1">IFERROR(LOOKUP(2, 1/((F$1:F61=F62)*(J$1:J61=J62)*(ROW(F$1:F61)&lt;ROW(F62))), N$1:N61), "")</f>
        <v>58.252427184466015</v>
      </c>
      <c r="P62" s="3">
        <f t="shared" si="4"/>
        <v>0</v>
      </c>
      <c r="Q62" s="3" t="s">
        <v>33</v>
      </c>
      <c r="R62" s="3" t="s">
        <v>40</v>
      </c>
      <c r="S62" s="3" t="str">
        <f t="shared" si="1"/>
        <v>No</v>
      </c>
      <c r="T62" s="3" t="s">
        <v>40</v>
      </c>
      <c r="U62" s="3" t="str">
        <f t="shared" si="2"/>
        <v>Cloudy</v>
      </c>
      <c r="V62" s="3" t="s">
        <v>40</v>
      </c>
      <c r="W62" s="3" cm="1">
        <f t="array" ref="W62">_xlfn.IFS(
OR(F62="Selenium (Hands-on)",F62="Guest Lecture: HR Interview"),6,
OR(F62="Soft Skill",F62="Soft Skill (Examination)",F62="AWS Training",F62="AWS Session"),7,
OR(ISNUMBER(SEARCH("MAD",F62)),ISNUMBER(SEARCH("STQA",F62)),F62="CI/CD Session"),8,
OR(ISNUMBER(SEARCH("Cloud",F62)),F62="Industry Readiness Program",ISNUMBER(SEARCH("Talenlio",F62))),9,
OR(ISNUMBER(SEARCH("Innovation",F62)),F62="Mini Project"),10,
OR(ISNUMBER(SEARCH("Data Science",F62)),ISNUMBER(SEARCH("DS",F62))),11,
ISNUMBER(SEARCH("Generative AI",F62)),12
=_xlfn.IFS(
OR(F62="Selenium (Hands-on)",F62="Guest Lecture: HR Interview"),6,
OR(F62="Soft Skill",F62="Soft Skill (Examination)",F62="AWS Training",F62="AWS Session"),7,
OR(ISNUMBER(SEARCH("MAD",F62)),ISNUMBER(SEARCH("STQA",F62)),F62="CI/CD Session"),8,
OR(ISNUMBER(SEARCH("Cloud",F62)),F62="Industry Readiness Program",ISNUMBER(SEARCH("Talenlio",F62))),9,
OR(ISNUMBER(SEARCH("Innovation",F62)),F62="Mini Project"),10,
OR(ISNUMBER(SEARCH("Data Science",F62)),ISNUMBER(SEARCH("DS",F62))),11,
ISNUMBER(SEARCH("Generative AI",F62)),12
=_xlfn.IFS(
OR(F62="Selenium (Hands-on)",F62="Guest Lecture: HR Interview"),6,
OR(F62="Soft Skill",F62="Soft Skill (Examination)",F62="AWS Training",F62="AWS Session"),7,
OR(ISNUMBER(SEARCH("MAD",F62)),ISNUMBER(SEARCH("STQA",F62)),F62="CI/CD Session"),8,
OR(ISNUMBER(SEARCH("Cloud",F62)),F62="Industry Readiness Program",ISNUMBER(SEARCH("Talenlio",F62))),9,
OR(ISNUMBER(SEARCH("Innovation",F62)),F62="Mini Project"),10,
OR(ISNUMBER(SEARCH("Data Science",F62)),ISNUMBER(SEARCH("DS",F62))),11,
ISNUMBER(SEARCH("Generative AI",F62)),12
=_xlfn.IFS(
OR(F62="Selenium (Hands-on)",F62="Guest Lecture: HR Interview"),6,
OR(F62="Soft Skill",F62="Soft Skill (Examination)",F62="AWS Training",F62="AWS Session"),7,
OR(ISNUMBER(SEARCH("MAD",F62)),ISNUMBER(SEARCH("STQA",F62)),F62="CI/CD Session"),8,
OR(ISNUMBER(SEARCH("Cloud",F62)),F62="Industry Readiness Program",ISNUMBER(SEARCH("Talenlio",F62))),9,
OR(ISNUMBER(SEARCH("Innovation",F62)),F62="Mini Project"),10,
OR(ISNUMBER(SEARCH("Data Science",F62)),ISNUMBER(SEARCH("DS",F62))),11,
ISNUMBER(SEARCH("Generative AI",F62)),12
))))</f>
        <v>11</v>
      </c>
      <c r="X62" s="3">
        <v>3</v>
      </c>
      <c r="Y62" s="3">
        <v>16</v>
      </c>
      <c r="Z62" s="3" t="s">
        <v>35</v>
      </c>
    </row>
    <row r="63" spans="1:26" x14ac:dyDescent="0.3">
      <c r="A63" s="2">
        <v>46203</v>
      </c>
      <c r="B63" s="3" t="s">
        <v>39</v>
      </c>
      <c r="C63" s="3">
        <v>5</v>
      </c>
      <c r="D63" s="4">
        <v>0.5625</v>
      </c>
      <c r="E63" s="4">
        <v>0.60416666666666696</v>
      </c>
      <c r="F63" s="3" t="s">
        <v>61</v>
      </c>
      <c r="G63" s="3" t="s">
        <v>60</v>
      </c>
      <c r="H63" s="3" t="s">
        <v>29</v>
      </c>
      <c r="I63" s="3" t="s">
        <v>30</v>
      </c>
      <c r="J63" s="3" t="s">
        <v>31</v>
      </c>
      <c r="K63" s="3" t="s">
        <v>52</v>
      </c>
      <c r="L63" s="5">
        <v>103</v>
      </c>
      <c r="M63" s="5">
        <f t="shared" ca="1" si="0"/>
        <v>42</v>
      </c>
      <c r="N63" s="6">
        <f t="shared" ca="1" si="3"/>
        <v>40.776699029126213</v>
      </c>
      <c r="O63" s="3" cm="1">
        <f t="array" aca="1" ref="O63" ca="1">IFERROR(LOOKUP(2, 1/((F$1:F62=F63)*(J$1:J62=J63)*(ROW(F$1:F62)&lt;ROW(F63))), N$1:N62), "")</f>
        <v>57.28155339805825</v>
      </c>
      <c r="P63" s="3">
        <f t="shared" si="4"/>
        <v>1.25</v>
      </c>
      <c r="Q63" s="3" t="s">
        <v>43</v>
      </c>
      <c r="R63" s="3" t="s">
        <v>40</v>
      </c>
      <c r="S63" s="3" t="str">
        <f t="shared" si="1"/>
        <v>No</v>
      </c>
      <c r="T63" s="3" t="s">
        <v>40</v>
      </c>
      <c r="U63" s="3" t="str">
        <f t="shared" si="2"/>
        <v>Cloudy</v>
      </c>
      <c r="V63" s="3" t="s">
        <v>40</v>
      </c>
      <c r="W63" s="3" cm="1">
        <f t="array" ref="W63">_xlfn.IFS(
OR(F63="Selenium (Hands-on)",F63="Guest Lecture: HR Interview"),6,
OR(F63="Soft Skill",F63="Soft Skill (Examination)",F63="AWS Training",F63="AWS Session"),7,
OR(ISNUMBER(SEARCH("MAD",F63)),ISNUMBER(SEARCH("STQA",F63)),F63="CI/CD Session"),8,
OR(ISNUMBER(SEARCH("Cloud",F63)),F63="Industry Readiness Program",ISNUMBER(SEARCH("Talenlio",F63))),9,
OR(ISNUMBER(SEARCH("Innovation",F63)),F63="Mini Project"),10,
OR(ISNUMBER(SEARCH("Data Science",F63)),ISNUMBER(SEARCH("DS",F63))),11,
ISNUMBER(SEARCH("Generative AI",F63)),12
=_xlfn.IFS(
OR(F63="Selenium (Hands-on)",F63="Guest Lecture: HR Interview"),6,
OR(F63="Soft Skill",F63="Soft Skill (Examination)",F63="AWS Training",F63="AWS Session"),7,
OR(ISNUMBER(SEARCH("MAD",F63)),ISNUMBER(SEARCH("STQA",F63)),F63="CI/CD Session"),8,
OR(ISNUMBER(SEARCH("Cloud",F63)),F63="Industry Readiness Program",ISNUMBER(SEARCH("Talenlio",F63))),9,
OR(ISNUMBER(SEARCH("Innovation",F63)),F63="Mini Project"),10,
OR(ISNUMBER(SEARCH("Data Science",F63)),ISNUMBER(SEARCH("DS",F63))),11,
ISNUMBER(SEARCH("Generative AI",F63)),12
=_xlfn.IFS(
OR(F63="Selenium (Hands-on)",F63="Guest Lecture: HR Interview"),6,
OR(F63="Soft Skill",F63="Soft Skill (Examination)",F63="AWS Training",F63="AWS Session"),7,
OR(ISNUMBER(SEARCH("MAD",F63)),ISNUMBER(SEARCH("STQA",F63)),F63="CI/CD Session"),8,
OR(ISNUMBER(SEARCH("Cloud",F63)),F63="Industry Readiness Program",ISNUMBER(SEARCH("Talenlio",F63))),9,
OR(ISNUMBER(SEARCH("Innovation",F63)),F63="Mini Project"),10,
OR(ISNUMBER(SEARCH("Data Science",F63)),ISNUMBER(SEARCH("DS",F63))),11,
ISNUMBER(SEARCH("Generative AI",F63)),12
=_xlfn.IFS(
OR(F63="Selenium (Hands-on)",F63="Guest Lecture: HR Interview"),6,
OR(F63="Soft Skill",F63="Soft Skill (Examination)",F63="AWS Training",F63="AWS Session"),7,
OR(ISNUMBER(SEARCH("MAD",F63)),ISNUMBER(SEARCH("STQA",F63)),F63="CI/CD Session"),8,
OR(ISNUMBER(SEARCH("Cloud",F63)),F63="Industry Readiness Program",ISNUMBER(SEARCH("Talenlio",F63))),9,
OR(ISNUMBER(SEARCH("Innovation",F63)),F63="Mini Project"),10,
OR(ISNUMBER(SEARCH("Data Science",F63)),ISNUMBER(SEARCH("DS",F63))),11,
ISNUMBER(SEARCH("Generative AI",F63)),12
))))</f>
        <v>11</v>
      </c>
      <c r="X63" s="3">
        <v>3</v>
      </c>
      <c r="Y63" s="3">
        <v>16</v>
      </c>
      <c r="Z63" s="3" t="s">
        <v>38</v>
      </c>
    </row>
    <row r="64" spans="1:26" x14ac:dyDescent="0.3">
      <c r="A64" s="2">
        <v>46203</v>
      </c>
      <c r="B64" s="3" t="s">
        <v>39</v>
      </c>
      <c r="C64" s="3">
        <v>6</v>
      </c>
      <c r="D64" s="4">
        <v>0.60416666666666696</v>
      </c>
      <c r="E64" s="4">
        <v>0.64583333333333304</v>
      </c>
      <c r="F64" s="3" t="s">
        <v>61</v>
      </c>
      <c r="G64" s="3" t="s">
        <v>60</v>
      </c>
      <c r="H64" s="3" t="s">
        <v>29</v>
      </c>
      <c r="I64" s="3" t="s">
        <v>30</v>
      </c>
      <c r="J64" s="3" t="s">
        <v>31</v>
      </c>
      <c r="K64" s="3" t="s">
        <v>52</v>
      </c>
      <c r="L64" s="5">
        <v>103</v>
      </c>
      <c r="M64" s="5">
        <f t="shared" ca="1" si="0"/>
        <v>70</v>
      </c>
      <c r="N64" s="6">
        <f t="shared" ca="1" si="3"/>
        <v>67.961165048543691</v>
      </c>
      <c r="O64" s="3" cm="1">
        <f t="array" aca="1" ref="O64" ca="1">IFERROR(LOOKUP(2, 1/((F$1:F63=F64)*(J$1:J63=J64)*(ROW(F$1:F63)&lt;ROW(F64))), N$1:N63), "")</f>
        <v>40.776699029126213</v>
      </c>
      <c r="P64" s="3">
        <f t="shared" si="4"/>
        <v>0</v>
      </c>
      <c r="Q64" s="3" t="s">
        <v>43</v>
      </c>
      <c r="R64" s="3" t="s">
        <v>40</v>
      </c>
      <c r="S64" s="3" t="str">
        <f t="shared" si="1"/>
        <v>No</v>
      </c>
      <c r="T64" s="3" t="s">
        <v>40</v>
      </c>
      <c r="U64" s="3" t="str">
        <f t="shared" si="2"/>
        <v>Cloudy</v>
      </c>
      <c r="V64" s="3" t="s">
        <v>40</v>
      </c>
      <c r="W64" s="3" cm="1">
        <f t="array" ref="W64">_xlfn.IFS(
OR(F64="Selenium (Hands-on)",F64="Guest Lecture: HR Interview"),6,
OR(F64="Soft Skill",F64="Soft Skill (Examination)",F64="AWS Training",F64="AWS Session"),7,
OR(ISNUMBER(SEARCH("MAD",F64)),ISNUMBER(SEARCH("STQA",F64)),F64="CI/CD Session"),8,
OR(ISNUMBER(SEARCH("Cloud",F64)),F64="Industry Readiness Program",ISNUMBER(SEARCH("Talenlio",F64))),9,
OR(ISNUMBER(SEARCH("Innovation",F64)),F64="Mini Project"),10,
OR(ISNUMBER(SEARCH("Data Science",F64)),ISNUMBER(SEARCH("DS",F64))),11,
ISNUMBER(SEARCH("Generative AI",F64)),12
=_xlfn.IFS(
OR(F64="Selenium (Hands-on)",F64="Guest Lecture: HR Interview"),6,
OR(F64="Soft Skill",F64="Soft Skill (Examination)",F64="AWS Training",F64="AWS Session"),7,
OR(ISNUMBER(SEARCH("MAD",F64)),ISNUMBER(SEARCH("STQA",F64)),F64="CI/CD Session"),8,
OR(ISNUMBER(SEARCH("Cloud",F64)),F64="Industry Readiness Program",ISNUMBER(SEARCH("Talenlio",F64))),9,
OR(ISNUMBER(SEARCH("Innovation",F64)),F64="Mini Project"),10,
OR(ISNUMBER(SEARCH("Data Science",F64)),ISNUMBER(SEARCH("DS",F64))),11,
ISNUMBER(SEARCH("Generative AI",F64)),12
=_xlfn.IFS(
OR(F64="Selenium (Hands-on)",F64="Guest Lecture: HR Interview"),6,
OR(F64="Soft Skill",F64="Soft Skill (Examination)",F64="AWS Training",F64="AWS Session"),7,
OR(ISNUMBER(SEARCH("MAD",F64)),ISNUMBER(SEARCH("STQA",F64)),F64="CI/CD Session"),8,
OR(ISNUMBER(SEARCH("Cloud",F64)),F64="Industry Readiness Program",ISNUMBER(SEARCH("Talenlio",F64))),9,
OR(ISNUMBER(SEARCH("Innovation",F64)),F64="Mini Project"),10,
OR(ISNUMBER(SEARCH("Data Science",F64)),ISNUMBER(SEARCH("DS",F64))),11,
ISNUMBER(SEARCH("Generative AI",F64)),12
=_xlfn.IFS(
OR(F64="Selenium (Hands-on)",F64="Guest Lecture: HR Interview"),6,
OR(F64="Soft Skill",F64="Soft Skill (Examination)",F64="AWS Training",F64="AWS Session"),7,
OR(ISNUMBER(SEARCH("MAD",F64)),ISNUMBER(SEARCH("STQA",F64)),F64="CI/CD Session"),8,
OR(ISNUMBER(SEARCH("Cloud",F64)),F64="Industry Readiness Program",ISNUMBER(SEARCH("Talenlio",F64))),9,
OR(ISNUMBER(SEARCH("Innovation",F64)),F64="Mini Project"),10,
OR(ISNUMBER(SEARCH("Data Science",F64)),ISNUMBER(SEARCH("DS",F64))),11,
ISNUMBER(SEARCH("Generative AI",F64)),12
))))</f>
        <v>11</v>
      </c>
      <c r="X64" s="3">
        <v>3</v>
      </c>
      <c r="Y64" s="3">
        <v>16</v>
      </c>
      <c r="Z64" s="3" t="s">
        <v>38</v>
      </c>
    </row>
    <row r="65" spans="1:26" x14ac:dyDescent="0.3">
      <c r="A65" s="2">
        <v>46204</v>
      </c>
      <c r="B65" s="3" t="s">
        <v>44</v>
      </c>
      <c r="C65" s="3">
        <v>1</v>
      </c>
      <c r="D65" s="4">
        <v>0.35416666666666702</v>
      </c>
      <c r="E65" s="4">
        <v>0.38541666666666702</v>
      </c>
      <c r="F65" s="3" t="s">
        <v>50</v>
      </c>
      <c r="G65" s="3" t="s">
        <v>51</v>
      </c>
      <c r="H65" s="3" t="s">
        <v>29</v>
      </c>
      <c r="I65" s="3" t="s">
        <v>30</v>
      </c>
      <c r="J65" s="3" t="s">
        <v>31</v>
      </c>
      <c r="K65" s="3" t="s">
        <v>52</v>
      </c>
      <c r="L65" s="5">
        <v>103</v>
      </c>
      <c r="M65" s="5">
        <f t="shared" ca="1" si="0"/>
        <v>57</v>
      </c>
      <c r="N65" s="6">
        <f t="shared" ca="1" si="3"/>
        <v>55.339805825242713</v>
      </c>
      <c r="O65" s="3" cm="1">
        <f t="array" aca="1" ref="O65" ca="1">IFERROR(LOOKUP(2, 1/((F$1:F64=F65)*(J$1:J64=J65)*(ROW(F$1:F64)&lt;ROW(F65))), N$1:N64), "")</f>
        <v>62.135922330097081</v>
      </c>
      <c r="P65" s="3">
        <f t="shared" si="4"/>
        <v>0</v>
      </c>
      <c r="Q65" s="3" t="s">
        <v>43</v>
      </c>
      <c r="R65" s="3" t="s">
        <v>40</v>
      </c>
      <c r="S65" s="3" t="str">
        <f t="shared" si="1"/>
        <v>No</v>
      </c>
      <c r="T65" s="3" t="s">
        <v>40</v>
      </c>
      <c r="U65" s="3" t="str">
        <f t="shared" si="2"/>
        <v>Rainy</v>
      </c>
      <c r="V65" s="3" t="s">
        <v>40</v>
      </c>
      <c r="W65" s="3" cm="1">
        <f t="array" ref="W65">_xlfn.IFS(
OR(F65="Selenium (Hands-on)",F65="Guest Lecture: HR Interview"),6,
OR(F65="Soft Skill",F65="Soft Skill (Examination)",F65="AWS Training",F65="AWS Session"),7,
OR(ISNUMBER(SEARCH("MAD",F65)),ISNUMBER(SEARCH("STQA",F65)),F65="CI/CD Session"),8,
OR(ISNUMBER(SEARCH("Cloud",F65)),F65="Industry Readiness Program",ISNUMBER(SEARCH("Talenlio",F65))),9,
OR(ISNUMBER(SEARCH("Innovation",F65)),F65="Mini Project"),10,
OR(ISNUMBER(SEARCH("Data Science",F65)),ISNUMBER(SEARCH("DS",F65))),11,
ISNUMBER(SEARCH("Generative AI",F65)),12
=_xlfn.IFS(
OR(F65="Selenium (Hands-on)",F65="Guest Lecture: HR Interview"),6,
OR(F65="Soft Skill",F65="Soft Skill (Examination)",F65="AWS Training",F65="AWS Session"),7,
OR(ISNUMBER(SEARCH("MAD",F65)),ISNUMBER(SEARCH("STQA",F65)),F65="CI/CD Session"),8,
OR(ISNUMBER(SEARCH("Cloud",F65)),F65="Industry Readiness Program",ISNUMBER(SEARCH("Talenlio",F65))),9,
OR(ISNUMBER(SEARCH("Innovation",F65)),F65="Mini Project"),10,
OR(ISNUMBER(SEARCH("Data Science",F65)),ISNUMBER(SEARCH("DS",F65))),11,
ISNUMBER(SEARCH("Generative AI",F65)),12
=_xlfn.IFS(
OR(F65="Selenium (Hands-on)",F65="Guest Lecture: HR Interview"),6,
OR(F65="Soft Skill",F65="Soft Skill (Examination)",F65="AWS Training",F65="AWS Session"),7,
OR(ISNUMBER(SEARCH("MAD",F65)),ISNUMBER(SEARCH("STQA",F65)),F65="CI/CD Session"),8,
OR(ISNUMBER(SEARCH("Cloud",F65)),F65="Industry Readiness Program",ISNUMBER(SEARCH("Talenlio",F65))),9,
OR(ISNUMBER(SEARCH("Innovation",F65)),F65="Mini Project"),10,
OR(ISNUMBER(SEARCH("Data Science",F65)),ISNUMBER(SEARCH("DS",F65))),11,
ISNUMBER(SEARCH("Generative AI",F65)),12
=_xlfn.IFS(
OR(F65="Selenium (Hands-on)",F65="Guest Lecture: HR Interview"),6,
OR(F65="Soft Skill",F65="Soft Skill (Examination)",F65="AWS Training",F65="AWS Session"),7,
OR(ISNUMBER(SEARCH("MAD",F65)),ISNUMBER(SEARCH("STQA",F65)),F65="CI/CD Session"),8,
OR(ISNUMBER(SEARCH("Cloud",F65)),F65="Industry Readiness Program",ISNUMBER(SEARCH("Talenlio",F65))),9,
OR(ISNUMBER(SEARCH("Innovation",F65)),F65="Mini Project"),10,
OR(ISNUMBER(SEARCH("Data Science",F65)),ISNUMBER(SEARCH("DS",F65))),11,
ISNUMBER(SEARCH("Generative AI",F65)),12
))))</f>
        <v>8</v>
      </c>
      <c r="X65" s="3">
        <v>3</v>
      </c>
      <c r="Y65" s="3">
        <v>17</v>
      </c>
      <c r="Z65" s="3" t="s">
        <v>35</v>
      </c>
    </row>
    <row r="66" spans="1:26" x14ac:dyDescent="0.3">
      <c r="A66" s="2">
        <v>46204</v>
      </c>
      <c r="B66" s="3" t="s">
        <v>44</v>
      </c>
      <c r="C66" s="3">
        <v>2</v>
      </c>
      <c r="D66" s="4">
        <v>0.38541666666666702</v>
      </c>
      <c r="E66" s="4">
        <v>0.42708333333333298</v>
      </c>
      <c r="F66" s="3" t="s">
        <v>50</v>
      </c>
      <c r="G66" s="3" t="s">
        <v>51</v>
      </c>
      <c r="H66" s="3" t="s">
        <v>29</v>
      </c>
      <c r="I66" s="3" t="s">
        <v>30</v>
      </c>
      <c r="J66" s="3" t="s">
        <v>31</v>
      </c>
      <c r="K66" s="3" t="s">
        <v>52</v>
      </c>
      <c r="L66" s="5">
        <v>103</v>
      </c>
      <c r="M66" s="5">
        <f t="shared" ref="M66:M129" ca="1" si="5">RANDBETWEEN(40,103)</f>
        <v>73</v>
      </c>
      <c r="N66" s="6">
        <f t="shared" ref="N66:N129" ca="1" si="6">IF(OR(L66="",M66=""),"",M66/L66*100)</f>
        <v>70.873786407766985</v>
      </c>
      <c r="O66" s="3" cm="1">
        <f t="array" aca="1" ref="O66" ca="1">IFERROR(LOOKUP(2, 1/((F$1:F65=F66)*(J$1:J65=J66)*(ROW(F$1:F65)&lt;ROW(F66))), N$1:N65), "")</f>
        <v>55.339805825242713</v>
      </c>
      <c r="P66" s="3">
        <f t="shared" si="4"/>
        <v>0</v>
      </c>
      <c r="Q66" s="3" t="s">
        <v>43</v>
      </c>
      <c r="R66" s="3" t="s">
        <v>40</v>
      </c>
      <c r="S66" s="3" t="str">
        <f t="shared" ref="S66:S129" si="7">IF(OR(ISNUMBER(SEARCH("Guest", F66)), ISNUMBER(SEARCH("Hands-on", F66)), ISNUMBER(SEARCH("Project", F66)), B66="Friday"), "Yes", "No")</f>
        <v>No</v>
      </c>
      <c r="T66" s="3" t="s">
        <v>40</v>
      </c>
      <c r="U66" s="3" t="str">
        <f t="shared" ref="U66:U129" si="8">IF(MONTH(A66)=6, IF(DAY(A66)&lt;20, "Sunny", "Cloudy"), IF(OR(MONTH(A66)=7, MONTH(A66)=8), "Rainy", "Sunny"))</f>
        <v>Rainy</v>
      </c>
      <c r="V66" s="3" t="s">
        <v>40</v>
      </c>
      <c r="W66" s="3" cm="1">
        <f t="array" ref="W66">_xlfn.IFS(
OR(F66="Selenium (Hands-on)",F66="Guest Lecture: HR Interview"),6,
OR(F66="Soft Skill",F66="Soft Skill (Examination)",F66="AWS Training",F66="AWS Session"),7,
OR(ISNUMBER(SEARCH("MAD",F66)),ISNUMBER(SEARCH("STQA",F66)),F66="CI/CD Session"),8,
OR(ISNUMBER(SEARCH("Cloud",F66)),F66="Industry Readiness Program",ISNUMBER(SEARCH("Talenlio",F66))),9,
OR(ISNUMBER(SEARCH("Innovation",F66)),F66="Mini Project"),10,
OR(ISNUMBER(SEARCH("Data Science",F66)),ISNUMBER(SEARCH("DS",F66))),11,
ISNUMBER(SEARCH("Generative AI",F66)),12
=_xlfn.IFS(
OR(F66="Selenium (Hands-on)",F66="Guest Lecture: HR Interview"),6,
OR(F66="Soft Skill",F66="Soft Skill (Examination)",F66="AWS Training",F66="AWS Session"),7,
OR(ISNUMBER(SEARCH("MAD",F66)),ISNUMBER(SEARCH("STQA",F66)),F66="CI/CD Session"),8,
OR(ISNUMBER(SEARCH("Cloud",F66)),F66="Industry Readiness Program",ISNUMBER(SEARCH("Talenlio",F66))),9,
OR(ISNUMBER(SEARCH("Innovation",F66)),F66="Mini Project"),10,
OR(ISNUMBER(SEARCH("Data Science",F66)),ISNUMBER(SEARCH("DS",F66))),11,
ISNUMBER(SEARCH("Generative AI",F66)),12
=_xlfn.IFS(
OR(F66="Selenium (Hands-on)",F66="Guest Lecture: HR Interview"),6,
OR(F66="Soft Skill",F66="Soft Skill (Examination)",F66="AWS Training",F66="AWS Session"),7,
OR(ISNUMBER(SEARCH("MAD",F66)),ISNUMBER(SEARCH("STQA",F66)),F66="CI/CD Session"),8,
OR(ISNUMBER(SEARCH("Cloud",F66)),F66="Industry Readiness Program",ISNUMBER(SEARCH("Talenlio",F66))),9,
OR(ISNUMBER(SEARCH("Innovation",F66)),F66="Mini Project"),10,
OR(ISNUMBER(SEARCH("Data Science",F66)),ISNUMBER(SEARCH("DS",F66))),11,
ISNUMBER(SEARCH("Generative AI",F66)),12
=_xlfn.IFS(
OR(F66="Selenium (Hands-on)",F66="Guest Lecture: HR Interview"),6,
OR(F66="Soft Skill",F66="Soft Skill (Examination)",F66="AWS Training",F66="AWS Session"),7,
OR(ISNUMBER(SEARCH("MAD",F66)),ISNUMBER(SEARCH("STQA",F66)),F66="CI/CD Session"),8,
OR(ISNUMBER(SEARCH("Cloud",F66)),F66="Industry Readiness Program",ISNUMBER(SEARCH("Talenlio",F66))),9,
OR(ISNUMBER(SEARCH("Innovation",F66)),F66="Mini Project"),10,
OR(ISNUMBER(SEARCH("Data Science",F66)),ISNUMBER(SEARCH("DS",F66))),11,
ISNUMBER(SEARCH("Generative AI",F66)),12
))))</f>
        <v>8</v>
      </c>
      <c r="X66" s="3">
        <v>3</v>
      </c>
      <c r="Y66" s="3">
        <v>17</v>
      </c>
      <c r="Z66" s="3" t="s">
        <v>35</v>
      </c>
    </row>
    <row r="67" spans="1:26" x14ac:dyDescent="0.3">
      <c r="A67" s="2">
        <v>46204</v>
      </c>
      <c r="B67" s="3" t="s">
        <v>44</v>
      </c>
      <c r="C67" s="3">
        <v>3</v>
      </c>
      <c r="D67" s="4">
        <v>0.42708333333333298</v>
      </c>
      <c r="E67" s="4">
        <v>0.46875</v>
      </c>
      <c r="F67" s="3" t="s">
        <v>62</v>
      </c>
      <c r="G67" s="3" t="s">
        <v>56</v>
      </c>
      <c r="H67" s="3" t="s">
        <v>29</v>
      </c>
      <c r="I67" s="3" t="s">
        <v>30</v>
      </c>
      <c r="J67" s="3" t="s">
        <v>31</v>
      </c>
      <c r="K67" s="3" t="s">
        <v>52</v>
      </c>
      <c r="L67" s="5">
        <v>103</v>
      </c>
      <c r="M67" s="5">
        <f t="shared" ca="1" si="5"/>
        <v>75</v>
      </c>
      <c r="N67" s="6">
        <f t="shared" ca="1" si="6"/>
        <v>72.815533980582529</v>
      </c>
      <c r="O67" s="3" cm="1">
        <f t="array" aca="1" ref="O67" ca="1">IFERROR(LOOKUP(2, 1/((F$1:F66=F67)*(J$1:J66=J67)*(ROW(F$1:F66)&lt;ROW(F67))), N$1:N66), "")</f>
        <v>53.398058252427184</v>
      </c>
      <c r="P67" s="3">
        <f t="shared" ref="P67:P130" si="9">IF(C67=1, 0, IF(AND(A67=A66, J67=J66), ROUND(MAX(0, (D67-E66)*24), 2), 0))</f>
        <v>0</v>
      </c>
      <c r="Q67" s="3" t="s">
        <v>33</v>
      </c>
      <c r="R67" s="3" t="s">
        <v>40</v>
      </c>
      <c r="S67" s="3" t="str">
        <f t="shared" si="7"/>
        <v>No</v>
      </c>
      <c r="T67" s="3" t="s">
        <v>40</v>
      </c>
      <c r="U67" s="3" t="str">
        <f t="shared" si="8"/>
        <v>Rainy</v>
      </c>
      <c r="V67" s="3" t="s">
        <v>40</v>
      </c>
      <c r="W67" s="3">
        <v>7</v>
      </c>
      <c r="X67" s="3">
        <v>3</v>
      </c>
      <c r="Y67" s="3">
        <v>17</v>
      </c>
      <c r="Z67" s="3" t="s">
        <v>35</v>
      </c>
    </row>
    <row r="68" spans="1:26" x14ac:dyDescent="0.3">
      <c r="A68" s="2">
        <v>46204</v>
      </c>
      <c r="B68" s="3" t="s">
        <v>44</v>
      </c>
      <c r="C68" s="3">
        <v>4</v>
      </c>
      <c r="D68" s="4">
        <v>0.46875</v>
      </c>
      <c r="E68" s="4">
        <v>0.51041666666666696</v>
      </c>
      <c r="F68" s="3" t="s">
        <v>57</v>
      </c>
      <c r="G68" s="3" t="s">
        <v>58</v>
      </c>
      <c r="H68" s="3" t="s">
        <v>29</v>
      </c>
      <c r="I68" s="3" t="s">
        <v>30</v>
      </c>
      <c r="J68" s="3" t="s">
        <v>31</v>
      </c>
      <c r="K68" s="3" t="s">
        <v>52</v>
      </c>
      <c r="L68" s="5">
        <v>103</v>
      </c>
      <c r="M68" s="5">
        <f t="shared" ca="1" si="5"/>
        <v>66</v>
      </c>
      <c r="N68" s="6">
        <f t="shared" ca="1" si="6"/>
        <v>64.077669902912632</v>
      </c>
      <c r="O68" s="3" cm="1">
        <f t="array" aca="1" ref="O68" ca="1">IFERROR(LOOKUP(2, 1/((F$1:F67=F68)*(J$1:J67=J68)*(ROW(F$1:F67)&lt;ROW(F68))), N$1:N67), "")</f>
        <v>99.029126213592235</v>
      </c>
      <c r="P68" s="3">
        <f t="shared" si="9"/>
        <v>0</v>
      </c>
      <c r="Q68" s="3" t="s">
        <v>33</v>
      </c>
      <c r="R68" s="3" t="s">
        <v>40</v>
      </c>
      <c r="S68" s="3" t="str">
        <f t="shared" si="7"/>
        <v>No</v>
      </c>
      <c r="T68" s="3" t="s">
        <v>40</v>
      </c>
      <c r="U68" s="3" t="str">
        <f t="shared" si="8"/>
        <v>Rainy</v>
      </c>
      <c r="V68" s="3" t="s">
        <v>40</v>
      </c>
      <c r="W68" s="3" cm="1">
        <f t="array" ref="W68">_xlfn.IFS(
OR(F68="Selenium (Hands-on)",F68="Guest Lecture: HR Interview"),6,
OR(F68="Soft Skill",F68="Soft Skill (Examination)",F68="AWS Training",F68="AWS Session"),7,
OR(ISNUMBER(SEARCH("MAD",F68)),ISNUMBER(SEARCH("STQA",F68)),F68="CI/CD Session"),8,
OR(ISNUMBER(SEARCH("Cloud",F68)),F68="Industry Readiness Program",ISNUMBER(SEARCH("Talenlio",F68))),9,
OR(ISNUMBER(SEARCH("Innovation",F68)),F68="Mini Project"),10,
OR(ISNUMBER(SEARCH("Data Science",F68)),ISNUMBER(SEARCH("DS",F68))),11,
ISNUMBER(SEARCH("Generative AI",F68)),12
=_xlfn.IFS(
OR(F68="Selenium (Hands-on)",F68="Guest Lecture: HR Interview"),6,
OR(F68="Soft Skill",F68="Soft Skill (Examination)",F68="AWS Training",F68="AWS Session"),7,
OR(ISNUMBER(SEARCH("MAD",F68)),ISNUMBER(SEARCH("STQA",F68)),F68="CI/CD Session"),8,
OR(ISNUMBER(SEARCH("Cloud",F68)),F68="Industry Readiness Program",ISNUMBER(SEARCH("Talenlio",F68))),9,
OR(ISNUMBER(SEARCH("Innovation",F68)),F68="Mini Project"),10,
OR(ISNUMBER(SEARCH("Data Science",F68)),ISNUMBER(SEARCH("DS",F68))),11,
ISNUMBER(SEARCH("Generative AI",F68)),12
=_xlfn.IFS(
OR(F68="Selenium (Hands-on)",F68="Guest Lecture: HR Interview"),6,
OR(F68="Soft Skill",F68="Soft Skill (Examination)",F68="AWS Training",F68="AWS Session"),7,
OR(ISNUMBER(SEARCH("MAD",F68)),ISNUMBER(SEARCH("STQA",F68)),F68="CI/CD Session"),8,
OR(ISNUMBER(SEARCH("Cloud",F68)),F68="Industry Readiness Program",ISNUMBER(SEARCH("Talenlio",F68))),9,
OR(ISNUMBER(SEARCH("Innovation",F68)),F68="Mini Project"),10,
OR(ISNUMBER(SEARCH("Data Science",F68)),ISNUMBER(SEARCH("DS",F68))),11,
ISNUMBER(SEARCH("Generative AI",F68)),12
=_xlfn.IFS(
OR(F68="Selenium (Hands-on)",F68="Guest Lecture: HR Interview"),6,
OR(F68="Soft Skill",F68="Soft Skill (Examination)",F68="AWS Training",F68="AWS Session"),7,
OR(ISNUMBER(SEARCH("MAD",F68)),ISNUMBER(SEARCH("STQA",F68)),F68="CI/CD Session"),8,
OR(ISNUMBER(SEARCH("Cloud",F68)),F68="Industry Readiness Program",ISNUMBER(SEARCH("Talenlio",F68))),9,
OR(ISNUMBER(SEARCH("Innovation",F68)),F68="Mini Project"),10,
OR(ISNUMBER(SEARCH("Data Science",F68)),ISNUMBER(SEARCH("DS",F68))),11,
ISNUMBER(SEARCH("Generative AI",F68)),12
))))</f>
        <v>9</v>
      </c>
      <c r="X68" s="3">
        <v>3</v>
      </c>
      <c r="Y68" s="3">
        <v>17</v>
      </c>
      <c r="Z68" s="3" t="s">
        <v>35</v>
      </c>
    </row>
    <row r="69" spans="1:26" x14ac:dyDescent="0.3">
      <c r="A69" s="2">
        <v>46204</v>
      </c>
      <c r="B69" s="3" t="s">
        <v>44</v>
      </c>
      <c r="C69" s="3">
        <v>5</v>
      </c>
      <c r="D69" s="4">
        <v>0.5625</v>
      </c>
      <c r="E69" s="4">
        <v>0.60416666666666696</v>
      </c>
      <c r="F69" s="3" t="s">
        <v>53</v>
      </c>
      <c r="G69" s="3" t="s">
        <v>54</v>
      </c>
      <c r="H69" s="3" t="s">
        <v>29</v>
      </c>
      <c r="I69" s="3" t="s">
        <v>30</v>
      </c>
      <c r="J69" s="3" t="s">
        <v>31</v>
      </c>
      <c r="K69" s="3" t="s">
        <v>52</v>
      </c>
      <c r="L69" s="5">
        <v>103</v>
      </c>
      <c r="M69" s="5">
        <f t="shared" ca="1" si="5"/>
        <v>47</v>
      </c>
      <c r="N69" s="6">
        <f t="shared" ca="1" si="6"/>
        <v>45.631067961165051</v>
      </c>
      <c r="O69" s="3" cm="1">
        <f t="array" aca="1" ref="O69" ca="1">IFERROR(LOOKUP(2, 1/((F$1:F68=F69)*(J$1:J68=J69)*(ROW(F$1:F68)&lt;ROW(F69))), N$1:N68), "")</f>
        <v>81.553398058252426</v>
      </c>
      <c r="P69" s="3">
        <f t="shared" si="9"/>
        <v>1.25</v>
      </c>
      <c r="Q69" s="3" t="s">
        <v>33</v>
      </c>
      <c r="R69" s="3" t="s">
        <v>40</v>
      </c>
      <c r="S69" s="3" t="str">
        <f t="shared" si="7"/>
        <v>No</v>
      </c>
      <c r="T69" s="3" t="s">
        <v>40</v>
      </c>
      <c r="U69" s="3" t="str">
        <f t="shared" si="8"/>
        <v>Rainy</v>
      </c>
      <c r="V69" s="3" t="s">
        <v>40</v>
      </c>
      <c r="W69" s="3" cm="1">
        <f t="array" ref="W69">_xlfn.IFS(
OR(F69="Selenium (Hands-on)",F69="Guest Lecture: HR Interview"),6,
OR(F69="Soft Skill",F69="Soft Skill (Examination)",F69="AWS Training",F69="AWS Session"),7,
OR(ISNUMBER(SEARCH("MAD",F69)),ISNUMBER(SEARCH("STQA",F69)),F69="CI/CD Session"),8,
OR(ISNUMBER(SEARCH("Cloud",F69)),F69="Industry Readiness Program",ISNUMBER(SEARCH("Talenlio",F69))),9,
OR(ISNUMBER(SEARCH("Innovation",F69)),F69="Mini Project"),10,
OR(ISNUMBER(SEARCH("Data Science",F69)),ISNUMBER(SEARCH("DS",F69))),11,
ISNUMBER(SEARCH("Generative AI",F69)),12
=_xlfn.IFS(
OR(F69="Selenium (Hands-on)",F69="Guest Lecture: HR Interview"),6,
OR(F69="Soft Skill",F69="Soft Skill (Examination)",F69="AWS Training",F69="AWS Session"),7,
OR(ISNUMBER(SEARCH("MAD",F69)),ISNUMBER(SEARCH("STQA",F69)),F69="CI/CD Session"),8,
OR(ISNUMBER(SEARCH("Cloud",F69)),F69="Industry Readiness Program",ISNUMBER(SEARCH("Talenlio",F69))),9,
OR(ISNUMBER(SEARCH("Innovation",F69)),F69="Mini Project"),10,
OR(ISNUMBER(SEARCH("Data Science",F69)),ISNUMBER(SEARCH("DS",F69))),11,
ISNUMBER(SEARCH("Generative AI",F69)),12
=_xlfn.IFS(
OR(F69="Selenium (Hands-on)",F69="Guest Lecture: HR Interview"),6,
OR(F69="Soft Skill",F69="Soft Skill (Examination)",F69="AWS Training",F69="AWS Session"),7,
OR(ISNUMBER(SEARCH("MAD",F69)),ISNUMBER(SEARCH("STQA",F69)),F69="CI/CD Session"),8,
OR(ISNUMBER(SEARCH("Cloud",F69)),F69="Industry Readiness Program",ISNUMBER(SEARCH("Talenlio",F69))),9,
OR(ISNUMBER(SEARCH("Innovation",F69)),F69="Mini Project"),10,
OR(ISNUMBER(SEARCH("Data Science",F69)),ISNUMBER(SEARCH("DS",F69))),11,
ISNUMBER(SEARCH("Generative AI",F69)),12
=_xlfn.IFS(
OR(F69="Selenium (Hands-on)",F69="Guest Lecture: HR Interview"),6,
OR(F69="Soft Skill",F69="Soft Skill (Examination)",F69="AWS Training",F69="AWS Session"),7,
OR(ISNUMBER(SEARCH("MAD",F69)),ISNUMBER(SEARCH("STQA",F69)),F69="CI/CD Session"),8,
OR(ISNUMBER(SEARCH("Cloud",F69)),F69="Industry Readiness Program",ISNUMBER(SEARCH("Talenlio",F69))),9,
OR(ISNUMBER(SEARCH("Innovation",F69)),F69="Mini Project"),10,
OR(ISNUMBER(SEARCH("Data Science",F69)),ISNUMBER(SEARCH("DS",F69))),11,
ISNUMBER(SEARCH("Generative AI",F69)),12
))))</f>
        <v>10</v>
      </c>
      <c r="X69" s="3">
        <v>3</v>
      </c>
      <c r="Y69" s="3">
        <v>17</v>
      </c>
      <c r="Z69" s="3" t="s">
        <v>38</v>
      </c>
    </row>
    <row r="70" spans="1:26" x14ac:dyDescent="0.3">
      <c r="A70" s="2">
        <v>46204</v>
      </c>
      <c r="B70" s="3" t="s">
        <v>44</v>
      </c>
      <c r="C70" s="3">
        <v>6</v>
      </c>
      <c r="D70" s="4">
        <v>0.60416666666666696</v>
      </c>
      <c r="E70" s="4">
        <v>0.64583333333333304</v>
      </c>
      <c r="F70" s="3" t="s">
        <v>53</v>
      </c>
      <c r="G70" s="3" t="s">
        <v>54</v>
      </c>
      <c r="H70" s="3" t="s">
        <v>29</v>
      </c>
      <c r="I70" s="3" t="s">
        <v>30</v>
      </c>
      <c r="J70" s="3" t="s">
        <v>31</v>
      </c>
      <c r="K70" s="3" t="s">
        <v>52</v>
      </c>
      <c r="L70" s="5">
        <v>103</v>
      </c>
      <c r="M70" s="5">
        <f t="shared" ca="1" si="5"/>
        <v>88</v>
      </c>
      <c r="N70" s="6">
        <f t="shared" ca="1" si="6"/>
        <v>85.436893203883486</v>
      </c>
      <c r="O70" s="3" cm="1">
        <f t="array" aca="1" ref="O70" ca="1">IFERROR(LOOKUP(2, 1/((F$1:F69=F70)*(J$1:J69=J70)*(ROW(F$1:F69)&lt;ROW(F70))), N$1:N69), "")</f>
        <v>45.631067961165051</v>
      </c>
      <c r="P70" s="3">
        <f t="shared" si="9"/>
        <v>0</v>
      </c>
      <c r="Q70" s="3" t="s">
        <v>33</v>
      </c>
      <c r="R70" s="3" t="s">
        <v>40</v>
      </c>
      <c r="S70" s="3" t="str">
        <f t="shared" si="7"/>
        <v>No</v>
      </c>
      <c r="T70" s="3" t="s">
        <v>40</v>
      </c>
      <c r="U70" s="3" t="str">
        <f t="shared" si="8"/>
        <v>Rainy</v>
      </c>
      <c r="V70" s="3" t="s">
        <v>40</v>
      </c>
      <c r="W70" s="3" cm="1">
        <f t="array" ref="W70">_xlfn.IFS(
OR(F70="Selenium (Hands-on)",F70="Guest Lecture: HR Interview"),6,
OR(F70="Soft Skill",F70="Soft Skill (Examination)",F70="AWS Training",F70="AWS Session"),7,
OR(ISNUMBER(SEARCH("MAD",F70)),ISNUMBER(SEARCH("STQA",F70)),F70="CI/CD Session"),8,
OR(ISNUMBER(SEARCH("Cloud",F70)),F70="Industry Readiness Program",ISNUMBER(SEARCH("Talenlio",F70))),9,
OR(ISNUMBER(SEARCH("Innovation",F70)),F70="Mini Project"),10,
OR(ISNUMBER(SEARCH("Data Science",F70)),ISNUMBER(SEARCH("DS",F70))),11,
ISNUMBER(SEARCH("Generative AI",F70)),12
=_xlfn.IFS(
OR(F70="Selenium (Hands-on)",F70="Guest Lecture: HR Interview"),6,
OR(F70="Soft Skill",F70="Soft Skill (Examination)",F70="AWS Training",F70="AWS Session"),7,
OR(ISNUMBER(SEARCH("MAD",F70)),ISNUMBER(SEARCH("STQA",F70)),F70="CI/CD Session"),8,
OR(ISNUMBER(SEARCH("Cloud",F70)),F70="Industry Readiness Program",ISNUMBER(SEARCH("Talenlio",F70))),9,
OR(ISNUMBER(SEARCH("Innovation",F70)),F70="Mini Project"),10,
OR(ISNUMBER(SEARCH("Data Science",F70)),ISNUMBER(SEARCH("DS",F70))),11,
ISNUMBER(SEARCH("Generative AI",F70)),12
=_xlfn.IFS(
OR(F70="Selenium (Hands-on)",F70="Guest Lecture: HR Interview"),6,
OR(F70="Soft Skill",F70="Soft Skill (Examination)",F70="AWS Training",F70="AWS Session"),7,
OR(ISNUMBER(SEARCH("MAD",F70)),ISNUMBER(SEARCH("STQA",F70)),F70="CI/CD Session"),8,
OR(ISNUMBER(SEARCH("Cloud",F70)),F70="Industry Readiness Program",ISNUMBER(SEARCH("Talenlio",F70))),9,
OR(ISNUMBER(SEARCH("Innovation",F70)),F70="Mini Project"),10,
OR(ISNUMBER(SEARCH("Data Science",F70)),ISNUMBER(SEARCH("DS",F70))),11,
ISNUMBER(SEARCH("Generative AI",F70)),12
=_xlfn.IFS(
OR(F70="Selenium (Hands-on)",F70="Guest Lecture: HR Interview"),6,
OR(F70="Soft Skill",F70="Soft Skill (Examination)",F70="AWS Training",F70="AWS Session"),7,
OR(ISNUMBER(SEARCH("MAD",F70)),ISNUMBER(SEARCH("STQA",F70)),F70="CI/CD Session"),8,
OR(ISNUMBER(SEARCH("Cloud",F70)),F70="Industry Readiness Program",ISNUMBER(SEARCH("Talenlio",F70))),9,
OR(ISNUMBER(SEARCH("Innovation",F70)),F70="Mini Project"),10,
OR(ISNUMBER(SEARCH("Data Science",F70)),ISNUMBER(SEARCH("DS",F70))),11,
ISNUMBER(SEARCH("Generative AI",F70)),12
))))</f>
        <v>10</v>
      </c>
      <c r="X70" s="3">
        <v>3</v>
      </c>
      <c r="Y70" s="3">
        <v>17</v>
      </c>
      <c r="Z70" s="3" t="s">
        <v>38</v>
      </c>
    </row>
    <row r="71" spans="1:26" x14ac:dyDescent="0.3">
      <c r="A71" s="2">
        <v>46205</v>
      </c>
      <c r="B71" s="3" t="s">
        <v>45</v>
      </c>
      <c r="C71" s="3">
        <v>1</v>
      </c>
      <c r="D71" s="4">
        <v>0.35416666666666702</v>
      </c>
      <c r="E71" s="4">
        <v>0.38541666666666702</v>
      </c>
      <c r="F71" s="3" t="s">
        <v>50</v>
      </c>
      <c r="G71" s="3" t="s">
        <v>51</v>
      </c>
      <c r="H71" s="3" t="s">
        <v>29</v>
      </c>
      <c r="I71" s="3" t="s">
        <v>30</v>
      </c>
      <c r="J71" s="3" t="s">
        <v>31</v>
      </c>
      <c r="K71" s="3" t="s">
        <v>52</v>
      </c>
      <c r="L71" s="5">
        <v>103</v>
      </c>
      <c r="M71" s="5">
        <f t="shared" ca="1" si="5"/>
        <v>102</v>
      </c>
      <c r="N71" s="6">
        <f t="shared" ca="1" si="6"/>
        <v>99.029126213592235</v>
      </c>
      <c r="O71" s="3" cm="1">
        <f t="array" aca="1" ref="O71" ca="1">IFERROR(LOOKUP(2, 1/((F$1:F70=F71)*(J$1:J70=J71)*(ROW(F$1:F70)&lt;ROW(F71))), N$1:N70), "")</f>
        <v>70.873786407766985</v>
      </c>
      <c r="P71" s="3">
        <f t="shared" si="9"/>
        <v>0</v>
      </c>
      <c r="Q71" s="3" t="s">
        <v>43</v>
      </c>
      <c r="R71" s="3" t="s">
        <v>40</v>
      </c>
      <c r="S71" s="3" t="str">
        <f t="shared" si="7"/>
        <v>No</v>
      </c>
      <c r="T71" s="3" t="s">
        <v>40</v>
      </c>
      <c r="U71" s="3" t="str">
        <f t="shared" si="8"/>
        <v>Rainy</v>
      </c>
      <c r="V71" s="3" t="s">
        <v>40</v>
      </c>
      <c r="W71" s="3" cm="1">
        <f t="array" ref="W71">_xlfn.IFS(
OR(F71="Selenium (Hands-on)",F71="Guest Lecture: HR Interview"),6,
OR(F71="Soft Skill",F71="Soft Skill (Examination)",F71="AWS Training",F71="AWS Session"),7,
OR(ISNUMBER(SEARCH("MAD",F71)),ISNUMBER(SEARCH("STQA",F71)),F71="CI/CD Session"),8,
OR(ISNUMBER(SEARCH("Cloud",F71)),F71="Industry Readiness Program",ISNUMBER(SEARCH("Talenlio",F71))),9,
OR(ISNUMBER(SEARCH("Innovation",F71)),F71="Mini Project"),10,
OR(ISNUMBER(SEARCH("Data Science",F71)),ISNUMBER(SEARCH("DS",F71))),11,
ISNUMBER(SEARCH("Generative AI",F71)),12
=_xlfn.IFS(
OR(F71="Selenium (Hands-on)",F71="Guest Lecture: HR Interview"),6,
OR(F71="Soft Skill",F71="Soft Skill (Examination)",F71="AWS Training",F71="AWS Session"),7,
OR(ISNUMBER(SEARCH("MAD",F71)),ISNUMBER(SEARCH("STQA",F71)),F71="CI/CD Session"),8,
OR(ISNUMBER(SEARCH("Cloud",F71)),F71="Industry Readiness Program",ISNUMBER(SEARCH("Talenlio",F71))),9,
OR(ISNUMBER(SEARCH("Innovation",F71)),F71="Mini Project"),10,
OR(ISNUMBER(SEARCH("Data Science",F71)),ISNUMBER(SEARCH("DS",F71))),11,
ISNUMBER(SEARCH("Generative AI",F71)),12
=_xlfn.IFS(
OR(F71="Selenium (Hands-on)",F71="Guest Lecture: HR Interview"),6,
OR(F71="Soft Skill",F71="Soft Skill (Examination)",F71="AWS Training",F71="AWS Session"),7,
OR(ISNUMBER(SEARCH("MAD",F71)),ISNUMBER(SEARCH("STQA",F71)),F71="CI/CD Session"),8,
OR(ISNUMBER(SEARCH("Cloud",F71)),F71="Industry Readiness Program",ISNUMBER(SEARCH("Talenlio",F71))),9,
OR(ISNUMBER(SEARCH("Innovation",F71)),F71="Mini Project"),10,
OR(ISNUMBER(SEARCH("Data Science",F71)),ISNUMBER(SEARCH("DS",F71))),11,
ISNUMBER(SEARCH("Generative AI",F71)),12
=_xlfn.IFS(
OR(F71="Selenium (Hands-on)",F71="Guest Lecture: HR Interview"),6,
OR(F71="Soft Skill",F71="Soft Skill (Examination)",F71="AWS Training",F71="AWS Session"),7,
OR(ISNUMBER(SEARCH("MAD",F71)),ISNUMBER(SEARCH("STQA",F71)),F71="CI/CD Session"),8,
OR(ISNUMBER(SEARCH("Cloud",F71)),F71="Industry Readiness Program",ISNUMBER(SEARCH("Talenlio",F71))),9,
OR(ISNUMBER(SEARCH("Innovation",F71)),F71="Mini Project"),10,
OR(ISNUMBER(SEARCH("Data Science",F71)),ISNUMBER(SEARCH("DS",F71))),11,
ISNUMBER(SEARCH("Generative AI",F71)),12
))))</f>
        <v>8</v>
      </c>
      <c r="X71" s="3">
        <v>3</v>
      </c>
      <c r="Y71" s="3">
        <v>18</v>
      </c>
      <c r="Z71" s="3" t="s">
        <v>35</v>
      </c>
    </row>
    <row r="72" spans="1:26" x14ac:dyDescent="0.3">
      <c r="A72" s="2">
        <v>46205</v>
      </c>
      <c r="B72" s="3" t="s">
        <v>45</v>
      </c>
      <c r="C72" s="3">
        <v>2</v>
      </c>
      <c r="D72" s="4">
        <v>0.38541666666666702</v>
      </c>
      <c r="E72" s="4">
        <v>0.42708333333333298</v>
      </c>
      <c r="F72" s="3" t="s">
        <v>50</v>
      </c>
      <c r="G72" s="3" t="s">
        <v>51</v>
      </c>
      <c r="H72" s="3" t="s">
        <v>29</v>
      </c>
      <c r="I72" s="3" t="s">
        <v>30</v>
      </c>
      <c r="J72" s="3" t="s">
        <v>31</v>
      </c>
      <c r="K72" s="3" t="s">
        <v>52</v>
      </c>
      <c r="L72" s="5">
        <v>103</v>
      </c>
      <c r="M72" s="5">
        <f t="shared" ca="1" si="5"/>
        <v>60</v>
      </c>
      <c r="N72" s="6">
        <f t="shared" ca="1" si="6"/>
        <v>58.252427184466015</v>
      </c>
      <c r="O72" s="3" cm="1">
        <f t="array" aca="1" ref="O72" ca="1">IFERROR(LOOKUP(2, 1/((F$1:F71=F72)*(J$1:J71=J72)*(ROW(F$1:F71)&lt;ROW(F72))), N$1:N71), "")</f>
        <v>99.029126213592235</v>
      </c>
      <c r="P72" s="3">
        <f t="shared" si="9"/>
        <v>0</v>
      </c>
      <c r="Q72" s="3" t="s">
        <v>43</v>
      </c>
      <c r="R72" s="3" t="s">
        <v>40</v>
      </c>
      <c r="S72" s="3" t="str">
        <f t="shared" si="7"/>
        <v>No</v>
      </c>
      <c r="T72" s="3" t="s">
        <v>40</v>
      </c>
      <c r="U72" s="3" t="str">
        <f t="shared" si="8"/>
        <v>Rainy</v>
      </c>
      <c r="V72" s="3" t="s">
        <v>40</v>
      </c>
      <c r="W72" s="3" cm="1">
        <f t="array" ref="W72">_xlfn.IFS(
OR(F72="Selenium (Hands-on)",F72="Guest Lecture: HR Interview"),6,
OR(F72="Soft Skill",F72="Soft Skill (Examination)",F72="AWS Training",F72="AWS Session"),7,
OR(ISNUMBER(SEARCH("MAD",F72)),ISNUMBER(SEARCH("STQA",F72)),F72="CI/CD Session"),8,
OR(ISNUMBER(SEARCH("Cloud",F72)),F72="Industry Readiness Program",ISNUMBER(SEARCH("Talenlio",F72))),9,
OR(ISNUMBER(SEARCH("Innovation",F72)),F72="Mini Project"),10,
OR(ISNUMBER(SEARCH("Data Science",F72)),ISNUMBER(SEARCH("DS",F72))),11,
ISNUMBER(SEARCH("Generative AI",F72)),12
=_xlfn.IFS(
OR(F72="Selenium (Hands-on)",F72="Guest Lecture: HR Interview"),6,
OR(F72="Soft Skill",F72="Soft Skill (Examination)",F72="AWS Training",F72="AWS Session"),7,
OR(ISNUMBER(SEARCH("MAD",F72)),ISNUMBER(SEARCH("STQA",F72)),F72="CI/CD Session"),8,
OR(ISNUMBER(SEARCH("Cloud",F72)),F72="Industry Readiness Program",ISNUMBER(SEARCH("Talenlio",F72))),9,
OR(ISNUMBER(SEARCH("Innovation",F72)),F72="Mini Project"),10,
OR(ISNUMBER(SEARCH("Data Science",F72)),ISNUMBER(SEARCH("DS",F72))),11,
ISNUMBER(SEARCH("Generative AI",F72)),12
=_xlfn.IFS(
OR(F72="Selenium (Hands-on)",F72="Guest Lecture: HR Interview"),6,
OR(F72="Soft Skill",F72="Soft Skill (Examination)",F72="AWS Training",F72="AWS Session"),7,
OR(ISNUMBER(SEARCH("MAD",F72)),ISNUMBER(SEARCH("STQA",F72)),F72="CI/CD Session"),8,
OR(ISNUMBER(SEARCH("Cloud",F72)),F72="Industry Readiness Program",ISNUMBER(SEARCH("Talenlio",F72))),9,
OR(ISNUMBER(SEARCH("Innovation",F72)),F72="Mini Project"),10,
OR(ISNUMBER(SEARCH("Data Science",F72)),ISNUMBER(SEARCH("DS",F72))),11,
ISNUMBER(SEARCH("Generative AI",F72)),12
=_xlfn.IFS(
OR(F72="Selenium (Hands-on)",F72="Guest Lecture: HR Interview"),6,
OR(F72="Soft Skill",F72="Soft Skill (Examination)",F72="AWS Training",F72="AWS Session"),7,
OR(ISNUMBER(SEARCH("MAD",F72)),ISNUMBER(SEARCH("STQA",F72)),F72="CI/CD Session"),8,
OR(ISNUMBER(SEARCH("Cloud",F72)),F72="Industry Readiness Program",ISNUMBER(SEARCH("Talenlio",F72))),9,
OR(ISNUMBER(SEARCH("Innovation",F72)),F72="Mini Project"),10,
OR(ISNUMBER(SEARCH("Data Science",F72)),ISNUMBER(SEARCH("DS",F72))),11,
ISNUMBER(SEARCH("Generative AI",F72)),12
))))</f>
        <v>8</v>
      </c>
      <c r="X72" s="3">
        <v>3</v>
      </c>
      <c r="Y72" s="3">
        <v>18</v>
      </c>
      <c r="Z72" s="3" t="s">
        <v>35</v>
      </c>
    </row>
    <row r="73" spans="1:26" x14ac:dyDescent="0.3">
      <c r="A73" s="2">
        <v>46205</v>
      </c>
      <c r="B73" s="3" t="s">
        <v>45</v>
      </c>
      <c r="C73" s="3">
        <v>3</v>
      </c>
      <c r="D73" s="4">
        <v>0.42708333333333298</v>
      </c>
      <c r="E73" s="4">
        <v>0.46875</v>
      </c>
      <c r="F73" s="3" t="s">
        <v>59</v>
      </c>
      <c r="G73" s="3" t="s">
        <v>60</v>
      </c>
      <c r="H73" s="3" t="s">
        <v>29</v>
      </c>
      <c r="I73" s="3" t="s">
        <v>30</v>
      </c>
      <c r="J73" s="3" t="s">
        <v>31</v>
      </c>
      <c r="K73" s="3" t="s">
        <v>52</v>
      </c>
      <c r="L73" s="5">
        <v>103</v>
      </c>
      <c r="M73" s="5">
        <f t="shared" ca="1" si="5"/>
        <v>58</v>
      </c>
      <c r="N73" s="6">
        <f t="shared" ca="1" si="6"/>
        <v>56.310679611650485</v>
      </c>
      <c r="O73" s="3" cm="1">
        <f t="array" aca="1" ref="O73" ca="1">IFERROR(LOOKUP(2, 1/((F$1:F72=F73)*(J$1:J72=J73)*(ROW(F$1:F72)&lt;ROW(F73))), N$1:N72), "")</f>
        <v>56.310679611650485</v>
      </c>
      <c r="P73" s="3">
        <f t="shared" si="9"/>
        <v>0</v>
      </c>
      <c r="Q73" s="3" t="s">
        <v>33</v>
      </c>
      <c r="R73" s="3" t="s">
        <v>40</v>
      </c>
      <c r="S73" s="3" t="str">
        <f t="shared" si="7"/>
        <v>No</v>
      </c>
      <c r="T73" s="3" t="s">
        <v>40</v>
      </c>
      <c r="U73" s="3" t="str">
        <f t="shared" si="8"/>
        <v>Rainy</v>
      </c>
      <c r="V73" s="3" t="s">
        <v>40</v>
      </c>
      <c r="W73" s="3" cm="1">
        <f t="array" ref="W73">_xlfn.IFS(
OR(F73="Selenium (Hands-on)",F73="Guest Lecture: HR Interview"),6,
OR(F73="Soft Skill",F73="Soft Skill (Examination)",F73="AWS Training",F73="AWS Session"),7,
OR(ISNUMBER(SEARCH("MAD",F73)),ISNUMBER(SEARCH("STQA",F73)),F73="CI/CD Session"),8,
OR(ISNUMBER(SEARCH("Cloud",F73)),F73="Industry Readiness Program",ISNUMBER(SEARCH("Talenlio",F73))),9,
OR(ISNUMBER(SEARCH("Innovation",F73)),F73="Mini Project"),10,
OR(ISNUMBER(SEARCH("Data Science",F73)),ISNUMBER(SEARCH("DS",F73))),11,
ISNUMBER(SEARCH("Generative AI",F73)),12
=_xlfn.IFS(
OR(F73="Selenium (Hands-on)",F73="Guest Lecture: HR Interview"),6,
OR(F73="Soft Skill",F73="Soft Skill (Examination)",F73="AWS Training",F73="AWS Session"),7,
OR(ISNUMBER(SEARCH("MAD",F73)),ISNUMBER(SEARCH("STQA",F73)),F73="CI/CD Session"),8,
OR(ISNUMBER(SEARCH("Cloud",F73)),F73="Industry Readiness Program",ISNUMBER(SEARCH("Talenlio",F73))),9,
OR(ISNUMBER(SEARCH("Innovation",F73)),F73="Mini Project"),10,
OR(ISNUMBER(SEARCH("Data Science",F73)),ISNUMBER(SEARCH("DS",F73))),11,
ISNUMBER(SEARCH("Generative AI",F73)),12
=_xlfn.IFS(
OR(F73="Selenium (Hands-on)",F73="Guest Lecture: HR Interview"),6,
OR(F73="Soft Skill",F73="Soft Skill (Examination)",F73="AWS Training",F73="AWS Session"),7,
OR(ISNUMBER(SEARCH("MAD",F73)),ISNUMBER(SEARCH("STQA",F73)),F73="CI/CD Session"),8,
OR(ISNUMBER(SEARCH("Cloud",F73)),F73="Industry Readiness Program",ISNUMBER(SEARCH("Talenlio",F73))),9,
OR(ISNUMBER(SEARCH("Innovation",F73)),F73="Mini Project"),10,
OR(ISNUMBER(SEARCH("Data Science",F73)),ISNUMBER(SEARCH("DS",F73))),11,
ISNUMBER(SEARCH("Generative AI",F73)),12
=_xlfn.IFS(
OR(F73="Selenium (Hands-on)",F73="Guest Lecture: HR Interview"),6,
OR(F73="Soft Skill",F73="Soft Skill (Examination)",F73="AWS Training",F73="AWS Session"),7,
OR(ISNUMBER(SEARCH("MAD",F73)),ISNUMBER(SEARCH("STQA",F73)),F73="CI/CD Session"),8,
OR(ISNUMBER(SEARCH("Cloud",F73)),F73="Industry Readiness Program",ISNUMBER(SEARCH("Talenlio",F73))),9,
OR(ISNUMBER(SEARCH("Innovation",F73)),F73="Mini Project"),10,
OR(ISNUMBER(SEARCH("Data Science",F73)),ISNUMBER(SEARCH("DS",F73))),11,
ISNUMBER(SEARCH("Generative AI",F73)),12
))))</f>
        <v>11</v>
      </c>
      <c r="X73" s="3">
        <v>3</v>
      </c>
      <c r="Y73" s="3">
        <v>18</v>
      </c>
      <c r="Z73" s="3" t="s">
        <v>35</v>
      </c>
    </row>
    <row r="74" spans="1:26" x14ac:dyDescent="0.3">
      <c r="A74" s="2">
        <v>46205</v>
      </c>
      <c r="B74" s="3" t="s">
        <v>45</v>
      </c>
      <c r="C74" s="3">
        <v>4</v>
      </c>
      <c r="D74" s="4">
        <v>0.46875</v>
      </c>
      <c r="E74" s="4">
        <v>0.51041666666666696</v>
      </c>
      <c r="F74" s="3" t="s">
        <v>62</v>
      </c>
      <c r="G74" s="3" t="s">
        <v>56</v>
      </c>
      <c r="H74" s="3" t="s">
        <v>29</v>
      </c>
      <c r="I74" s="3" t="s">
        <v>30</v>
      </c>
      <c r="J74" s="3" t="s">
        <v>31</v>
      </c>
      <c r="K74" s="3" t="s">
        <v>52</v>
      </c>
      <c r="L74" s="5">
        <v>103</v>
      </c>
      <c r="M74" s="5">
        <f t="shared" ca="1" si="5"/>
        <v>42</v>
      </c>
      <c r="N74" s="6">
        <f t="shared" ca="1" si="6"/>
        <v>40.776699029126213</v>
      </c>
      <c r="O74" s="3" cm="1">
        <f t="array" aca="1" ref="O74" ca="1">IFERROR(LOOKUP(2, 1/((F$1:F73=F74)*(J$1:J73=J74)*(ROW(F$1:F73)&lt;ROW(F74))), N$1:N73), "")</f>
        <v>72.815533980582529</v>
      </c>
      <c r="P74" s="3">
        <f t="shared" si="9"/>
        <v>0</v>
      </c>
      <c r="Q74" s="3" t="s">
        <v>33</v>
      </c>
      <c r="R74" s="3" t="s">
        <v>40</v>
      </c>
      <c r="S74" s="3" t="str">
        <f t="shared" si="7"/>
        <v>No</v>
      </c>
      <c r="T74" s="3" t="s">
        <v>40</v>
      </c>
      <c r="U74" s="3" t="str">
        <f t="shared" si="8"/>
        <v>Rainy</v>
      </c>
      <c r="V74" s="3" t="s">
        <v>40</v>
      </c>
      <c r="W74" s="3">
        <v>7</v>
      </c>
      <c r="X74" s="3">
        <v>3</v>
      </c>
      <c r="Y74" s="3">
        <v>18</v>
      </c>
      <c r="Z74" s="3" t="s">
        <v>35</v>
      </c>
    </row>
    <row r="75" spans="1:26" x14ac:dyDescent="0.3">
      <c r="A75" s="2">
        <v>46205</v>
      </c>
      <c r="B75" s="3" t="s">
        <v>45</v>
      </c>
      <c r="C75" s="3">
        <v>5</v>
      </c>
      <c r="D75" s="4">
        <v>0.5625</v>
      </c>
      <c r="E75" s="4">
        <v>0.60416666666666696</v>
      </c>
      <c r="F75" s="3" t="s">
        <v>63</v>
      </c>
      <c r="G75" s="3" t="s">
        <v>64</v>
      </c>
      <c r="H75" s="3" t="s">
        <v>29</v>
      </c>
      <c r="I75" s="3" t="s">
        <v>30</v>
      </c>
      <c r="J75" s="3" t="s">
        <v>31</v>
      </c>
      <c r="K75" s="3" t="s">
        <v>52</v>
      </c>
      <c r="L75" s="5">
        <v>103</v>
      </c>
      <c r="M75" s="5">
        <f t="shared" ca="1" si="5"/>
        <v>65</v>
      </c>
      <c r="N75" s="6">
        <f t="shared" ca="1" si="6"/>
        <v>63.10679611650486</v>
      </c>
      <c r="O75" s="3" cm="1">
        <f t="array" aca="1" ref="O75" ca="1">IFERROR(LOOKUP(2, 1/((F$1:F74=F75)*(J$1:J74=J75)*(ROW(F$1:F74)&lt;ROW(F75))), N$1:N74), "")</f>
        <v>62.135922330097081</v>
      </c>
      <c r="P75" s="3">
        <f t="shared" si="9"/>
        <v>1.25</v>
      </c>
      <c r="Q75" s="3" t="s">
        <v>33</v>
      </c>
      <c r="R75" s="3" t="s">
        <v>40</v>
      </c>
      <c r="S75" s="3" t="str">
        <f t="shared" si="7"/>
        <v>No</v>
      </c>
      <c r="T75" s="3" t="s">
        <v>40</v>
      </c>
      <c r="U75" s="3" t="str">
        <f t="shared" si="8"/>
        <v>Rainy</v>
      </c>
      <c r="V75" s="3" t="s">
        <v>40</v>
      </c>
      <c r="W75" s="3" cm="1">
        <f t="array" ref="W75">_xlfn.IFS(
OR(F75="Selenium (Hands-on)",F75="Guest Lecture: HR Interview"),6,
OR(F75="Soft Skill",F75="Soft Skill (Examination)",F75="AWS Training",F75="AWS Session"),7,
OR(ISNUMBER(SEARCH("MAD",F75)),ISNUMBER(SEARCH("STQA",F75)),F75="CI/CD Session"),8,
OR(ISNUMBER(SEARCH("Cloud",F75)),F75="Industry Readiness Program",ISNUMBER(SEARCH("Talenlio",F75))),9,
OR(ISNUMBER(SEARCH("Innovation",F75)),F75="Mini Project"),10,
OR(ISNUMBER(SEARCH("Data Science",F75)),ISNUMBER(SEARCH("DS",F75))),11,
ISNUMBER(SEARCH("Generative AI",F75)),12
=_xlfn.IFS(
OR(F75="Selenium (Hands-on)",F75="Guest Lecture: HR Interview"),6,
OR(F75="Soft Skill",F75="Soft Skill (Examination)",F75="AWS Training",F75="AWS Session"),7,
OR(ISNUMBER(SEARCH("MAD",F75)),ISNUMBER(SEARCH("STQA",F75)),F75="CI/CD Session"),8,
OR(ISNUMBER(SEARCH("Cloud",F75)),F75="Industry Readiness Program",ISNUMBER(SEARCH("Talenlio",F75))),9,
OR(ISNUMBER(SEARCH("Innovation",F75)),F75="Mini Project"),10,
OR(ISNUMBER(SEARCH("Data Science",F75)),ISNUMBER(SEARCH("DS",F75))),11,
ISNUMBER(SEARCH("Generative AI",F75)),12
=_xlfn.IFS(
OR(F75="Selenium (Hands-on)",F75="Guest Lecture: HR Interview"),6,
OR(F75="Soft Skill",F75="Soft Skill (Examination)",F75="AWS Training",F75="AWS Session"),7,
OR(ISNUMBER(SEARCH("MAD",F75)),ISNUMBER(SEARCH("STQA",F75)),F75="CI/CD Session"),8,
OR(ISNUMBER(SEARCH("Cloud",F75)),F75="Industry Readiness Program",ISNUMBER(SEARCH("Talenlio",F75))),9,
OR(ISNUMBER(SEARCH("Innovation",F75)),F75="Mini Project"),10,
OR(ISNUMBER(SEARCH("Data Science",F75)),ISNUMBER(SEARCH("DS",F75))),11,
ISNUMBER(SEARCH("Generative AI",F75)),12
=_xlfn.IFS(
OR(F75="Selenium (Hands-on)",F75="Guest Lecture: HR Interview"),6,
OR(F75="Soft Skill",F75="Soft Skill (Examination)",F75="AWS Training",F75="AWS Session"),7,
OR(ISNUMBER(SEARCH("MAD",F75)),ISNUMBER(SEARCH("STQA",F75)),F75="CI/CD Session"),8,
OR(ISNUMBER(SEARCH("Cloud",F75)),F75="Industry Readiness Program",ISNUMBER(SEARCH("Talenlio",F75))),9,
OR(ISNUMBER(SEARCH("Innovation",F75)),F75="Mini Project"),10,
OR(ISNUMBER(SEARCH("Data Science",F75)),ISNUMBER(SEARCH("DS",F75))),11,
ISNUMBER(SEARCH("Generative AI",F75)),12
))))</f>
        <v>9</v>
      </c>
      <c r="X75" s="3">
        <v>3</v>
      </c>
      <c r="Y75" s="3">
        <v>18</v>
      </c>
      <c r="Z75" s="3" t="s">
        <v>38</v>
      </c>
    </row>
    <row r="76" spans="1:26" x14ac:dyDescent="0.3">
      <c r="A76" s="2">
        <v>46205</v>
      </c>
      <c r="B76" s="3" t="s">
        <v>45</v>
      </c>
      <c r="C76" s="3">
        <v>6</v>
      </c>
      <c r="D76" s="4">
        <v>0.60416666666666696</v>
      </c>
      <c r="E76" s="4">
        <v>0.64583333333333304</v>
      </c>
      <c r="F76" s="3" t="s">
        <v>63</v>
      </c>
      <c r="G76" s="3" t="s">
        <v>64</v>
      </c>
      <c r="H76" s="3" t="s">
        <v>29</v>
      </c>
      <c r="I76" s="3" t="s">
        <v>30</v>
      </c>
      <c r="J76" s="3" t="s">
        <v>31</v>
      </c>
      <c r="K76" s="3" t="s">
        <v>52</v>
      </c>
      <c r="L76" s="5">
        <v>103</v>
      </c>
      <c r="M76" s="5">
        <f t="shared" ca="1" si="5"/>
        <v>90</v>
      </c>
      <c r="N76" s="6">
        <f t="shared" ca="1" si="6"/>
        <v>87.378640776699029</v>
      </c>
      <c r="O76" s="3" cm="1">
        <f t="array" aca="1" ref="O76" ca="1">IFERROR(LOOKUP(2, 1/((F$1:F75=F76)*(J$1:J75=J76)*(ROW(F$1:F75)&lt;ROW(F76))), N$1:N75), "")</f>
        <v>63.10679611650486</v>
      </c>
      <c r="P76" s="3">
        <f t="shared" si="9"/>
        <v>0</v>
      </c>
      <c r="Q76" s="3" t="s">
        <v>33</v>
      </c>
      <c r="R76" s="3" t="s">
        <v>40</v>
      </c>
      <c r="S76" s="3" t="str">
        <f t="shared" si="7"/>
        <v>No</v>
      </c>
      <c r="T76" s="3" t="s">
        <v>40</v>
      </c>
      <c r="U76" s="3" t="str">
        <f t="shared" si="8"/>
        <v>Rainy</v>
      </c>
      <c r="V76" s="3" t="s">
        <v>40</v>
      </c>
      <c r="W76" s="3" cm="1">
        <f t="array" ref="W76">_xlfn.IFS(
OR(F76="Selenium (Hands-on)",F76="Guest Lecture: HR Interview"),6,
OR(F76="Soft Skill",F76="Soft Skill (Examination)",F76="AWS Training",F76="AWS Session"),7,
OR(ISNUMBER(SEARCH("MAD",F76)),ISNUMBER(SEARCH("STQA",F76)),F76="CI/CD Session"),8,
OR(ISNUMBER(SEARCH("Cloud",F76)),F76="Industry Readiness Program",ISNUMBER(SEARCH("Talenlio",F76))),9,
OR(ISNUMBER(SEARCH("Innovation",F76)),F76="Mini Project"),10,
OR(ISNUMBER(SEARCH("Data Science",F76)),ISNUMBER(SEARCH("DS",F76))),11,
ISNUMBER(SEARCH("Generative AI",F76)),12
=_xlfn.IFS(
OR(F76="Selenium (Hands-on)",F76="Guest Lecture: HR Interview"),6,
OR(F76="Soft Skill",F76="Soft Skill (Examination)",F76="AWS Training",F76="AWS Session"),7,
OR(ISNUMBER(SEARCH("MAD",F76)),ISNUMBER(SEARCH("STQA",F76)),F76="CI/CD Session"),8,
OR(ISNUMBER(SEARCH("Cloud",F76)),F76="Industry Readiness Program",ISNUMBER(SEARCH("Talenlio",F76))),9,
OR(ISNUMBER(SEARCH("Innovation",F76)),F76="Mini Project"),10,
OR(ISNUMBER(SEARCH("Data Science",F76)),ISNUMBER(SEARCH("DS",F76))),11,
ISNUMBER(SEARCH("Generative AI",F76)),12
=_xlfn.IFS(
OR(F76="Selenium (Hands-on)",F76="Guest Lecture: HR Interview"),6,
OR(F76="Soft Skill",F76="Soft Skill (Examination)",F76="AWS Training",F76="AWS Session"),7,
OR(ISNUMBER(SEARCH("MAD",F76)),ISNUMBER(SEARCH("STQA",F76)),F76="CI/CD Session"),8,
OR(ISNUMBER(SEARCH("Cloud",F76)),F76="Industry Readiness Program",ISNUMBER(SEARCH("Talenlio",F76))),9,
OR(ISNUMBER(SEARCH("Innovation",F76)),F76="Mini Project"),10,
OR(ISNUMBER(SEARCH("Data Science",F76)),ISNUMBER(SEARCH("DS",F76))),11,
ISNUMBER(SEARCH("Generative AI",F76)),12
=_xlfn.IFS(
OR(F76="Selenium (Hands-on)",F76="Guest Lecture: HR Interview"),6,
OR(F76="Soft Skill",F76="Soft Skill (Examination)",F76="AWS Training",F76="AWS Session"),7,
OR(ISNUMBER(SEARCH("MAD",F76)),ISNUMBER(SEARCH("STQA",F76)),F76="CI/CD Session"),8,
OR(ISNUMBER(SEARCH("Cloud",F76)),F76="Industry Readiness Program",ISNUMBER(SEARCH("Talenlio",F76))),9,
OR(ISNUMBER(SEARCH("Innovation",F76)),F76="Mini Project"),10,
OR(ISNUMBER(SEARCH("Data Science",F76)),ISNUMBER(SEARCH("DS",F76))),11,
ISNUMBER(SEARCH("Generative AI",F76)),12
))))</f>
        <v>9</v>
      </c>
      <c r="X76" s="3">
        <v>3</v>
      </c>
      <c r="Y76" s="3">
        <v>18</v>
      </c>
      <c r="Z76" s="3" t="s">
        <v>38</v>
      </c>
    </row>
    <row r="77" spans="1:26" x14ac:dyDescent="0.3">
      <c r="A77" s="2">
        <v>46206</v>
      </c>
      <c r="B77" s="3" t="s">
        <v>46</v>
      </c>
      <c r="C77" s="3">
        <v>1</v>
      </c>
      <c r="D77" s="4">
        <v>0.35416666666666702</v>
      </c>
      <c r="E77" s="4">
        <v>0.38541666666666702</v>
      </c>
      <c r="F77" s="3" t="s">
        <v>50</v>
      </c>
      <c r="G77" s="3" t="s">
        <v>51</v>
      </c>
      <c r="H77" s="3" t="s">
        <v>29</v>
      </c>
      <c r="I77" s="3" t="s">
        <v>30</v>
      </c>
      <c r="J77" s="3" t="s">
        <v>31</v>
      </c>
      <c r="K77" s="3" t="s">
        <v>52</v>
      </c>
      <c r="L77" s="5">
        <v>103</v>
      </c>
      <c r="M77" s="5">
        <f t="shared" ca="1" si="5"/>
        <v>58</v>
      </c>
      <c r="N77" s="6">
        <f t="shared" ca="1" si="6"/>
        <v>56.310679611650485</v>
      </c>
      <c r="O77" s="3" cm="1">
        <f t="array" aca="1" ref="O77" ca="1">IFERROR(LOOKUP(2, 1/((F$1:F76=F77)*(J$1:J76=J77)*(ROW(F$1:F76)&lt;ROW(F77))), N$1:N76), "")</f>
        <v>58.252427184466015</v>
      </c>
      <c r="P77" s="3">
        <f t="shared" si="9"/>
        <v>0</v>
      </c>
      <c r="Q77" s="3" t="s">
        <v>43</v>
      </c>
      <c r="R77" s="3" t="s">
        <v>40</v>
      </c>
      <c r="S77" s="3" t="str">
        <f t="shared" si="7"/>
        <v>Yes</v>
      </c>
      <c r="T77" s="3" t="s">
        <v>40</v>
      </c>
      <c r="U77" s="3" t="str">
        <f t="shared" si="8"/>
        <v>Rainy</v>
      </c>
      <c r="V77" s="3" t="s">
        <v>40</v>
      </c>
      <c r="W77" s="3" cm="1">
        <f t="array" ref="W77">_xlfn.IFS(
OR(F77="Selenium (Hands-on)",F77="Guest Lecture: HR Interview"),6,
OR(F77="Soft Skill",F77="Soft Skill (Examination)",F77="AWS Training",F77="AWS Session"),7,
OR(ISNUMBER(SEARCH("MAD",F77)),ISNUMBER(SEARCH("STQA",F77)),F77="CI/CD Session"),8,
OR(ISNUMBER(SEARCH("Cloud",F77)),F77="Industry Readiness Program",ISNUMBER(SEARCH("Talenlio",F77))),9,
OR(ISNUMBER(SEARCH("Innovation",F77)),F77="Mini Project"),10,
OR(ISNUMBER(SEARCH("Data Science",F77)),ISNUMBER(SEARCH("DS",F77))),11,
ISNUMBER(SEARCH("Generative AI",F77)),12
=_xlfn.IFS(
OR(F77="Selenium (Hands-on)",F77="Guest Lecture: HR Interview"),6,
OR(F77="Soft Skill",F77="Soft Skill (Examination)",F77="AWS Training",F77="AWS Session"),7,
OR(ISNUMBER(SEARCH("MAD",F77)),ISNUMBER(SEARCH("STQA",F77)),F77="CI/CD Session"),8,
OR(ISNUMBER(SEARCH("Cloud",F77)),F77="Industry Readiness Program",ISNUMBER(SEARCH("Talenlio",F77))),9,
OR(ISNUMBER(SEARCH("Innovation",F77)),F77="Mini Project"),10,
OR(ISNUMBER(SEARCH("Data Science",F77)),ISNUMBER(SEARCH("DS",F77))),11,
ISNUMBER(SEARCH("Generative AI",F77)),12
=_xlfn.IFS(
OR(F77="Selenium (Hands-on)",F77="Guest Lecture: HR Interview"),6,
OR(F77="Soft Skill",F77="Soft Skill (Examination)",F77="AWS Training",F77="AWS Session"),7,
OR(ISNUMBER(SEARCH("MAD",F77)),ISNUMBER(SEARCH("STQA",F77)),F77="CI/CD Session"),8,
OR(ISNUMBER(SEARCH("Cloud",F77)),F77="Industry Readiness Program",ISNUMBER(SEARCH("Talenlio",F77))),9,
OR(ISNUMBER(SEARCH("Innovation",F77)),F77="Mini Project"),10,
OR(ISNUMBER(SEARCH("Data Science",F77)),ISNUMBER(SEARCH("DS",F77))),11,
ISNUMBER(SEARCH("Generative AI",F77)),12
=_xlfn.IFS(
OR(F77="Selenium (Hands-on)",F77="Guest Lecture: HR Interview"),6,
OR(F77="Soft Skill",F77="Soft Skill (Examination)",F77="AWS Training",F77="AWS Session"),7,
OR(ISNUMBER(SEARCH("MAD",F77)),ISNUMBER(SEARCH("STQA",F77)),F77="CI/CD Session"),8,
OR(ISNUMBER(SEARCH("Cloud",F77)),F77="Industry Readiness Program",ISNUMBER(SEARCH("Talenlio",F77))),9,
OR(ISNUMBER(SEARCH("Innovation",F77)),F77="Mini Project"),10,
OR(ISNUMBER(SEARCH("Data Science",F77)),ISNUMBER(SEARCH("DS",F77))),11,
ISNUMBER(SEARCH("Generative AI",F77)),12
))))</f>
        <v>8</v>
      </c>
      <c r="X77" s="3">
        <v>3</v>
      </c>
      <c r="Y77" s="3">
        <v>19</v>
      </c>
      <c r="Z77" s="3" t="s">
        <v>35</v>
      </c>
    </row>
    <row r="78" spans="1:26" x14ac:dyDescent="0.3">
      <c r="A78" s="2">
        <v>46206</v>
      </c>
      <c r="B78" s="3" t="s">
        <v>46</v>
      </c>
      <c r="C78" s="3">
        <v>2</v>
      </c>
      <c r="D78" s="4">
        <v>0.38541666666666702</v>
      </c>
      <c r="E78" s="4">
        <v>0.42708333333333298</v>
      </c>
      <c r="F78" s="3" t="s">
        <v>50</v>
      </c>
      <c r="G78" s="3" t="s">
        <v>51</v>
      </c>
      <c r="H78" s="3" t="s">
        <v>29</v>
      </c>
      <c r="I78" s="3" t="s">
        <v>30</v>
      </c>
      <c r="J78" s="3" t="s">
        <v>31</v>
      </c>
      <c r="K78" s="3" t="s">
        <v>52</v>
      </c>
      <c r="L78" s="5">
        <v>103</v>
      </c>
      <c r="M78" s="5">
        <f t="shared" ca="1" si="5"/>
        <v>43</v>
      </c>
      <c r="N78" s="6">
        <f t="shared" ca="1" si="6"/>
        <v>41.747572815533978</v>
      </c>
      <c r="O78" s="3" cm="1">
        <f t="array" aca="1" ref="O78" ca="1">IFERROR(LOOKUP(2, 1/((F$1:F77=F78)*(J$1:J77=J78)*(ROW(F$1:F77)&lt;ROW(F78))), N$1:N77), "")</f>
        <v>56.310679611650485</v>
      </c>
      <c r="P78" s="3">
        <f t="shared" si="9"/>
        <v>0</v>
      </c>
      <c r="Q78" s="3" t="s">
        <v>43</v>
      </c>
      <c r="R78" s="3" t="s">
        <v>40</v>
      </c>
      <c r="S78" s="3" t="str">
        <f t="shared" si="7"/>
        <v>Yes</v>
      </c>
      <c r="T78" s="3" t="s">
        <v>40</v>
      </c>
      <c r="U78" s="3" t="str">
        <f t="shared" si="8"/>
        <v>Rainy</v>
      </c>
      <c r="V78" s="3" t="s">
        <v>40</v>
      </c>
      <c r="W78" s="3" cm="1">
        <f t="array" ref="W78">_xlfn.IFS(
OR(F78="Selenium (Hands-on)",F78="Guest Lecture: HR Interview"),6,
OR(F78="Soft Skill",F78="Soft Skill (Examination)",F78="AWS Training",F78="AWS Session"),7,
OR(ISNUMBER(SEARCH("MAD",F78)),ISNUMBER(SEARCH("STQA",F78)),F78="CI/CD Session"),8,
OR(ISNUMBER(SEARCH("Cloud",F78)),F78="Industry Readiness Program",ISNUMBER(SEARCH("Talenlio",F78))),9,
OR(ISNUMBER(SEARCH("Innovation",F78)),F78="Mini Project"),10,
OR(ISNUMBER(SEARCH("Data Science",F78)),ISNUMBER(SEARCH("DS",F78))),11,
ISNUMBER(SEARCH("Generative AI",F78)),12
=_xlfn.IFS(
OR(F78="Selenium (Hands-on)",F78="Guest Lecture: HR Interview"),6,
OR(F78="Soft Skill",F78="Soft Skill (Examination)",F78="AWS Training",F78="AWS Session"),7,
OR(ISNUMBER(SEARCH("MAD",F78)),ISNUMBER(SEARCH("STQA",F78)),F78="CI/CD Session"),8,
OR(ISNUMBER(SEARCH("Cloud",F78)),F78="Industry Readiness Program",ISNUMBER(SEARCH("Talenlio",F78))),9,
OR(ISNUMBER(SEARCH("Innovation",F78)),F78="Mini Project"),10,
OR(ISNUMBER(SEARCH("Data Science",F78)),ISNUMBER(SEARCH("DS",F78))),11,
ISNUMBER(SEARCH("Generative AI",F78)),12
=_xlfn.IFS(
OR(F78="Selenium (Hands-on)",F78="Guest Lecture: HR Interview"),6,
OR(F78="Soft Skill",F78="Soft Skill (Examination)",F78="AWS Training",F78="AWS Session"),7,
OR(ISNUMBER(SEARCH("MAD",F78)),ISNUMBER(SEARCH("STQA",F78)),F78="CI/CD Session"),8,
OR(ISNUMBER(SEARCH("Cloud",F78)),F78="Industry Readiness Program",ISNUMBER(SEARCH("Talenlio",F78))),9,
OR(ISNUMBER(SEARCH("Innovation",F78)),F78="Mini Project"),10,
OR(ISNUMBER(SEARCH("Data Science",F78)),ISNUMBER(SEARCH("DS",F78))),11,
ISNUMBER(SEARCH("Generative AI",F78)),12
=_xlfn.IFS(
OR(F78="Selenium (Hands-on)",F78="Guest Lecture: HR Interview"),6,
OR(F78="Soft Skill",F78="Soft Skill (Examination)",F78="AWS Training",F78="AWS Session"),7,
OR(ISNUMBER(SEARCH("MAD",F78)),ISNUMBER(SEARCH("STQA",F78)),F78="CI/CD Session"),8,
OR(ISNUMBER(SEARCH("Cloud",F78)),F78="Industry Readiness Program",ISNUMBER(SEARCH("Talenlio",F78))),9,
OR(ISNUMBER(SEARCH("Innovation",F78)),F78="Mini Project"),10,
OR(ISNUMBER(SEARCH("Data Science",F78)),ISNUMBER(SEARCH("DS",F78))),11,
ISNUMBER(SEARCH("Generative AI",F78)),12
))))</f>
        <v>8</v>
      </c>
      <c r="X78" s="3">
        <v>3</v>
      </c>
      <c r="Y78" s="3">
        <v>19</v>
      </c>
      <c r="Z78" s="3" t="s">
        <v>35</v>
      </c>
    </row>
    <row r="79" spans="1:26" x14ac:dyDescent="0.3">
      <c r="A79" s="2">
        <v>46206</v>
      </c>
      <c r="B79" s="3" t="s">
        <v>46</v>
      </c>
      <c r="C79" s="3">
        <v>3</v>
      </c>
      <c r="D79" s="4">
        <v>0.42708333333333298</v>
      </c>
      <c r="E79" s="4">
        <v>0.46875</v>
      </c>
      <c r="F79" s="3" t="s">
        <v>59</v>
      </c>
      <c r="G79" s="3" t="s">
        <v>60</v>
      </c>
      <c r="H79" s="3" t="s">
        <v>29</v>
      </c>
      <c r="I79" s="3" t="s">
        <v>30</v>
      </c>
      <c r="J79" s="3" t="s">
        <v>31</v>
      </c>
      <c r="K79" s="3" t="s">
        <v>52</v>
      </c>
      <c r="L79" s="5">
        <v>103</v>
      </c>
      <c r="M79" s="5">
        <f t="shared" ca="1" si="5"/>
        <v>44</v>
      </c>
      <c r="N79" s="6">
        <f t="shared" ca="1" si="6"/>
        <v>42.718446601941743</v>
      </c>
      <c r="O79" s="3" cm="1">
        <f t="array" aca="1" ref="O79" ca="1">IFERROR(LOOKUP(2, 1/((F$1:F78=F79)*(J$1:J78=J79)*(ROW(F$1:F78)&lt;ROW(F79))), N$1:N78), "")</f>
        <v>56.310679611650485</v>
      </c>
      <c r="P79" s="3">
        <f t="shared" si="9"/>
        <v>0</v>
      </c>
      <c r="Q79" s="3" t="s">
        <v>33</v>
      </c>
      <c r="R79" s="3" t="s">
        <v>40</v>
      </c>
      <c r="S79" s="3" t="str">
        <f t="shared" si="7"/>
        <v>Yes</v>
      </c>
      <c r="T79" s="3" t="s">
        <v>40</v>
      </c>
      <c r="U79" s="3" t="str">
        <f t="shared" si="8"/>
        <v>Rainy</v>
      </c>
      <c r="V79" s="3" t="s">
        <v>40</v>
      </c>
      <c r="W79" s="3" cm="1">
        <f t="array" ref="W79">_xlfn.IFS(
OR(F79="Selenium (Hands-on)",F79="Guest Lecture: HR Interview"),6,
OR(F79="Soft Skill",F79="Soft Skill (Examination)",F79="AWS Training",F79="AWS Session"),7,
OR(ISNUMBER(SEARCH("MAD",F79)),ISNUMBER(SEARCH("STQA",F79)),F79="CI/CD Session"),8,
OR(ISNUMBER(SEARCH("Cloud",F79)),F79="Industry Readiness Program",ISNUMBER(SEARCH("Talenlio",F79))),9,
OR(ISNUMBER(SEARCH("Innovation",F79)),F79="Mini Project"),10,
OR(ISNUMBER(SEARCH("Data Science",F79)),ISNUMBER(SEARCH("DS",F79))),11,
ISNUMBER(SEARCH("Generative AI",F79)),12
=_xlfn.IFS(
OR(F79="Selenium (Hands-on)",F79="Guest Lecture: HR Interview"),6,
OR(F79="Soft Skill",F79="Soft Skill (Examination)",F79="AWS Training",F79="AWS Session"),7,
OR(ISNUMBER(SEARCH("MAD",F79)),ISNUMBER(SEARCH("STQA",F79)),F79="CI/CD Session"),8,
OR(ISNUMBER(SEARCH("Cloud",F79)),F79="Industry Readiness Program",ISNUMBER(SEARCH("Talenlio",F79))),9,
OR(ISNUMBER(SEARCH("Innovation",F79)),F79="Mini Project"),10,
OR(ISNUMBER(SEARCH("Data Science",F79)),ISNUMBER(SEARCH("DS",F79))),11,
ISNUMBER(SEARCH("Generative AI",F79)),12
=_xlfn.IFS(
OR(F79="Selenium (Hands-on)",F79="Guest Lecture: HR Interview"),6,
OR(F79="Soft Skill",F79="Soft Skill (Examination)",F79="AWS Training",F79="AWS Session"),7,
OR(ISNUMBER(SEARCH("MAD",F79)),ISNUMBER(SEARCH("STQA",F79)),F79="CI/CD Session"),8,
OR(ISNUMBER(SEARCH("Cloud",F79)),F79="Industry Readiness Program",ISNUMBER(SEARCH("Talenlio",F79))),9,
OR(ISNUMBER(SEARCH("Innovation",F79)),F79="Mini Project"),10,
OR(ISNUMBER(SEARCH("Data Science",F79)),ISNUMBER(SEARCH("DS",F79))),11,
ISNUMBER(SEARCH("Generative AI",F79)),12
=_xlfn.IFS(
OR(F79="Selenium (Hands-on)",F79="Guest Lecture: HR Interview"),6,
OR(F79="Soft Skill",F79="Soft Skill (Examination)",F79="AWS Training",F79="AWS Session"),7,
OR(ISNUMBER(SEARCH("MAD",F79)),ISNUMBER(SEARCH("STQA",F79)),F79="CI/CD Session"),8,
OR(ISNUMBER(SEARCH("Cloud",F79)),F79="Industry Readiness Program",ISNUMBER(SEARCH("Talenlio",F79))),9,
OR(ISNUMBER(SEARCH("Innovation",F79)),F79="Mini Project"),10,
OR(ISNUMBER(SEARCH("Data Science",F79)),ISNUMBER(SEARCH("DS",F79))),11,
ISNUMBER(SEARCH("Generative AI",F79)),12
))))</f>
        <v>11</v>
      </c>
      <c r="X79" s="3">
        <v>3</v>
      </c>
      <c r="Y79" s="3">
        <v>19</v>
      </c>
      <c r="Z79" s="3" t="s">
        <v>35</v>
      </c>
    </row>
    <row r="80" spans="1:26" x14ac:dyDescent="0.3">
      <c r="A80" s="2">
        <v>46206</v>
      </c>
      <c r="B80" s="3" t="s">
        <v>46</v>
      </c>
      <c r="C80" s="3">
        <v>4</v>
      </c>
      <c r="D80" s="4">
        <v>0.46875</v>
      </c>
      <c r="E80" s="4">
        <v>0.51041666666666696</v>
      </c>
      <c r="F80" s="3" t="s">
        <v>57</v>
      </c>
      <c r="G80" s="3" t="s">
        <v>58</v>
      </c>
      <c r="H80" s="3" t="s">
        <v>29</v>
      </c>
      <c r="I80" s="3" t="s">
        <v>30</v>
      </c>
      <c r="J80" s="3" t="s">
        <v>31</v>
      </c>
      <c r="K80" s="3" t="s">
        <v>52</v>
      </c>
      <c r="L80" s="5">
        <v>103</v>
      </c>
      <c r="M80" s="5">
        <f t="shared" ca="1" si="5"/>
        <v>89</v>
      </c>
      <c r="N80" s="6">
        <f t="shared" ca="1" si="6"/>
        <v>86.40776699029125</v>
      </c>
      <c r="O80" s="3" cm="1">
        <f t="array" aca="1" ref="O80" ca="1">IFERROR(LOOKUP(2, 1/((F$1:F79=F80)*(J$1:J79=J80)*(ROW(F$1:F79)&lt;ROW(F80))), N$1:N79), "")</f>
        <v>64.077669902912632</v>
      </c>
      <c r="P80" s="3">
        <f t="shared" si="9"/>
        <v>0</v>
      </c>
      <c r="Q80" s="3" t="s">
        <v>33</v>
      </c>
      <c r="R80" s="3" t="s">
        <v>40</v>
      </c>
      <c r="S80" s="3" t="str">
        <f t="shared" si="7"/>
        <v>Yes</v>
      </c>
      <c r="T80" s="3" t="s">
        <v>40</v>
      </c>
      <c r="U80" s="3" t="str">
        <f t="shared" si="8"/>
        <v>Rainy</v>
      </c>
      <c r="V80" s="3" t="s">
        <v>40</v>
      </c>
      <c r="W80" s="3" cm="1">
        <f t="array" ref="W80">_xlfn.IFS(
OR(F80="Selenium (Hands-on)",F80="Guest Lecture: HR Interview"),6,
OR(F80="Soft Skill",F80="Soft Skill (Examination)",F80="AWS Training",F80="AWS Session"),7,
OR(ISNUMBER(SEARCH("MAD",F80)),ISNUMBER(SEARCH("STQA",F80)),F80="CI/CD Session"),8,
OR(ISNUMBER(SEARCH("Cloud",F80)),F80="Industry Readiness Program",ISNUMBER(SEARCH("Talenlio",F80))),9,
OR(ISNUMBER(SEARCH("Innovation",F80)),F80="Mini Project"),10,
OR(ISNUMBER(SEARCH("Data Science",F80)),ISNUMBER(SEARCH("DS",F80))),11,
ISNUMBER(SEARCH("Generative AI",F80)),12
=_xlfn.IFS(
OR(F80="Selenium (Hands-on)",F80="Guest Lecture: HR Interview"),6,
OR(F80="Soft Skill",F80="Soft Skill (Examination)",F80="AWS Training",F80="AWS Session"),7,
OR(ISNUMBER(SEARCH("MAD",F80)),ISNUMBER(SEARCH("STQA",F80)),F80="CI/CD Session"),8,
OR(ISNUMBER(SEARCH("Cloud",F80)),F80="Industry Readiness Program",ISNUMBER(SEARCH("Talenlio",F80))),9,
OR(ISNUMBER(SEARCH("Innovation",F80)),F80="Mini Project"),10,
OR(ISNUMBER(SEARCH("Data Science",F80)),ISNUMBER(SEARCH("DS",F80))),11,
ISNUMBER(SEARCH("Generative AI",F80)),12
=_xlfn.IFS(
OR(F80="Selenium (Hands-on)",F80="Guest Lecture: HR Interview"),6,
OR(F80="Soft Skill",F80="Soft Skill (Examination)",F80="AWS Training",F80="AWS Session"),7,
OR(ISNUMBER(SEARCH("MAD",F80)),ISNUMBER(SEARCH("STQA",F80)),F80="CI/CD Session"),8,
OR(ISNUMBER(SEARCH("Cloud",F80)),F80="Industry Readiness Program",ISNUMBER(SEARCH("Talenlio",F80))),9,
OR(ISNUMBER(SEARCH("Innovation",F80)),F80="Mini Project"),10,
OR(ISNUMBER(SEARCH("Data Science",F80)),ISNUMBER(SEARCH("DS",F80))),11,
ISNUMBER(SEARCH("Generative AI",F80)),12
=_xlfn.IFS(
OR(F80="Selenium (Hands-on)",F80="Guest Lecture: HR Interview"),6,
OR(F80="Soft Skill",F80="Soft Skill (Examination)",F80="AWS Training",F80="AWS Session"),7,
OR(ISNUMBER(SEARCH("MAD",F80)),ISNUMBER(SEARCH("STQA",F80)),F80="CI/CD Session"),8,
OR(ISNUMBER(SEARCH("Cloud",F80)),F80="Industry Readiness Program",ISNUMBER(SEARCH("Talenlio",F80))),9,
OR(ISNUMBER(SEARCH("Innovation",F80)),F80="Mini Project"),10,
OR(ISNUMBER(SEARCH("Data Science",F80)),ISNUMBER(SEARCH("DS",F80))),11,
ISNUMBER(SEARCH("Generative AI",F80)),12
))))</f>
        <v>9</v>
      </c>
      <c r="X80" s="3">
        <v>3</v>
      </c>
      <c r="Y80" s="3">
        <v>19</v>
      </c>
      <c r="Z80" s="3" t="s">
        <v>35</v>
      </c>
    </row>
    <row r="81" spans="1:26" x14ac:dyDescent="0.3">
      <c r="A81" s="2">
        <v>46206</v>
      </c>
      <c r="B81" s="3" t="s">
        <v>46</v>
      </c>
      <c r="C81" s="3">
        <v>5</v>
      </c>
      <c r="D81" s="4">
        <v>0.5625</v>
      </c>
      <c r="E81" s="4">
        <v>0.60416666666666696</v>
      </c>
      <c r="F81" s="3" t="s">
        <v>62</v>
      </c>
      <c r="G81" s="3" t="s">
        <v>56</v>
      </c>
      <c r="H81" s="3" t="s">
        <v>29</v>
      </c>
      <c r="I81" s="3" t="s">
        <v>30</v>
      </c>
      <c r="J81" s="3" t="s">
        <v>31</v>
      </c>
      <c r="K81" s="3" t="s">
        <v>52</v>
      </c>
      <c r="L81" s="5">
        <v>103</v>
      </c>
      <c r="M81" s="5">
        <f t="shared" ca="1" si="5"/>
        <v>82</v>
      </c>
      <c r="N81" s="6">
        <f t="shared" ca="1" si="6"/>
        <v>79.611650485436897</v>
      </c>
      <c r="O81" s="3" cm="1">
        <f t="array" aca="1" ref="O81" ca="1">IFERROR(LOOKUP(2, 1/((F$1:F80=F81)*(J$1:J80=J81)*(ROW(F$1:F80)&lt;ROW(F81))), N$1:N80), "")</f>
        <v>40.776699029126213</v>
      </c>
      <c r="P81" s="3">
        <f t="shared" si="9"/>
        <v>1.25</v>
      </c>
      <c r="Q81" s="3" t="s">
        <v>33</v>
      </c>
      <c r="R81" s="3" t="s">
        <v>40</v>
      </c>
      <c r="S81" s="3" t="str">
        <f t="shared" si="7"/>
        <v>Yes</v>
      </c>
      <c r="T81" s="3" t="s">
        <v>40</v>
      </c>
      <c r="U81" s="3" t="str">
        <f t="shared" si="8"/>
        <v>Rainy</v>
      </c>
      <c r="V81" s="3" t="s">
        <v>40</v>
      </c>
      <c r="W81" s="3">
        <v>7</v>
      </c>
      <c r="X81" s="3">
        <v>3</v>
      </c>
      <c r="Y81" s="3">
        <v>19</v>
      </c>
      <c r="Z81" s="3" t="s">
        <v>38</v>
      </c>
    </row>
    <row r="82" spans="1:26" x14ac:dyDescent="0.3">
      <c r="A82" s="2">
        <v>46206</v>
      </c>
      <c r="B82" s="3" t="s">
        <v>46</v>
      </c>
      <c r="C82" s="3">
        <v>6</v>
      </c>
      <c r="D82" s="4">
        <v>0.60416666666666696</v>
      </c>
      <c r="E82" s="4">
        <v>0.64583333333333304</v>
      </c>
      <c r="F82" s="3" t="s">
        <v>62</v>
      </c>
      <c r="G82" s="3" t="s">
        <v>56</v>
      </c>
      <c r="H82" s="3" t="s">
        <v>29</v>
      </c>
      <c r="I82" s="3" t="s">
        <v>30</v>
      </c>
      <c r="J82" s="3" t="s">
        <v>31</v>
      </c>
      <c r="K82" s="3" t="s">
        <v>52</v>
      </c>
      <c r="L82" s="5">
        <v>103</v>
      </c>
      <c r="M82" s="5">
        <f t="shared" ca="1" si="5"/>
        <v>65</v>
      </c>
      <c r="N82" s="6">
        <f t="shared" ca="1" si="6"/>
        <v>63.10679611650486</v>
      </c>
      <c r="O82" s="3" cm="1">
        <f t="array" aca="1" ref="O82" ca="1">IFERROR(LOOKUP(2, 1/((F$1:F81=F82)*(J$1:J81=J82)*(ROW(F$1:F81)&lt;ROW(F82))), N$1:N81), "")</f>
        <v>79.611650485436897</v>
      </c>
      <c r="P82" s="3">
        <f t="shared" si="9"/>
        <v>0</v>
      </c>
      <c r="Q82" s="3" t="s">
        <v>33</v>
      </c>
      <c r="R82" s="3" t="s">
        <v>40</v>
      </c>
      <c r="S82" s="3" t="str">
        <f t="shared" si="7"/>
        <v>Yes</v>
      </c>
      <c r="T82" s="3" t="s">
        <v>40</v>
      </c>
      <c r="U82" s="3" t="str">
        <f t="shared" si="8"/>
        <v>Rainy</v>
      </c>
      <c r="V82" s="3" t="s">
        <v>40</v>
      </c>
      <c r="W82" s="3">
        <v>7</v>
      </c>
      <c r="X82" s="3">
        <v>3</v>
      </c>
      <c r="Y82" s="3">
        <v>19</v>
      </c>
      <c r="Z82" s="3" t="s">
        <v>38</v>
      </c>
    </row>
    <row r="83" spans="1:26" x14ac:dyDescent="0.3">
      <c r="A83" s="2">
        <v>46207</v>
      </c>
      <c r="B83" s="3" t="s">
        <v>47</v>
      </c>
      <c r="C83" s="3">
        <v>1</v>
      </c>
      <c r="D83" s="4">
        <v>0.35416666666666702</v>
      </c>
      <c r="E83" s="4">
        <v>0.38541666666666702</v>
      </c>
      <c r="F83" s="3" t="s">
        <v>65</v>
      </c>
      <c r="G83" s="3" t="s">
        <v>51</v>
      </c>
      <c r="H83" s="3" t="s">
        <v>29</v>
      </c>
      <c r="I83" s="3" t="s">
        <v>30</v>
      </c>
      <c r="J83" s="3" t="s">
        <v>31</v>
      </c>
      <c r="K83" s="3" t="s">
        <v>52</v>
      </c>
      <c r="L83" s="5">
        <v>103</v>
      </c>
      <c r="M83" s="5">
        <f t="shared" ca="1" si="5"/>
        <v>97</v>
      </c>
      <c r="N83" s="6">
        <f t="shared" ca="1" si="6"/>
        <v>94.174757281553397</v>
      </c>
      <c r="O83" s="3" cm="1">
        <f t="array" aca="1" ref="O83" ca="1">IFERROR(LOOKUP(2, 1/((F$1:F82=F83)*(J$1:J82=J83)*(ROW(F$1:F82)&lt;ROW(F83))), N$1:N82), "")</f>
        <v>100</v>
      </c>
      <c r="P83" s="3">
        <f t="shared" si="9"/>
        <v>0</v>
      </c>
      <c r="Q83" s="3" t="s">
        <v>43</v>
      </c>
      <c r="R83" s="3" t="s">
        <v>40</v>
      </c>
      <c r="S83" s="3" t="str">
        <f t="shared" si="7"/>
        <v>No</v>
      </c>
      <c r="T83" s="3" t="s">
        <v>34</v>
      </c>
      <c r="U83" s="3" t="str">
        <f t="shared" si="8"/>
        <v>Rainy</v>
      </c>
      <c r="V83" s="3" t="s">
        <v>40</v>
      </c>
      <c r="W83" s="3" cm="1">
        <f t="array" ref="W83">_xlfn.IFS(
OR(F83="Selenium (Hands-on)",F83="Guest Lecture: HR Interview"),6,
OR(F83="Soft Skill",F83="Soft Skill (Examination)",F83="AWS Training",F83="AWS Session"),7,
OR(ISNUMBER(SEARCH("MAD",F83)),ISNUMBER(SEARCH("STQA",F83)),F83="CI/CD Session"),8,
OR(ISNUMBER(SEARCH("Cloud",F83)),F83="Industry Readiness Program",ISNUMBER(SEARCH("Talenlio",F83))),9,
OR(ISNUMBER(SEARCH("Innovation",F83)),F83="Mini Project"),10,
OR(ISNUMBER(SEARCH("Data Science",F83)),ISNUMBER(SEARCH("DS",F83))),11,
ISNUMBER(SEARCH("Generative AI",F83)),12
=_xlfn.IFS(
OR(F83="Selenium (Hands-on)",F83="Guest Lecture: HR Interview"),6,
OR(F83="Soft Skill",F83="Soft Skill (Examination)",F83="AWS Training",F83="AWS Session"),7,
OR(ISNUMBER(SEARCH("MAD",F83)),ISNUMBER(SEARCH("STQA",F83)),F83="CI/CD Session"),8,
OR(ISNUMBER(SEARCH("Cloud",F83)),F83="Industry Readiness Program",ISNUMBER(SEARCH("Talenlio",F83))),9,
OR(ISNUMBER(SEARCH("Innovation",F83)),F83="Mini Project"),10,
OR(ISNUMBER(SEARCH("Data Science",F83)),ISNUMBER(SEARCH("DS",F83))),11,
ISNUMBER(SEARCH("Generative AI",F83)),12
=_xlfn.IFS(
OR(F83="Selenium (Hands-on)",F83="Guest Lecture: HR Interview"),6,
OR(F83="Soft Skill",F83="Soft Skill (Examination)",F83="AWS Training",F83="AWS Session"),7,
OR(ISNUMBER(SEARCH("MAD",F83)),ISNUMBER(SEARCH("STQA",F83)),F83="CI/CD Session"),8,
OR(ISNUMBER(SEARCH("Cloud",F83)),F83="Industry Readiness Program",ISNUMBER(SEARCH("Talenlio",F83))),9,
OR(ISNUMBER(SEARCH("Innovation",F83)),F83="Mini Project"),10,
OR(ISNUMBER(SEARCH("Data Science",F83)),ISNUMBER(SEARCH("DS",F83))),11,
ISNUMBER(SEARCH("Generative AI",F83)),12
=_xlfn.IFS(
OR(F83="Selenium (Hands-on)",F83="Guest Lecture: HR Interview"),6,
OR(F83="Soft Skill",F83="Soft Skill (Examination)",F83="AWS Training",F83="AWS Session"),7,
OR(ISNUMBER(SEARCH("MAD",F83)),ISNUMBER(SEARCH("STQA",F83)),F83="CI/CD Session"),8,
OR(ISNUMBER(SEARCH("Cloud",F83)),F83="Industry Readiness Program",ISNUMBER(SEARCH("Talenlio",F83))),9,
OR(ISNUMBER(SEARCH("Innovation",F83)),F83="Mini Project"),10,
OR(ISNUMBER(SEARCH("Data Science",F83)),ISNUMBER(SEARCH("DS",F83))),11,
ISNUMBER(SEARCH("Generative AI",F83)),12
))))</f>
        <v>8</v>
      </c>
      <c r="X83" s="3">
        <v>3</v>
      </c>
      <c r="Y83" s="3">
        <v>20</v>
      </c>
      <c r="Z83" s="3" t="s">
        <v>35</v>
      </c>
    </row>
    <row r="84" spans="1:26" x14ac:dyDescent="0.3">
      <c r="A84" s="2">
        <v>46207</v>
      </c>
      <c r="B84" s="3" t="s">
        <v>47</v>
      </c>
      <c r="C84" s="3">
        <v>2</v>
      </c>
      <c r="D84" s="4">
        <v>0.38541666666666702</v>
      </c>
      <c r="E84" s="4">
        <v>0.42708333333333298</v>
      </c>
      <c r="F84" s="3" t="s">
        <v>65</v>
      </c>
      <c r="G84" s="3" t="s">
        <v>51</v>
      </c>
      <c r="H84" s="3" t="s">
        <v>29</v>
      </c>
      <c r="I84" s="3" t="s">
        <v>30</v>
      </c>
      <c r="J84" s="3" t="s">
        <v>31</v>
      </c>
      <c r="K84" s="3" t="s">
        <v>52</v>
      </c>
      <c r="L84" s="5">
        <v>103</v>
      </c>
      <c r="M84" s="5">
        <f t="shared" ca="1" si="5"/>
        <v>94</v>
      </c>
      <c r="N84" s="6">
        <f t="shared" ca="1" si="6"/>
        <v>91.262135922330103</v>
      </c>
      <c r="O84" s="3" cm="1">
        <f t="array" aca="1" ref="O84" ca="1">IFERROR(LOOKUP(2, 1/((F$1:F83=F84)*(J$1:J83=J84)*(ROW(F$1:F83)&lt;ROW(F84))), N$1:N83), "")</f>
        <v>94.174757281553397</v>
      </c>
      <c r="P84" s="3">
        <f t="shared" si="9"/>
        <v>0</v>
      </c>
      <c r="Q84" s="3" t="s">
        <v>43</v>
      </c>
      <c r="R84" s="3" t="s">
        <v>40</v>
      </c>
      <c r="S84" s="3" t="str">
        <f t="shared" si="7"/>
        <v>No</v>
      </c>
      <c r="T84" s="3" t="s">
        <v>34</v>
      </c>
      <c r="U84" s="3" t="str">
        <f t="shared" si="8"/>
        <v>Rainy</v>
      </c>
      <c r="V84" s="3" t="s">
        <v>40</v>
      </c>
      <c r="W84" s="3" cm="1">
        <f t="array" ref="W84">_xlfn.IFS(
OR(F84="Selenium (Hands-on)",F84="Guest Lecture: HR Interview"),6,
OR(F84="Soft Skill",F84="Soft Skill (Examination)",F84="AWS Training",F84="AWS Session"),7,
OR(ISNUMBER(SEARCH("MAD",F84)),ISNUMBER(SEARCH("STQA",F84)),F84="CI/CD Session"),8,
OR(ISNUMBER(SEARCH("Cloud",F84)),F84="Industry Readiness Program",ISNUMBER(SEARCH("Talenlio",F84))),9,
OR(ISNUMBER(SEARCH("Innovation",F84)),F84="Mini Project"),10,
OR(ISNUMBER(SEARCH("Data Science",F84)),ISNUMBER(SEARCH("DS",F84))),11,
ISNUMBER(SEARCH("Generative AI",F84)),12
=_xlfn.IFS(
OR(F84="Selenium (Hands-on)",F84="Guest Lecture: HR Interview"),6,
OR(F84="Soft Skill",F84="Soft Skill (Examination)",F84="AWS Training",F84="AWS Session"),7,
OR(ISNUMBER(SEARCH("MAD",F84)),ISNUMBER(SEARCH("STQA",F84)),F84="CI/CD Session"),8,
OR(ISNUMBER(SEARCH("Cloud",F84)),F84="Industry Readiness Program",ISNUMBER(SEARCH("Talenlio",F84))),9,
OR(ISNUMBER(SEARCH("Innovation",F84)),F84="Mini Project"),10,
OR(ISNUMBER(SEARCH("Data Science",F84)),ISNUMBER(SEARCH("DS",F84))),11,
ISNUMBER(SEARCH("Generative AI",F84)),12
=_xlfn.IFS(
OR(F84="Selenium (Hands-on)",F84="Guest Lecture: HR Interview"),6,
OR(F84="Soft Skill",F84="Soft Skill (Examination)",F84="AWS Training",F84="AWS Session"),7,
OR(ISNUMBER(SEARCH("MAD",F84)),ISNUMBER(SEARCH("STQA",F84)),F84="CI/CD Session"),8,
OR(ISNUMBER(SEARCH("Cloud",F84)),F84="Industry Readiness Program",ISNUMBER(SEARCH("Talenlio",F84))),9,
OR(ISNUMBER(SEARCH("Innovation",F84)),F84="Mini Project"),10,
OR(ISNUMBER(SEARCH("Data Science",F84)),ISNUMBER(SEARCH("DS",F84))),11,
ISNUMBER(SEARCH("Generative AI",F84)),12
=_xlfn.IFS(
OR(F84="Selenium (Hands-on)",F84="Guest Lecture: HR Interview"),6,
OR(F84="Soft Skill",F84="Soft Skill (Examination)",F84="AWS Training",F84="AWS Session"),7,
OR(ISNUMBER(SEARCH("MAD",F84)),ISNUMBER(SEARCH("STQA",F84)),F84="CI/CD Session"),8,
OR(ISNUMBER(SEARCH("Cloud",F84)),F84="Industry Readiness Program",ISNUMBER(SEARCH("Talenlio",F84))),9,
OR(ISNUMBER(SEARCH("Innovation",F84)),F84="Mini Project"),10,
OR(ISNUMBER(SEARCH("Data Science",F84)),ISNUMBER(SEARCH("DS",F84))),11,
ISNUMBER(SEARCH("Generative AI",F84)),12
))))</f>
        <v>8</v>
      </c>
      <c r="X84" s="3">
        <v>3</v>
      </c>
      <c r="Y84" s="3">
        <v>20</v>
      </c>
      <c r="Z84" s="3" t="s">
        <v>35</v>
      </c>
    </row>
    <row r="85" spans="1:26" x14ac:dyDescent="0.3">
      <c r="A85" s="2">
        <v>46207</v>
      </c>
      <c r="B85" s="3" t="s">
        <v>47</v>
      </c>
      <c r="C85" s="3">
        <v>3</v>
      </c>
      <c r="D85" s="4">
        <v>0.42708333333333298</v>
      </c>
      <c r="E85" s="4">
        <v>0.46875</v>
      </c>
      <c r="F85" s="3" t="s">
        <v>66</v>
      </c>
      <c r="G85" s="3" t="s">
        <v>67</v>
      </c>
      <c r="H85" s="3" t="s">
        <v>29</v>
      </c>
      <c r="I85" s="3" t="s">
        <v>30</v>
      </c>
      <c r="J85" s="3" t="s">
        <v>31</v>
      </c>
      <c r="K85" s="3" t="s">
        <v>52</v>
      </c>
      <c r="L85" s="5">
        <v>103</v>
      </c>
      <c r="M85" s="5">
        <f t="shared" ca="1" si="5"/>
        <v>96</v>
      </c>
      <c r="N85" s="6">
        <f t="shared" ca="1" si="6"/>
        <v>93.203883495145632</v>
      </c>
      <c r="O85" s="3" cm="1">
        <f t="array" aca="1" ref="O85" ca="1">IFERROR(LOOKUP(2, 1/((F$1:F84=F85)*(J$1:J84=J85)*(ROW(F$1:F84)&lt;ROW(F85))), N$1:N84), "")</f>
        <v>96.116504854368941</v>
      </c>
      <c r="P85" s="3">
        <f t="shared" si="9"/>
        <v>0</v>
      </c>
      <c r="Q85" s="3" t="s">
        <v>43</v>
      </c>
      <c r="R85" s="3" t="s">
        <v>40</v>
      </c>
      <c r="S85" s="3" t="str">
        <f t="shared" si="7"/>
        <v>Yes</v>
      </c>
      <c r="T85" s="3" t="s">
        <v>34</v>
      </c>
      <c r="U85" s="3" t="str">
        <f t="shared" si="8"/>
        <v>Rainy</v>
      </c>
      <c r="V85" s="3" t="s">
        <v>40</v>
      </c>
      <c r="W85" s="3" cm="1">
        <f t="array" ref="W85">_xlfn.IFS(
OR(F85="Selenium (Hands-on)",F85="Guest Lecture: HR Interview"),6,
OR(F85="Soft Skill",F85="Soft Skill (Examination)",F85="AWS Training",F85="AWS Session"),7,
OR(ISNUMBER(SEARCH("MAD",F85)),ISNUMBER(SEARCH("STQA",F85)),F85="CI/CD Session"),8,
OR(ISNUMBER(SEARCH("Cloud",F85)),F85="Industry Readiness Program",ISNUMBER(SEARCH("Talenlio",F85))),9,
OR(ISNUMBER(SEARCH("Innovation",F85)),F85="Mini Project"),10,
OR(ISNUMBER(SEARCH("Data Science",F85)),ISNUMBER(SEARCH("DS",F85))),11,
ISNUMBER(SEARCH("Generative AI",F85)),12
=_xlfn.IFS(
OR(F85="Selenium (Hands-on)",F85="Guest Lecture: HR Interview"),6,
OR(F85="Soft Skill",F85="Soft Skill (Examination)",F85="AWS Training",F85="AWS Session"),7,
OR(ISNUMBER(SEARCH("MAD",F85)),ISNUMBER(SEARCH("STQA",F85)),F85="CI/CD Session"),8,
OR(ISNUMBER(SEARCH("Cloud",F85)),F85="Industry Readiness Program",ISNUMBER(SEARCH("Talenlio",F85))),9,
OR(ISNUMBER(SEARCH("Innovation",F85)),F85="Mini Project"),10,
OR(ISNUMBER(SEARCH("Data Science",F85)),ISNUMBER(SEARCH("DS",F85))),11,
ISNUMBER(SEARCH("Generative AI",F85)),12
=_xlfn.IFS(
OR(F85="Selenium (Hands-on)",F85="Guest Lecture: HR Interview"),6,
OR(F85="Soft Skill",F85="Soft Skill (Examination)",F85="AWS Training",F85="AWS Session"),7,
OR(ISNUMBER(SEARCH("MAD",F85)),ISNUMBER(SEARCH("STQA",F85)),F85="CI/CD Session"),8,
OR(ISNUMBER(SEARCH("Cloud",F85)),F85="Industry Readiness Program",ISNUMBER(SEARCH("Talenlio",F85))),9,
OR(ISNUMBER(SEARCH("Innovation",F85)),F85="Mini Project"),10,
OR(ISNUMBER(SEARCH("Data Science",F85)),ISNUMBER(SEARCH("DS",F85))),11,
ISNUMBER(SEARCH("Generative AI",F85)),12
=_xlfn.IFS(
OR(F85="Selenium (Hands-on)",F85="Guest Lecture: HR Interview"),6,
OR(F85="Soft Skill",F85="Soft Skill (Examination)",F85="AWS Training",F85="AWS Session"),7,
OR(ISNUMBER(SEARCH("MAD",F85)),ISNUMBER(SEARCH("STQA",F85)),F85="CI/CD Session"),8,
OR(ISNUMBER(SEARCH("Cloud",F85)),F85="Industry Readiness Program",ISNUMBER(SEARCH("Talenlio",F85))),9,
OR(ISNUMBER(SEARCH("Innovation",F85)),F85="Mini Project"),10,
OR(ISNUMBER(SEARCH("Data Science",F85)),ISNUMBER(SEARCH("DS",F85))),11,
ISNUMBER(SEARCH("Generative AI",F85)),12
))))</f>
        <v>10</v>
      </c>
      <c r="X85" s="3">
        <v>3</v>
      </c>
      <c r="Y85" s="3">
        <v>20</v>
      </c>
      <c r="Z85" s="3" t="s">
        <v>35</v>
      </c>
    </row>
    <row r="86" spans="1:26" x14ac:dyDescent="0.3">
      <c r="A86" s="2">
        <v>46207</v>
      </c>
      <c r="B86" s="3" t="s">
        <v>47</v>
      </c>
      <c r="C86" s="3">
        <v>4</v>
      </c>
      <c r="D86" s="4">
        <v>0.46875</v>
      </c>
      <c r="E86" s="4">
        <v>0.51041666666666696</v>
      </c>
      <c r="F86" s="3" t="s">
        <v>66</v>
      </c>
      <c r="G86" s="3" t="s">
        <v>67</v>
      </c>
      <c r="H86" s="3" t="s">
        <v>29</v>
      </c>
      <c r="I86" s="3" t="s">
        <v>30</v>
      </c>
      <c r="J86" s="3" t="s">
        <v>31</v>
      </c>
      <c r="K86" s="3" t="s">
        <v>52</v>
      </c>
      <c r="L86" s="5">
        <v>103</v>
      </c>
      <c r="M86" s="5">
        <f t="shared" ca="1" si="5"/>
        <v>71</v>
      </c>
      <c r="N86" s="6">
        <f t="shared" ca="1" si="6"/>
        <v>68.932038834951456</v>
      </c>
      <c r="O86" s="3" cm="1">
        <f t="array" aca="1" ref="O86" ca="1">IFERROR(LOOKUP(2, 1/((F$1:F85=F86)*(J$1:J85=J86)*(ROW(F$1:F85)&lt;ROW(F86))), N$1:N85), "")</f>
        <v>93.203883495145632</v>
      </c>
      <c r="P86" s="3">
        <f t="shared" si="9"/>
        <v>0</v>
      </c>
      <c r="Q86" s="3" t="s">
        <v>43</v>
      </c>
      <c r="R86" s="3" t="s">
        <v>40</v>
      </c>
      <c r="S86" s="3" t="str">
        <f t="shared" si="7"/>
        <v>Yes</v>
      </c>
      <c r="T86" s="3" t="s">
        <v>34</v>
      </c>
      <c r="U86" s="3" t="str">
        <f t="shared" si="8"/>
        <v>Rainy</v>
      </c>
      <c r="V86" s="3" t="s">
        <v>40</v>
      </c>
      <c r="W86" s="3" cm="1">
        <f t="array" ref="W86">_xlfn.IFS(
OR(F86="Selenium (Hands-on)",F86="Guest Lecture: HR Interview"),6,
OR(F86="Soft Skill",F86="Soft Skill (Examination)",F86="AWS Training",F86="AWS Session"),7,
OR(ISNUMBER(SEARCH("MAD",F86)),ISNUMBER(SEARCH("STQA",F86)),F86="CI/CD Session"),8,
OR(ISNUMBER(SEARCH("Cloud",F86)),F86="Industry Readiness Program",ISNUMBER(SEARCH("Talenlio",F86))),9,
OR(ISNUMBER(SEARCH("Innovation",F86)),F86="Mini Project"),10,
OR(ISNUMBER(SEARCH("Data Science",F86)),ISNUMBER(SEARCH("DS",F86))),11,
ISNUMBER(SEARCH("Generative AI",F86)),12
=_xlfn.IFS(
OR(F86="Selenium (Hands-on)",F86="Guest Lecture: HR Interview"),6,
OR(F86="Soft Skill",F86="Soft Skill (Examination)",F86="AWS Training",F86="AWS Session"),7,
OR(ISNUMBER(SEARCH("MAD",F86)),ISNUMBER(SEARCH("STQA",F86)),F86="CI/CD Session"),8,
OR(ISNUMBER(SEARCH("Cloud",F86)),F86="Industry Readiness Program",ISNUMBER(SEARCH("Talenlio",F86))),9,
OR(ISNUMBER(SEARCH("Innovation",F86)),F86="Mini Project"),10,
OR(ISNUMBER(SEARCH("Data Science",F86)),ISNUMBER(SEARCH("DS",F86))),11,
ISNUMBER(SEARCH("Generative AI",F86)),12
=_xlfn.IFS(
OR(F86="Selenium (Hands-on)",F86="Guest Lecture: HR Interview"),6,
OR(F86="Soft Skill",F86="Soft Skill (Examination)",F86="AWS Training",F86="AWS Session"),7,
OR(ISNUMBER(SEARCH("MAD",F86)),ISNUMBER(SEARCH("STQA",F86)),F86="CI/CD Session"),8,
OR(ISNUMBER(SEARCH("Cloud",F86)),F86="Industry Readiness Program",ISNUMBER(SEARCH("Talenlio",F86))),9,
OR(ISNUMBER(SEARCH("Innovation",F86)),F86="Mini Project"),10,
OR(ISNUMBER(SEARCH("Data Science",F86)),ISNUMBER(SEARCH("DS",F86))),11,
ISNUMBER(SEARCH("Generative AI",F86)),12
=_xlfn.IFS(
OR(F86="Selenium (Hands-on)",F86="Guest Lecture: HR Interview"),6,
OR(F86="Soft Skill",F86="Soft Skill (Examination)",F86="AWS Training",F86="AWS Session"),7,
OR(ISNUMBER(SEARCH("MAD",F86)),ISNUMBER(SEARCH("STQA",F86)),F86="CI/CD Session"),8,
OR(ISNUMBER(SEARCH("Cloud",F86)),F86="Industry Readiness Program",ISNUMBER(SEARCH("Talenlio",F86))),9,
OR(ISNUMBER(SEARCH("Innovation",F86)),F86="Mini Project"),10,
OR(ISNUMBER(SEARCH("Data Science",F86)),ISNUMBER(SEARCH("DS",F86))),11,
ISNUMBER(SEARCH("Generative AI",F86)),12
))))</f>
        <v>10</v>
      </c>
      <c r="X86" s="3">
        <v>3</v>
      </c>
      <c r="Y86" s="3">
        <v>20</v>
      </c>
      <c r="Z86" s="3" t="s">
        <v>35</v>
      </c>
    </row>
    <row r="87" spans="1:26" x14ac:dyDescent="0.3">
      <c r="A87" s="2">
        <v>46207</v>
      </c>
      <c r="B87" s="3" t="s">
        <v>47</v>
      </c>
      <c r="C87" s="3">
        <v>5</v>
      </c>
      <c r="D87" s="4">
        <v>0.5625</v>
      </c>
      <c r="E87" s="4">
        <v>0.60416666666666696</v>
      </c>
      <c r="F87" s="3" t="s">
        <v>66</v>
      </c>
      <c r="G87" s="3" t="s">
        <v>67</v>
      </c>
      <c r="H87" s="3" t="s">
        <v>29</v>
      </c>
      <c r="I87" s="3" t="s">
        <v>30</v>
      </c>
      <c r="J87" s="3" t="s">
        <v>31</v>
      </c>
      <c r="K87" s="3" t="s">
        <v>52</v>
      </c>
      <c r="L87" s="5">
        <v>103</v>
      </c>
      <c r="M87" s="5">
        <f t="shared" ca="1" si="5"/>
        <v>68</v>
      </c>
      <c r="N87" s="6">
        <f t="shared" ca="1" si="6"/>
        <v>66.019417475728162</v>
      </c>
      <c r="O87" s="3" cm="1">
        <f t="array" aca="1" ref="O87" ca="1">IFERROR(LOOKUP(2, 1/((F$1:F86=F87)*(J$1:J86=J87)*(ROW(F$1:F86)&lt;ROW(F87))), N$1:N86), "")</f>
        <v>68.932038834951456</v>
      </c>
      <c r="P87" s="3">
        <f t="shared" si="9"/>
        <v>1.25</v>
      </c>
      <c r="Q87" s="3" t="s">
        <v>43</v>
      </c>
      <c r="R87" s="3" t="s">
        <v>40</v>
      </c>
      <c r="S87" s="3" t="str">
        <f t="shared" si="7"/>
        <v>Yes</v>
      </c>
      <c r="T87" s="3" t="s">
        <v>34</v>
      </c>
      <c r="U87" s="3" t="str">
        <f t="shared" si="8"/>
        <v>Rainy</v>
      </c>
      <c r="V87" s="3" t="s">
        <v>40</v>
      </c>
      <c r="W87" s="3" cm="1">
        <f t="array" ref="W87">_xlfn.IFS(
OR(F87="Selenium (Hands-on)",F87="Guest Lecture: HR Interview"),6,
OR(F87="Soft Skill",F87="Soft Skill (Examination)",F87="AWS Training",F87="AWS Session"),7,
OR(ISNUMBER(SEARCH("MAD",F87)),ISNUMBER(SEARCH("STQA",F87)),F87="CI/CD Session"),8,
OR(ISNUMBER(SEARCH("Cloud",F87)),F87="Industry Readiness Program",ISNUMBER(SEARCH("Talenlio",F87))),9,
OR(ISNUMBER(SEARCH("Innovation",F87)),F87="Mini Project"),10,
OR(ISNUMBER(SEARCH("Data Science",F87)),ISNUMBER(SEARCH("DS",F87))),11,
ISNUMBER(SEARCH("Generative AI",F87)),12
=_xlfn.IFS(
OR(F87="Selenium (Hands-on)",F87="Guest Lecture: HR Interview"),6,
OR(F87="Soft Skill",F87="Soft Skill (Examination)",F87="AWS Training",F87="AWS Session"),7,
OR(ISNUMBER(SEARCH("MAD",F87)),ISNUMBER(SEARCH("STQA",F87)),F87="CI/CD Session"),8,
OR(ISNUMBER(SEARCH("Cloud",F87)),F87="Industry Readiness Program",ISNUMBER(SEARCH("Talenlio",F87))),9,
OR(ISNUMBER(SEARCH("Innovation",F87)),F87="Mini Project"),10,
OR(ISNUMBER(SEARCH("Data Science",F87)),ISNUMBER(SEARCH("DS",F87))),11,
ISNUMBER(SEARCH("Generative AI",F87)),12
=_xlfn.IFS(
OR(F87="Selenium (Hands-on)",F87="Guest Lecture: HR Interview"),6,
OR(F87="Soft Skill",F87="Soft Skill (Examination)",F87="AWS Training",F87="AWS Session"),7,
OR(ISNUMBER(SEARCH("MAD",F87)),ISNUMBER(SEARCH("STQA",F87)),F87="CI/CD Session"),8,
OR(ISNUMBER(SEARCH("Cloud",F87)),F87="Industry Readiness Program",ISNUMBER(SEARCH("Talenlio",F87))),9,
OR(ISNUMBER(SEARCH("Innovation",F87)),F87="Mini Project"),10,
OR(ISNUMBER(SEARCH("Data Science",F87)),ISNUMBER(SEARCH("DS",F87))),11,
ISNUMBER(SEARCH("Generative AI",F87)),12
=_xlfn.IFS(
OR(F87="Selenium (Hands-on)",F87="Guest Lecture: HR Interview"),6,
OR(F87="Soft Skill",F87="Soft Skill (Examination)",F87="AWS Training",F87="AWS Session"),7,
OR(ISNUMBER(SEARCH("MAD",F87)),ISNUMBER(SEARCH("STQA",F87)),F87="CI/CD Session"),8,
OR(ISNUMBER(SEARCH("Cloud",F87)),F87="Industry Readiness Program",ISNUMBER(SEARCH("Talenlio",F87))),9,
OR(ISNUMBER(SEARCH("Innovation",F87)),F87="Mini Project"),10,
OR(ISNUMBER(SEARCH("Data Science",F87)),ISNUMBER(SEARCH("DS",F87))),11,
ISNUMBER(SEARCH("Generative AI",F87)),12
))))</f>
        <v>10</v>
      </c>
      <c r="X87" s="3">
        <v>3</v>
      </c>
      <c r="Y87" s="3">
        <v>20</v>
      </c>
      <c r="Z87" s="3" t="s">
        <v>38</v>
      </c>
    </row>
    <row r="88" spans="1:26" x14ac:dyDescent="0.3">
      <c r="A88" s="2">
        <v>46207</v>
      </c>
      <c r="B88" s="3" t="s">
        <v>47</v>
      </c>
      <c r="C88" s="3">
        <v>6</v>
      </c>
      <c r="D88" s="4">
        <v>0.60416666666666696</v>
      </c>
      <c r="E88" s="4">
        <v>0.64583333333333304</v>
      </c>
      <c r="F88" s="3" t="s">
        <v>66</v>
      </c>
      <c r="G88" s="3" t="s">
        <v>67</v>
      </c>
      <c r="H88" s="3" t="s">
        <v>29</v>
      </c>
      <c r="I88" s="3" t="s">
        <v>30</v>
      </c>
      <c r="J88" s="3" t="s">
        <v>31</v>
      </c>
      <c r="K88" s="3" t="s">
        <v>52</v>
      </c>
      <c r="L88" s="5">
        <v>103</v>
      </c>
      <c r="M88" s="5">
        <f t="shared" ca="1" si="5"/>
        <v>41</v>
      </c>
      <c r="N88" s="6">
        <f t="shared" ca="1" si="6"/>
        <v>39.805825242718448</v>
      </c>
      <c r="O88" s="3" cm="1">
        <f t="array" aca="1" ref="O88" ca="1">IFERROR(LOOKUP(2, 1/((F$1:F87=F88)*(J$1:J87=J88)*(ROW(F$1:F87)&lt;ROW(F88))), N$1:N87), "")</f>
        <v>66.019417475728162</v>
      </c>
      <c r="P88" s="3">
        <f t="shared" si="9"/>
        <v>0</v>
      </c>
      <c r="Q88" s="3" t="s">
        <v>43</v>
      </c>
      <c r="R88" s="3" t="s">
        <v>40</v>
      </c>
      <c r="S88" s="3" t="str">
        <f t="shared" si="7"/>
        <v>Yes</v>
      </c>
      <c r="T88" s="3" t="s">
        <v>34</v>
      </c>
      <c r="U88" s="3" t="str">
        <f t="shared" si="8"/>
        <v>Rainy</v>
      </c>
      <c r="V88" s="3" t="s">
        <v>40</v>
      </c>
      <c r="W88" s="3" cm="1">
        <f t="array" ref="W88">_xlfn.IFS(
OR(F88="Selenium (Hands-on)",F88="Guest Lecture: HR Interview"),6,
OR(F88="Soft Skill",F88="Soft Skill (Examination)",F88="AWS Training",F88="AWS Session"),7,
OR(ISNUMBER(SEARCH("MAD",F88)),ISNUMBER(SEARCH("STQA",F88)),F88="CI/CD Session"),8,
OR(ISNUMBER(SEARCH("Cloud",F88)),F88="Industry Readiness Program",ISNUMBER(SEARCH("Talenlio",F88))),9,
OR(ISNUMBER(SEARCH("Innovation",F88)),F88="Mini Project"),10,
OR(ISNUMBER(SEARCH("Data Science",F88)),ISNUMBER(SEARCH("DS",F88))),11,
ISNUMBER(SEARCH("Generative AI",F88)),12
=_xlfn.IFS(
OR(F88="Selenium (Hands-on)",F88="Guest Lecture: HR Interview"),6,
OR(F88="Soft Skill",F88="Soft Skill (Examination)",F88="AWS Training",F88="AWS Session"),7,
OR(ISNUMBER(SEARCH("MAD",F88)),ISNUMBER(SEARCH("STQA",F88)),F88="CI/CD Session"),8,
OR(ISNUMBER(SEARCH("Cloud",F88)),F88="Industry Readiness Program",ISNUMBER(SEARCH("Talenlio",F88))),9,
OR(ISNUMBER(SEARCH("Innovation",F88)),F88="Mini Project"),10,
OR(ISNUMBER(SEARCH("Data Science",F88)),ISNUMBER(SEARCH("DS",F88))),11,
ISNUMBER(SEARCH("Generative AI",F88)),12
=_xlfn.IFS(
OR(F88="Selenium (Hands-on)",F88="Guest Lecture: HR Interview"),6,
OR(F88="Soft Skill",F88="Soft Skill (Examination)",F88="AWS Training",F88="AWS Session"),7,
OR(ISNUMBER(SEARCH("MAD",F88)),ISNUMBER(SEARCH("STQA",F88)),F88="CI/CD Session"),8,
OR(ISNUMBER(SEARCH("Cloud",F88)),F88="Industry Readiness Program",ISNUMBER(SEARCH("Talenlio",F88))),9,
OR(ISNUMBER(SEARCH("Innovation",F88)),F88="Mini Project"),10,
OR(ISNUMBER(SEARCH("Data Science",F88)),ISNUMBER(SEARCH("DS",F88))),11,
ISNUMBER(SEARCH("Generative AI",F88)),12
=_xlfn.IFS(
OR(F88="Selenium (Hands-on)",F88="Guest Lecture: HR Interview"),6,
OR(F88="Soft Skill",F88="Soft Skill (Examination)",F88="AWS Training",F88="AWS Session"),7,
OR(ISNUMBER(SEARCH("MAD",F88)),ISNUMBER(SEARCH("STQA",F88)),F88="CI/CD Session"),8,
OR(ISNUMBER(SEARCH("Cloud",F88)),F88="Industry Readiness Program",ISNUMBER(SEARCH("Talenlio",F88))),9,
OR(ISNUMBER(SEARCH("Innovation",F88)),F88="Mini Project"),10,
OR(ISNUMBER(SEARCH("Data Science",F88)),ISNUMBER(SEARCH("DS",F88))),11,
ISNUMBER(SEARCH("Generative AI",F88)),12
))))</f>
        <v>10</v>
      </c>
      <c r="X88" s="3">
        <v>3</v>
      </c>
      <c r="Y88" s="3">
        <v>20</v>
      </c>
      <c r="Z88" s="3" t="s">
        <v>38</v>
      </c>
    </row>
    <row r="89" spans="1:26" x14ac:dyDescent="0.3">
      <c r="A89" s="2">
        <v>46209</v>
      </c>
      <c r="B89" s="3" t="s">
        <v>26</v>
      </c>
      <c r="C89" s="3">
        <v>1</v>
      </c>
      <c r="D89" s="4">
        <v>0.35416666666666702</v>
      </c>
      <c r="E89" s="4">
        <v>0.38541666666666702</v>
      </c>
      <c r="F89" s="3" t="s">
        <v>50</v>
      </c>
      <c r="G89" s="3" t="s">
        <v>51</v>
      </c>
      <c r="H89" s="3" t="s">
        <v>29</v>
      </c>
      <c r="I89" s="3" t="s">
        <v>30</v>
      </c>
      <c r="J89" s="3" t="s">
        <v>31</v>
      </c>
      <c r="K89" s="3" t="s">
        <v>52</v>
      </c>
      <c r="L89" s="5">
        <v>103</v>
      </c>
      <c r="M89" s="5">
        <f t="shared" ca="1" si="5"/>
        <v>77</v>
      </c>
      <c r="N89" s="6">
        <f t="shared" ca="1" si="6"/>
        <v>74.757281553398059</v>
      </c>
      <c r="O89" s="3" cm="1">
        <f t="array" aca="1" ref="O89" ca="1">IFERROR(LOOKUP(2, 1/((F$1:F88=F89)*(J$1:J88=J89)*(ROW(F$1:F88)&lt;ROW(F89))), N$1:N88), "")</f>
        <v>41.747572815533978</v>
      </c>
      <c r="P89" s="3">
        <f t="shared" si="9"/>
        <v>0</v>
      </c>
      <c r="Q89" s="3" t="s">
        <v>43</v>
      </c>
      <c r="R89" s="3" t="s">
        <v>40</v>
      </c>
      <c r="S89" s="3" t="str">
        <f t="shared" si="7"/>
        <v>No</v>
      </c>
      <c r="T89" s="3" t="s">
        <v>34</v>
      </c>
      <c r="U89" s="3" t="str">
        <f t="shared" si="8"/>
        <v>Rainy</v>
      </c>
      <c r="V89" s="3" t="s">
        <v>40</v>
      </c>
      <c r="W89" s="3" cm="1">
        <f t="array" ref="W89">_xlfn.IFS(
OR(F89="Selenium (Hands-on)",F89="Guest Lecture: HR Interview"),6,
OR(F89="Soft Skill",F89="Soft Skill (Examination)",F89="AWS Training",F89="AWS Session"),7,
OR(ISNUMBER(SEARCH("MAD",F89)),ISNUMBER(SEARCH("STQA",F89)),F89="CI/CD Session"),8,
OR(ISNUMBER(SEARCH("Cloud",F89)),F89="Industry Readiness Program",ISNUMBER(SEARCH("Talenlio",F89))),9,
OR(ISNUMBER(SEARCH("Innovation",F89)),F89="Mini Project"),10,
OR(ISNUMBER(SEARCH("Data Science",F89)),ISNUMBER(SEARCH("DS",F89))),11,
ISNUMBER(SEARCH("Generative AI",F89)),12
=_xlfn.IFS(
OR(F89="Selenium (Hands-on)",F89="Guest Lecture: HR Interview"),6,
OR(F89="Soft Skill",F89="Soft Skill (Examination)",F89="AWS Training",F89="AWS Session"),7,
OR(ISNUMBER(SEARCH("MAD",F89)),ISNUMBER(SEARCH("STQA",F89)),F89="CI/CD Session"),8,
OR(ISNUMBER(SEARCH("Cloud",F89)),F89="Industry Readiness Program",ISNUMBER(SEARCH("Talenlio",F89))),9,
OR(ISNUMBER(SEARCH("Innovation",F89)),F89="Mini Project"),10,
OR(ISNUMBER(SEARCH("Data Science",F89)),ISNUMBER(SEARCH("DS",F89))),11,
ISNUMBER(SEARCH("Generative AI",F89)),12
=_xlfn.IFS(
OR(F89="Selenium (Hands-on)",F89="Guest Lecture: HR Interview"),6,
OR(F89="Soft Skill",F89="Soft Skill (Examination)",F89="AWS Training",F89="AWS Session"),7,
OR(ISNUMBER(SEARCH("MAD",F89)),ISNUMBER(SEARCH("STQA",F89)),F89="CI/CD Session"),8,
OR(ISNUMBER(SEARCH("Cloud",F89)),F89="Industry Readiness Program",ISNUMBER(SEARCH("Talenlio",F89))),9,
OR(ISNUMBER(SEARCH("Innovation",F89)),F89="Mini Project"),10,
OR(ISNUMBER(SEARCH("Data Science",F89)),ISNUMBER(SEARCH("DS",F89))),11,
ISNUMBER(SEARCH("Generative AI",F89)),12
=_xlfn.IFS(
OR(F89="Selenium (Hands-on)",F89="Guest Lecture: HR Interview"),6,
OR(F89="Soft Skill",F89="Soft Skill (Examination)",F89="AWS Training",F89="AWS Session"),7,
OR(ISNUMBER(SEARCH("MAD",F89)),ISNUMBER(SEARCH("STQA",F89)),F89="CI/CD Session"),8,
OR(ISNUMBER(SEARCH("Cloud",F89)),F89="Industry Readiness Program",ISNUMBER(SEARCH("Talenlio",F89))),9,
OR(ISNUMBER(SEARCH("Innovation",F89)),F89="Mini Project"),10,
OR(ISNUMBER(SEARCH("Data Science",F89)),ISNUMBER(SEARCH("DS",F89))),11,
ISNUMBER(SEARCH("Generative AI",F89)),12
))))</f>
        <v>8</v>
      </c>
      <c r="X89" s="3">
        <v>4</v>
      </c>
      <c r="Y89" s="3">
        <v>22</v>
      </c>
      <c r="Z89" s="3" t="s">
        <v>35</v>
      </c>
    </row>
    <row r="90" spans="1:26" x14ac:dyDescent="0.3">
      <c r="A90" s="2">
        <v>46209</v>
      </c>
      <c r="B90" s="3" t="s">
        <v>26</v>
      </c>
      <c r="C90" s="3">
        <v>2</v>
      </c>
      <c r="D90" s="4">
        <v>0.38541666666666702</v>
      </c>
      <c r="E90" s="4">
        <v>0.42708333333333298</v>
      </c>
      <c r="F90" s="3" t="s">
        <v>50</v>
      </c>
      <c r="G90" s="3" t="s">
        <v>51</v>
      </c>
      <c r="H90" s="3" t="s">
        <v>29</v>
      </c>
      <c r="I90" s="3" t="s">
        <v>30</v>
      </c>
      <c r="J90" s="3" t="s">
        <v>31</v>
      </c>
      <c r="K90" s="3" t="s">
        <v>52</v>
      </c>
      <c r="L90" s="5">
        <v>103</v>
      </c>
      <c r="M90" s="5">
        <f t="shared" ca="1" si="5"/>
        <v>67</v>
      </c>
      <c r="N90" s="6">
        <f t="shared" ca="1" si="6"/>
        <v>65.048543689320397</v>
      </c>
      <c r="O90" s="3" cm="1">
        <f t="array" aca="1" ref="O90" ca="1">IFERROR(LOOKUP(2, 1/((F$1:F89=F90)*(J$1:J89=J90)*(ROW(F$1:F89)&lt;ROW(F90))), N$1:N89), "")</f>
        <v>74.757281553398059</v>
      </c>
      <c r="P90" s="3">
        <f t="shared" si="9"/>
        <v>0</v>
      </c>
      <c r="Q90" s="3" t="s">
        <v>43</v>
      </c>
      <c r="R90" s="3" t="s">
        <v>40</v>
      </c>
      <c r="S90" s="3" t="str">
        <f t="shared" si="7"/>
        <v>No</v>
      </c>
      <c r="T90" s="3" t="s">
        <v>34</v>
      </c>
      <c r="U90" s="3" t="str">
        <f t="shared" si="8"/>
        <v>Rainy</v>
      </c>
      <c r="V90" s="3" t="s">
        <v>40</v>
      </c>
      <c r="W90" s="3" cm="1">
        <f t="array" ref="W90">_xlfn.IFS(
OR(F90="Selenium (Hands-on)",F90="Guest Lecture: HR Interview"),6,
OR(F90="Soft Skill",F90="Soft Skill (Examination)",F90="AWS Training",F90="AWS Session"),7,
OR(ISNUMBER(SEARCH("MAD",F90)),ISNUMBER(SEARCH("STQA",F90)),F90="CI/CD Session"),8,
OR(ISNUMBER(SEARCH("Cloud",F90)),F90="Industry Readiness Program",ISNUMBER(SEARCH("Talenlio",F90))),9,
OR(ISNUMBER(SEARCH("Innovation",F90)),F90="Mini Project"),10,
OR(ISNUMBER(SEARCH("Data Science",F90)),ISNUMBER(SEARCH("DS",F90))),11,
ISNUMBER(SEARCH("Generative AI",F90)),12
=_xlfn.IFS(
OR(F90="Selenium (Hands-on)",F90="Guest Lecture: HR Interview"),6,
OR(F90="Soft Skill",F90="Soft Skill (Examination)",F90="AWS Training",F90="AWS Session"),7,
OR(ISNUMBER(SEARCH("MAD",F90)),ISNUMBER(SEARCH("STQA",F90)),F90="CI/CD Session"),8,
OR(ISNUMBER(SEARCH("Cloud",F90)),F90="Industry Readiness Program",ISNUMBER(SEARCH("Talenlio",F90))),9,
OR(ISNUMBER(SEARCH("Innovation",F90)),F90="Mini Project"),10,
OR(ISNUMBER(SEARCH("Data Science",F90)),ISNUMBER(SEARCH("DS",F90))),11,
ISNUMBER(SEARCH("Generative AI",F90)),12
=_xlfn.IFS(
OR(F90="Selenium (Hands-on)",F90="Guest Lecture: HR Interview"),6,
OR(F90="Soft Skill",F90="Soft Skill (Examination)",F90="AWS Training",F90="AWS Session"),7,
OR(ISNUMBER(SEARCH("MAD",F90)),ISNUMBER(SEARCH("STQA",F90)),F90="CI/CD Session"),8,
OR(ISNUMBER(SEARCH("Cloud",F90)),F90="Industry Readiness Program",ISNUMBER(SEARCH("Talenlio",F90))),9,
OR(ISNUMBER(SEARCH("Innovation",F90)),F90="Mini Project"),10,
OR(ISNUMBER(SEARCH("Data Science",F90)),ISNUMBER(SEARCH("DS",F90))),11,
ISNUMBER(SEARCH("Generative AI",F90)),12
=_xlfn.IFS(
OR(F90="Selenium (Hands-on)",F90="Guest Lecture: HR Interview"),6,
OR(F90="Soft Skill",F90="Soft Skill (Examination)",F90="AWS Training",F90="AWS Session"),7,
OR(ISNUMBER(SEARCH("MAD",F90)),ISNUMBER(SEARCH("STQA",F90)),F90="CI/CD Session"),8,
OR(ISNUMBER(SEARCH("Cloud",F90)),F90="Industry Readiness Program",ISNUMBER(SEARCH("Talenlio",F90))),9,
OR(ISNUMBER(SEARCH("Innovation",F90)),F90="Mini Project"),10,
OR(ISNUMBER(SEARCH("Data Science",F90)),ISNUMBER(SEARCH("DS",F90))),11,
ISNUMBER(SEARCH("Generative AI",F90)),12
))))</f>
        <v>8</v>
      </c>
      <c r="X90" s="3">
        <v>4</v>
      </c>
      <c r="Y90" s="3">
        <v>22</v>
      </c>
      <c r="Z90" s="3" t="s">
        <v>35</v>
      </c>
    </row>
    <row r="91" spans="1:26" x14ac:dyDescent="0.3">
      <c r="A91" s="2">
        <v>46209</v>
      </c>
      <c r="B91" s="3" t="s">
        <v>26</v>
      </c>
      <c r="C91" s="3">
        <v>3</v>
      </c>
      <c r="D91" s="4">
        <v>0.42708333333333298</v>
      </c>
      <c r="E91" s="4">
        <v>0.46875</v>
      </c>
      <c r="F91" s="3" t="s">
        <v>53</v>
      </c>
      <c r="G91" s="3" t="s">
        <v>54</v>
      </c>
      <c r="H91" s="3" t="s">
        <v>29</v>
      </c>
      <c r="I91" s="3" t="s">
        <v>30</v>
      </c>
      <c r="J91" s="3" t="s">
        <v>31</v>
      </c>
      <c r="K91" s="3" t="s">
        <v>52</v>
      </c>
      <c r="L91" s="5">
        <v>103</v>
      </c>
      <c r="M91" s="5">
        <f t="shared" ca="1" si="5"/>
        <v>48</v>
      </c>
      <c r="N91" s="6">
        <f t="shared" ca="1" si="6"/>
        <v>46.601941747572816</v>
      </c>
      <c r="O91" s="3" cm="1">
        <f t="array" aca="1" ref="O91" ca="1">IFERROR(LOOKUP(2, 1/((F$1:F90=F91)*(J$1:J90=J91)*(ROW(F$1:F90)&lt;ROW(F91))), N$1:N90), "")</f>
        <v>85.436893203883486</v>
      </c>
      <c r="P91" s="3">
        <f t="shared" si="9"/>
        <v>0</v>
      </c>
      <c r="Q91" s="3" t="s">
        <v>33</v>
      </c>
      <c r="R91" s="3" t="s">
        <v>40</v>
      </c>
      <c r="S91" s="3" t="str">
        <f t="shared" si="7"/>
        <v>No</v>
      </c>
      <c r="T91" s="3" t="s">
        <v>34</v>
      </c>
      <c r="U91" s="3" t="str">
        <f t="shared" si="8"/>
        <v>Rainy</v>
      </c>
      <c r="V91" s="3" t="s">
        <v>40</v>
      </c>
      <c r="W91" s="3" cm="1">
        <f t="array" ref="W91">_xlfn.IFS(
OR(F91="Selenium (Hands-on)",F91="Guest Lecture: HR Interview"),6,
OR(F91="Soft Skill",F91="Soft Skill (Examination)",F91="AWS Training",F91="AWS Session"),7,
OR(ISNUMBER(SEARCH("MAD",F91)),ISNUMBER(SEARCH("STQA",F91)),F91="CI/CD Session"),8,
OR(ISNUMBER(SEARCH("Cloud",F91)),F91="Industry Readiness Program",ISNUMBER(SEARCH("Talenlio",F91))),9,
OR(ISNUMBER(SEARCH("Innovation",F91)),F91="Mini Project"),10,
OR(ISNUMBER(SEARCH("Data Science",F91)),ISNUMBER(SEARCH("DS",F91))),11,
ISNUMBER(SEARCH("Generative AI",F91)),12
=_xlfn.IFS(
OR(F91="Selenium (Hands-on)",F91="Guest Lecture: HR Interview"),6,
OR(F91="Soft Skill",F91="Soft Skill (Examination)",F91="AWS Training",F91="AWS Session"),7,
OR(ISNUMBER(SEARCH("MAD",F91)),ISNUMBER(SEARCH("STQA",F91)),F91="CI/CD Session"),8,
OR(ISNUMBER(SEARCH("Cloud",F91)),F91="Industry Readiness Program",ISNUMBER(SEARCH("Talenlio",F91))),9,
OR(ISNUMBER(SEARCH("Innovation",F91)),F91="Mini Project"),10,
OR(ISNUMBER(SEARCH("Data Science",F91)),ISNUMBER(SEARCH("DS",F91))),11,
ISNUMBER(SEARCH("Generative AI",F91)),12
=_xlfn.IFS(
OR(F91="Selenium (Hands-on)",F91="Guest Lecture: HR Interview"),6,
OR(F91="Soft Skill",F91="Soft Skill (Examination)",F91="AWS Training",F91="AWS Session"),7,
OR(ISNUMBER(SEARCH("MAD",F91)),ISNUMBER(SEARCH("STQA",F91)),F91="CI/CD Session"),8,
OR(ISNUMBER(SEARCH("Cloud",F91)),F91="Industry Readiness Program",ISNUMBER(SEARCH("Talenlio",F91))),9,
OR(ISNUMBER(SEARCH("Innovation",F91)),F91="Mini Project"),10,
OR(ISNUMBER(SEARCH("Data Science",F91)),ISNUMBER(SEARCH("DS",F91))),11,
ISNUMBER(SEARCH("Generative AI",F91)),12
=_xlfn.IFS(
OR(F91="Selenium (Hands-on)",F91="Guest Lecture: HR Interview"),6,
OR(F91="Soft Skill",F91="Soft Skill (Examination)",F91="AWS Training",F91="AWS Session"),7,
OR(ISNUMBER(SEARCH("MAD",F91)),ISNUMBER(SEARCH("STQA",F91)),F91="CI/CD Session"),8,
OR(ISNUMBER(SEARCH("Cloud",F91)),F91="Industry Readiness Program",ISNUMBER(SEARCH("Talenlio",F91))),9,
OR(ISNUMBER(SEARCH("Innovation",F91)),F91="Mini Project"),10,
OR(ISNUMBER(SEARCH("Data Science",F91)),ISNUMBER(SEARCH("DS",F91))),11,
ISNUMBER(SEARCH("Generative AI",F91)),12
))))</f>
        <v>10</v>
      </c>
      <c r="X91" s="3">
        <v>4</v>
      </c>
      <c r="Y91" s="3">
        <v>22</v>
      </c>
      <c r="Z91" s="3" t="s">
        <v>35</v>
      </c>
    </row>
    <row r="92" spans="1:26" x14ac:dyDescent="0.3">
      <c r="A92" s="2">
        <v>46209</v>
      </c>
      <c r="B92" s="3" t="s">
        <v>26</v>
      </c>
      <c r="C92" s="3">
        <v>4</v>
      </c>
      <c r="D92" s="4">
        <v>0.46875</v>
      </c>
      <c r="E92" s="4">
        <v>0.51041666666666696</v>
      </c>
      <c r="F92" s="3" t="s">
        <v>53</v>
      </c>
      <c r="G92" s="3" t="s">
        <v>54</v>
      </c>
      <c r="H92" s="3" t="s">
        <v>29</v>
      </c>
      <c r="I92" s="3" t="s">
        <v>30</v>
      </c>
      <c r="J92" s="3" t="s">
        <v>31</v>
      </c>
      <c r="K92" s="3" t="s">
        <v>52</v>
      </c>
      <c r="L92" s="5">
        <v>103</v>
      </c>
      <c r="M92" s="5">
        <f t="shared" ca="1" si="5"/>
        <v>62</v>
      </c>
      <c r="N92" s="6">
        <f t="shared" ca="1" si="6"/>
        <v>60.194174757281552</v>
      </c>
      <c r="O92" s="3" cm="1">
        <f t="array" aca="1" ref="O92" ca="1">IFERROR(LOOKUP(2, 1/((F$1:F91=F92)*(J$1:J91=J92)*(ROW(F$1:F91)&lt;ROW(F92))), N$1:N91), "")</f>
        <v>46.601941747572816</v>
      </c>
      <c r="P92" s="3">
        <f t="shared" si="9"/>
        <v>0</v>
      </c>
      <c r="Q92" s="3" t="s">
        <v>33</v>
      </c>
      <c r="R92" s="3" t="s">
        <v>40</v>
      </c>
      <c r="S92" s="3" t="str">
        <f t="shared" si="7"/>
        <v>No</v>
      </c>
      <c r="T92" s="3" t="s">
        <v>34</v>
      </c>
      <c r="U92" s="3" t="str">
        <f t="shared" si="8"/>
        <v>Rainy</v>
      </c>
      <c r="V92" s="3" t="s">
        <v>40</v>
      </c>
      <c r="W92" s="3" cm="1">
        <f t="array" ref="W92">_xlfn.IFS(
OR(F92="Selenium (Hands-on)",F92="Guest Lecture: HR Interview"),6,
OR(F92="Soft Skill",F92="Soft Skill (Examination)",F92="AWS Training",F92="AWS Session"),7,
OR(ISNUMBER(SEARCH("MAD",F92)),ISNUMBER(SEARCH("STQA",F92)),F92="CI/CD Session"),8,
OR(ISNUMBER(SEARCH("Cloud",F92)),F92="Industry Readiness Program",ISNUMBER(SEARCH("Talenlio",F92))),9,
OR(ISNUMBER(SEARCH("Innovation",F92)),F92="Mini Project"),10,
OR(ISNUMBER(SEARCH("Data Science",F92)),ISNUMBER(SEARCH("DS",F92))),11,
ISNUMBER(SEARCH("Generative AI",F92)),12
=_xlfn.IFS(
OR(F92="Selenium (Hands-on)",F92="Guest Lecture: HR Interview"),6,
OR(F92="Soft Skill",F92="Soft Skill (Examination)",F92="AWS Training",F92="AWS Session"),7,
OR(ISNUMBER(SEARCH("MAD",F92)),ISNUMBER(SEARCH("STQA",F92)),F92="CI/CD Session"),8,
OR(ISNUMBER(SEARCH("Cloud",F92)),F92="Industry Readiness Program",ISNUMBER(SEARCH("Talenlio",F92))),9,
OR(ISNUMBER(SEARCH("Innovation",F92)),F92="Mini Project"),10,
OR(ISNUMBER(SEARCH("Data Science",F92)),ISNUMBER(SEARCH("DS",F92))),11,
ISNUMBER(SEARCH("Generative AI",F92)),12
=_xlfn.IFS(
OR(F92="Selenium (Hands-on)",F92="Guest Lecture: HR Interview"),6,
OR(F92="Soft Skill",F92="Soft Skill (Examination)",F92="AWS Training",F92="AWS Session"),7,
OR(ISNUMBER(SEARCH("MAD",F92)),ISNUMBER(SEARCH("STQA",F92)),F92="CI/CD Session"),8,
OR(ISNUMBER(SEARCH("Cloud",F92)),F92="Industry Readiness Program",ISNUMBER(SEARCH("Talenlio",F92))),9,
OR(ISNUMBER(SEARCH("Innovation",F92)),F92="Mini Project"),10,
OR(ISNUMBER(SEARCH("Data Science",F92)),ISNUMBER(SEARCH("DS",F92))),11,
ISNUMBER(SEARCH("Generative AI",F92)),12
=_xlfn.IFS(
OR(F92="Selenium (Hands-on)",F92="Guest Lecture: HR Interview"),6,
OR(F92="Soft Skill",F92="Soft Skill (Examination)",F92="AWS Training",F92="AWS Session"),7,
OR(ISNUMBER(SEARCH("MAD",F92)),ISNUMBER(SEARCH("STQA",F92)),F92="CI/CD Session"),8,
OR(ISNUMBER(SEARCH("Cloud",F92)),F92="Industry Readiness Program",ISNUMBER(SEARCH("Talenlio",F92))),9,
OR(ISNUMBER(SEARCH("Innovation",F92)),F92="Mini Project"),10,
OR(ISNUMBER(SEARCH("Data Science",F92)),ISNUMBER(SEARCH("DS",F92))),11,
ISNUMBER(SEARCH("Generative AI",F92)),12
))))</f>
        <v>10</v>
      </c>
      <c r="X92" s="3">
        <v>4</v>
      </c>
      <c r="Y92" s="3">
        <v>22</v>
      </c>
      <c r="Z92" s="3" t="s">
        <v>35</v>
      </c>
    </row>
    <row r="93" spans="1:26" x14ac:dyDescent="0.3">
      <c r="A93" s="2">
        <v>46209</v>
      </c>
      <c r="B93" s="3" t="s">
        <v>26</v>
      </c>
      <c r="C93" s="3">
        <v>5</v>
      </c>
      <c r="D93" s="4">
        <v>0.5625</v>
      </c>
      <c r="E93" s="4">
        <v>0.60416666666666696</v>
      </c>
      <c r="F93" s="3" t="s">
        <v>55</v>
      </c>
      <c r="G93" s="3" t="s">
        <v>56</v>
      </c>
      <c r="H93" s="3" t="s">
        <v>29</v>
      </c>
      <c r="I93" s="3" t="s">
        <v>30</v>
      </c>
      <c r="J93" s="3" t="s">
        <v>31</v>
      </c>
      <c r="K93" s="3" t="s">
        <v>52</v>
      </c>
      <c r="L93" s="5">
        <v>103</v>
      </c>
      <c r="M93" s="5">
        <f t="shared" ca="1" si="5"/>
        <v>74</v>
      </c>
      <c r="N93" s="6">
        <f t="shared" ca="1" si="6"/>
        <v>71.844660194174764</v>
      </c>
      <c r="O93" s="3" cm="1">
        <f t="array" aca="1" ref="O93" ca="1">IFERROR(LOOKUP(2, 1/((F$1:F92=F93)*(J$1:J92=J93)*(ROW(F$1:F92)&lt;ROW(F93))), N$1:N92), "")</f>
        <v>61.165048543689316</v>
      </c>
      <c r="P93" s="3">
        <f t="shared" si="9"/>
        <v>1.25</v>
      </c>
      <c r="Q93" s="3" t="s">
        <v>43</v>
      </c>
      <c r="R93" s="3" t="s">
        <v>40</v>
      </c>
      <c r="S93" s="3" t="str">
        <f t="shared" si="7"/>
        <v>No</v>
      </c>
      <c r="T93" s="3" t="s">
        <v>34</v>
      </c>
      <c r="U93" s="3" t="str">
        <f t="shared" si="8"/>
        <v>Rainy</v>
      </c>
      <c r="V93" s="3" t="s">
        <v>40</v>
      </c>
      <c r="W93" s="3" cm="1">
        <f t="array" ref="W93">_xlfn.IFS(
OR(F93="Selenium (Hands-on)",F93="Guest Lecture: HR Interview"),6,
OR(F93="Soft Skill",F93="Soft Skill (Examination)",F93="AWS Training",F93="AWS Session"),7,
OR(ISNUMBER(SEARCH("MAD",F93)),ISNUMBER(SEARCH("STQA",F93)),F93="CI/CD Session"),8,
OR(ISNUMBER(SEARCH("Cloud",F93)),F93="Industry Readiness Program",ISNUMBER(SEARCH("Talenlio",F93))),9,
OR(ISNUMBER(SEARCH("Innovation",F93)),F93="Mini Project"),10,
OR(ISNUMBER(SEARCH("Data Science",F93)),ISNUMBER(SEARCH("DS",F93))),11,
ISNUMBER(SEARCH("Generative AI",F93)),12
=_xlfn.IFS(
OR(F93="Selenium (Hands-on)",F93="Guest Lecture: HR Interview"),6,
OR(F93="Soft Skill",F93="Soft Skill (Examination)",F93="AWS Training",F93="AWS Session"),7,
OR(ISNUMBER(SEARCH("MAD",F93)),ISNUMBER(SEARCH("STQA",F93)),F93="CI/CD Session"),8,
OR(ISNUMBER(SEARCH("Cloud",F93)),F93="Industry Readiness Program",ISNUMBER(SEARCH("Talenlio",F93))),9,
OR(ISNUMBER(SEARCH("Innovation",F93)),F93="Mini Project"),10,
OR(ISNUMBER(SEARCH("Data Science",F93)),ISNUMBER(SEARCH("DS",F93))),11,
ISNUMBER(SEARCH("Generative AI",F93)),12
=_xlfn.IFS(
OR(F93="Selenium (Hands-on)",F93="Guest Lecture: HR Interview"),6,
OR(F93="Soft Skill",F93="Soft Skill (Examination)",F93="AWS Training",F93="AWS Session"),7,
OR(ISNUMBER(SEARCH("MAD",F93)),ISNUMBER(SEARCH("STQA",F93)),F93="CI/CD Session"),8,
OR(ISNUMBER(SEARCH("Cloud",F93)),F93="Industry Readiness Program",ISNUMBER(SEARCH("Talenlio",F93))),9,
OR(ISNUMBER(SEARCH("Innovation",F93)),F93="Mini Project"),10,
OR(ISNUMBER(SEARCH("Data Science",F93)),ISNUMBER(SEARCH("DS",F93))),11,
ISNUMBER(SEARCH("Generative AI",F93)),12
=_xlfn.IFS(
OR(F93="Selenium (Hands-on)",F93="Guest Lecture: HR Interview"),6,
OR(F93="Soft Skill",F93="Soft Skill (Examination)",F93="AWS Training",F93="AWS Session"),7,
OR(ISNUMBER(SEARCH("MAD",F93)),ISNUMBER(SEARCH("STQA",F93)),F93="CI/CD Session"),8,
OR(ISNUMBER(SEARCH("Cloud",F93)),F93="Industry Readiness Program",ISNUMBER(SEARCH("Talenlio",F93))),9,
OR(ISNUMBER(SEARCH("Innovation",F93)),F93="Mini Project"),10,
OR(ISNUMBER(SEARCH("Data Science",F93)),ISNUMBER(SEARCH("DS",F93))),11,
ISNUMBER(SEARCH("Generative AI",F93)),12
))))</f>
        <v>8</v>
      </c>
      <c r="X93" s="3">
        <v>4</v>
      </c>
      <c r="Y93" s="3">
        <v>22</v>
      </c>
      <c r="Z93" s="3" t="s">
        <v>38</v>
      </c>
    </row>
    <row r="94" spans="1:26" x14ac:dyDescent="0.3">
      <c r="A94" s="2">
        <v>46209</v>
      </c>
      <c r="B94" s="3" t="s">
        <v>26</v>
      </c>
      <c r="C94" s="3">
        <v>6</v>
      </c>
      <c r="D94" s="4">
        <v>0.60416666666666696</v>
      </c>
      <c r="E94" s="4">
        <v>0.64583333333333304</v>
      </c>
      <c r="F94" s="3" t="s">
        <v>55</v>
      </c>
      <c r="G94" s="3" t="s">
        <v>56</v>
      </c>
      <c r="H94" s="3" t="s">
        <v>29</v>
      </c>
      <c r="I94" s="3" t="s">
        <v>30</v>
      </c>
      <c r="J94" s="3" t="s">
        <v>31</v>
      </c>
      <c r="K94" s="3" t="s">
        <v>52</v>
      </c>
      <c r="L94" s="5">
        <v>103</v>
      </c>
      <c r="M94" s="5">
        <f t="shared" ca="1" si="5"/>
        <v>64</v>
      </c>
      <c r="N94" s="6">
        <f t="shared" ca="1" si="6"/>
        <v>62.135922330097081</v>
      </c>
      <c r="O94" s="3" cm="1">
        <f t="array" aca="1" ref="O94" ca="1">IFERROR(LOOKUP(2, 1/((F$1:F93=F94)*(J$1:J93=J94)*(ROW(F$1:F93)&lt;ROW(F94))), N$1:N93), "")</f>
        <v>71.844660194174764</v>
      </c>
      <c r="P94" s="3">
        <f t="shared" si="9"/>
        <v>0</v>
      </c>
      <c r="Q94" s="3" t="s">
        <v>43</v>
      </c>
      <c r="R94" s="3" t="s">
        <v>40</v>
      </c>
      <c r="S94" s="3" t="str">
        <f t="shared" si="7"/>
        <v>No</v>
      </c>
      <c r="T94" s="3" t="s">
        <v>34</v>
      </c>
      <c r="U94" s="3" t="str">
        <f t="shared" si="8"/>
        <v>Rainy</v>
      </c>
      <c r="V94" s="3" t="s">
        <v>40</v>
      </c>
      <c r="W94" s="3" cm="1">
        <f t="array" ref="W94">_xlfn.IFS(
OR(F94="Selenium (Hands-on)",F94="Guest Lecture: HR Interview"),6,
OR(F94="Soft Skill",F94="Soft Skill (Examination)",F94="AWS Training",F94="AWS Session"),7,
OR(ISNUMBER(SEARCH("MAD",F94)),ISNUMBER(SEARCH("STQA",F94)),F94="CI/CD Session"),8,
OR(ISNUMBER(SEARCH("Cloud",F94)),F94="Industry Readiness Program",ISNUMBER(SEARCH("Talenlio",F94))),9,
OR(ISNUMBER(SEARCH("Innovation",F94)),F94="Mini Project"),10,
OR(ISNUMBER(SEARCH("Data Science",F94)),ISNUMBER(SEARCH("DS",F94))),11,
ISNUMBER(SEARCH("Generative AI",F94)),12
=_xlfn.IFS(
OR(F94="Selenium (Hands-on)",F94="Guest Lecture: HR Interview"),6,
OR(F94="Soft Skill",F94="Soft Skill (Examination)",F94="AWS Training",F94="AWS Session"),7,
OR(ISNUMBER(SEARCH("MAD",F94)),ISNUMBER(SEARCH("STQA",F94)),F94="CI/CD Session"),8,
OR(ISNUMBER(SEARCH("Cloud",F94)),F94="Industry Readiness Program",ISNUMBER(SEARCH("Talenlio",F94))),9,
OR(ISNUMBER(SEARCH("Innovation",F94)),F94="Mini Project"),10,
OR(ISNUMBER(SEARCH("Data Science",F94)),ISNUMBER(SEARCH("DS",F94))),11,
ISNUMBER(SEARCH("Generative AI",F94)),12
=_xlfn.IFS(
OR(F94="Selenium (Hands-on)",F94="Guest Lecture: HR Interview"),6,
OR(F94="Soft Skill",F94="Soft Skill (Examination)",F94="AWS Training",F94="AWS Session"),7,
OR(ISNUMBER(SEARCH("MAD",F94)),ISNUMBER(SEARCH("STQA",F94)),F94="CI/CD Session"),8,
OR(ISNUMBER(SEARCH("Cloud",F94)),F94="Industry Readiness Program",ISNUMBER(SEARCH("Talenlio",F94))),9,
OR(ISNUMBER(SEARCH("Innovation",F94)),F94="Mini Project"),10,
OR(ISNUMBER(SEARCH("Data Science",F94)),ISNUMBER(SEARCH("DS",F94))),11,
ISNUMBER(SEARCH("Generative AI",F94)),12
=_xlfn.IFS(
OR(F94="Selenium (Hands-on)",F94="Guest Lecture: HR Interview"),6,
OR(F94="Soft Skill",F94="Soft Skill (Examination)",F94="AWS Training",F94="AWS Session"),7,
OR(ISNUMBER(SEARCH("MAD",F94)),ISNUMBER(SEARCH("STQA",F94)),F94="CI/CD Session"),8,
OR(ISNUMBER(SEARCH("Cloud",F94)),F94="Industry Readiness Program",ISNUMBER(SEARCH("Talenlio",F94))),9,
OR(ISNUMBER(SEARCH("Innovation",F94)),F94="Mini Project"),10,
OR(ISNUMBER(SEARCH("Data Science",F94)),ISNUMBER(SEARCH("DS",F94))),11,
ISNUMBER(SEARCH("Generative AI",F94)),12
))))</f>
        <v>8</v>
      </c>
      <c r="X94" s="3">
        <v>4</v>
      </c>
      <c r="Y94" s="3">
        <v>22</v>
      </c>
      <c r="Z94" s="3" t="s">
        <v>38</v>
      </c>
    </row>
    <row r="95" spans="1:26" x14ac:dyDescent="0.3">
      <c r="A95" s="2">
        <v>46210</v>
      </c>
      <c r="B95" s="3" t="s">
        <v>39</v>
      </c>
      <c r="C95" s="3">
        <v>1</v>
      </c>
      <c r="D95" s="4">
        <v>0.35416666666666702</v>
      </c>
      <c r="E95" s="4">
        <v>0.38541666666666702</v>
      </c>
      <c r="F95" s="3" t="s">
        <v>50</v>
      </c>
      <c r="G95" s="3" t="s">
        <v>51</v>
      </c>
      <c r="H95" s="3" t="s">
        <v>29</v>
      </c>
      <c r="I95" s="3" t="s">
        <v>30</v>
      </c>
      <c r="J95" s="3" t="s">
        <v>31</v>
      </c>
      <c r="K95" s="3" t="s">
        <v>52</v>
      </c>
      <c r="L95" s="5">
        <v>103</v>
      </c>
      <c r="M95" s="5">
        <f t="shared" ca="1" si="5"/>
        <v>57</v>
      </c>
      <c r="N95" s="6">
        <f t="shared" ca="1" si="6"/>
        <v>55.339805825242713</v>
      </c>
      <c r="O95" s="3" cm="1">
        <f t="array" aca="1" ref="O95" ca="1">IFERROR(LOOKUP(2, 1/((F$1:F94=F95)*(J$1:J94=J95)*(ROW(F$1:F94)&lt;ROW(F95))), N$1:N94), "")</f>
        <v>65.048543689320397</v>
      </c>
      <c r="P95" s="3">
        <f t="shared" si="9"/>
        <v>0</v>
      </c>
      <c r="Q95" s="3" t="s">
        <v>43</v>
      </c>
      <c r="R95" s="3" t="s">
        <v>40</v>
      </c>
      <c r="S95" s="3" t="str">
        <f t="shared" si="7"/>
        <v>No</v>
      </c>
      <c r="T95" s="3" t="s">
        <v>40</v>
      </c>
      <c r="U95" s="3" t="str">
        <f t="shared" si="8"/>
        <v>Rainy</v>
      </c>
      <c r="V95" s="3" t="s">
        <v>40</v>
      </c>
      <c r="W95" s="3" cm="1">
        <f t="array" ref="W95">_xlfn.IFS(
OR(F95="Selenium (Hands-on)",F95="Guest Lecture: HR Interview"),6,
OR(F95="Soft Skill",F95="Soft Skill (Examination)",F95="AWS Training",F95="AWS Session"),7,
OR(ISNUMBER(SEARCH("MAD",F95)),ISNUMBER(SEARCH("STQA",F95)),F95="CI/CD Session"),8,
OR(ISNUMBER(SEARCH("Cloud",F95)),F95="Industry Readiness Program",ISNUMBER(SEARCH("Talenlio",F95))),9,
OR(ISNUMBER(SEARCH("Innovation",F95)),F95="Mini Project"),10,
OR(ISNUMBER(SEARCH("Data Science",F95)),ISNUMBER(SEARCH("DS",F95))),11,
ISNUMBER(SEARCH("Generative AI",F95)),12
=_xlfn.IFS(
OR(F95="Selenium (Hands-on)",F95="Guest Lecture: HR Interview"),6,
OR(F95="Soft Skill",F95="Soft Skill (Examination)",F95="AWS Training",F95="AWS Session"),7,
OR(ISNUMBER(SEARCH("MAD",F95)),ISNUMBER(SEARCH("STQA",F95)),F95="CI/CD Session"),8,
OR(ISNUMBER(SEARCH("Cloud",F95)),F95="Industry Readiness Program",ISNUMBER(SEARCH("Talenlio",F95))),9,
OR(ISNUMBER(SEARCH("Innovation",F95)),F95="Mini Project"),10,
OR(ISNUMBER(SEARCH("Data Science",F95)),ISNUMBER(SEARCH("DS",F95))),11,
ISNUMBER(SEARCH("Generative AI",F95)),12
=_xlfn.IFS(
OR(F95="Selenium (Hands-on)",F95="Guest Lecture: HR Interview"),6,
OR(F95="Soft Skill",F95="Soft Skill (Examination)",F95="AWS Training",F95="AWS Session"),7,
OR(ISNUMBER(SEARCH("MAD",F95)),ISNUMBER(SEARCH("STQA",F95)),F95="CI/CD Session"),8,
OR(ISNUMBER(SEARCH("Cloud",F95)),F95="Industry Readiness Program",ISNUMBER(SEARCH("Talenlio",F95))),9,
OR(ISNUMBER(SEARCH("Innovation",F95)),F95="Mini Project"),10,
OR(ISNUMBER(SEARCH("Data Science",F95)),ISNUMBER(SEARCH("DS",F95))),11,
ISNUMBER(SEARCH("Generative AI",F95)),12
=_xlfn.IFS(
OR(F95="Selenium (Hands-on)",F95="Guest Lecture: HR Interview"),6,
OR(F95="Soft Skill",F95="Soft Skill (Examination)",F95="AWS Training",F95="AWS Session"),7,
OR(ISNUMBER(SEARCH("MAD",F95)),ISNUMBER(SEARCH("STQA",F95)),F95="CI/CD Session"),8,
OR(ISNUMBER(SEARCH("Cloud",F95)),F95="Industry Readiness Program",ISNUMBER(SEARCH("Talenlio",F95))),9,
OR(ISNUMBER(SEARCH("Innovation",F95)),F95="Mini Project"),10,
OR(ISNUMBER(SEARCH("Data Science",F95)),ISNUMBER(SEARCH("DS",F95))),11,
ISNUMBER(SEARCH("Generative AI",F95)),12
))))</f>
        <v>8</v>
      </c>
      <c r="X95" s="3">
        <v>4</v>
      </c>
      <c r="Y95" s="3">
        <v>23</v>
      </c>
      <c r="Z95" s="3" t="s">
        <v>35</v>
      </c>
    </row>
    <row r="96" spans="1:26" x14ac:dyDescent="0.3">
      <c r="A96" s="2">
        <v>46210</v>
      </c>
      <c r="B96" s="3" t="s">
        <v>39</v>
      </c>
      <c r="C96" s="3">
        <v>2</v>
      </c>
      <c r="D96" s="4">
        <v>0.38541666666666702</v>
      </c>
      <c r="E96" s="4">
        <v>0.42708333333333298</v>
      </c>
      <c r="F96" s="3" t="s">
        <v>50</v>
      </c>
      <c r="G96" s="3" t="s">
        <v>51</v>
      </c>
      <c r="H96" s="3" t="s">
        <v>29</v>
      </c>
      <c r="I96" s="3" t="s">
        <v>30</v>
      </c>
      <c r="J96" s="3" t="s">
        <v>31</v>
      </c>
      <c r="K96" s="3" t="s">
        <v>52</v>
      </c>
      <c r="L96" s="5">
        <v>103</v>
      </c>
      <c r="M96" s="5">
        <f t="shared" ca="1" si="5"/>
        <v>44</v>
      </c>
      <c r="N96" s="6">
        <f t="shared" ca="1" si="6"/>
        <v>42.718446601941743</v>
      </c>
      <c r="O96" s="3" cm="1">
        <f t="array" aca="1" ref="O96" ca="1">IFERROR(LOOKUP(2, 1/((F$1:F95=F96)*(J$1:J95=J96)*(ROW(F$1:F95)&lt;ROW(F96))), N$1:N95), "")</f>
        <v>55.339805825242713</v>
      </c>
      <c r="P96" s="3">
        <f t="shared" si="9"/>
        <v>0</v>
      </c>
      <c r="Q96" s="3" t="s">
        <v>43</v>
      </c>
      <c r="R96" s="3" t="s">
        <v>40</v>
      </c>
      <c r="S96" s="3" t="str">
        <f t="shared" si="7"/>
        <v>No</v>
      </c>
      <c r="T96" s="3" t="s">
        <v>40</v>
      </c>
      <c r="U96" s="3" t="str">
        <f t="shared" si="8"/>
        <v>Rainy</v>
      </c>
      <c r="V96" s="3" t="s">
        <v>40</v>
      </c>
      <c r="W96" s="3" cm="1">
        <f t="array" ref="W96">_xlfn.IFS(
OR(F96="Selenium (Hands-on)",F96="Guest Lecture: HR Interview"),6,
OR(F96="Soft Skill",F96="Soft Skill (Examination)",F96="AWS Training",F96="AWS Session"),7,
OR(ISNUMBER(SEARCH("MAD",F96)),ISNUMBER(SEARCH("STQA",F96)),F96="CI/CD Session"),8,
OR(ISNUMBER(SEARCH("Cloud",F96)),F96="Industry Readiness Program",ISNUMBER(SEARCH("Talenlio",F96))),9,
OR(ISNUMBER(SEARCH("Innovation",F96)),F96="Mini Project"),10,
OR(ISNUMBER(SEARCH("Data Science",F96)),ISNUMBER(SEARCH("DS",F96))),11,
ISNUMBER(SEARCH("Generative AI",F96)),12
=_xlfn.IFS(
OR(F96="Selenium (Hands-on)",F96="Guest Lecture: HR Interview"),6,
OR(F96="Soft Skill",F96="Soft Skill (Examination)",F96="AWS Training",F96="AWS Session"),7,
OR(ISNUMBER(SEARCH("MAD",F96)),ISNUMBER(SEARCH("STQA",F96)),F96="CI/CD Session"),8,
OR(ISNUMBER(SEARCH("Cloud",F96)),F96="Industry Readiness Program",ISNUMBER(SEARCH("Talenlio",F96))),9,
OR(ISNUMBER(SEARCH("Innovation",F96)),F96="Mini Project"),10,
OR(ISNUMBER(SEARCH("Data Science",F96)),ISNUMBER(SEARCH("DS",F96))),11,
ISNUMBER(SEARCH("Generative AI",F96)),12
=_xlfn.IFS(
OR(F96="Selenium (Hands-on)",F96="Guest Lecture: HR Interview"),6,
OR(F96="Soft Skill",F96="Soft Skill (Examination)",F96="AWS Training",F96="AWS Session"),7,
OR(ISNUMBER(SEARCH("MAD",F96)),ISNUMBER(SEARCH("STQA",F96)),F96="CI/CD Session"),8,
OR(ISNUMBER(SEARCH("Cloud",F96)),F96="Industry Readiness Program",ISNUMBER(SEARCH("Talenlio",F96))),9,
OR(ISNUMBER(SEARCH("Innovation",F96)),F96="Mini Project"),10,
OR(ISNUMBER(SEARCH("Data Science",F96)),ISNUMBER(SEARCH("DS",F96))),11,
ISNUMBER(SEARCH("Generative AI",F96)),12
=_xlfn.IFS(
OR(F96="Selenium (Hands-on)",F96="Guest Lecture: HR Interview"),6,
OR(F96="Soft Skill",F96="Soft Skill (Examination)",F96="AWS Training",F96="AWS Session"),7,
OR(ISNUMBER(SEARCH("MAD",F96)),ISNUMBER(SEARCH("STQA",F96)),F96="CI/CD Session"),8,
OR(ISNUMBER(SEARCH("Cloud",F96)),F96="Industry Readiness Program",ISNUMBER(SEARCH("Talenlio",F96))),9,
OR(ISNUMBER(SEARCH("Innovation",F96)),F96="Mini Project"),10,
OR(ISNUMBER(SEARCH("Data Science",F96)),ISNUMBER(SEARCH("DS",F96))),11,
ISNUMBER(SEARCH("Generative AI",F96)),12
))))</f>
        <v>8</v>
      </c>
      <c r="X96" s="3">
        <v>4</v>
      </c>
      <c r="Y96" s="3">
        <v>23</v>
      </c>
      <c r="Z96" s="3" t="s">
        <v>35</v>
      </c>
    </row>
    <row r="97" spans="1:26" x14ac:dyDescent="0.3">
      <c r="A97" s="2">
        <v>46210</v>
      </c>
      <c r="B97" s="3" t="s">
        <v>39</v>
      </c>
      <c r="C97" s="3">
        <v>3</v>
      </c>
      <c r="D97" s="4">
        <v>0.42708333333333298</v>
      </c>
      <c r="E97" s="4">
        <v>0.46875</v>
      </c>
      <c r="F97" s="3" t="s">
        <v>57</v>
      </c>
      <c r="G97" s="3" t="s">
        <v>58</v>
      </c>
      <c r="H97" s="3" t="s">
        <v>29</v>
      </c>
      <c r="I97" s="3" t="s">
        <v>30</v>
      </c>
      <c r="J97" s="3" t="s">
        <v>31</v>
      </c>
      <c r="K97" s="3" t="s">
        <v>52</v>
      </c>
      <c r="L97" s="5">
        <v>103</v>
      </c>
      <c r="M97" s="5">
        <f t="shared" ca="1" si="5"/>
        <v>89</v>
      </c>
      <c r="N97" s="6">
        <f t="shared" ca="1" si="6"/>
        <v>86.40776699029125</v>
      </c>
      <c r="O97" s="3" cm="1">
        <f t="array" aca="1" ref="O97" ca="1">IFERROR(LOOKUP(2, 1/((F$1:F96=F97)*(J$1:J96=J97)*(ROW(F$1:F96)&lt;ROW(F97))), N$1:N96), "")</f>
        <v>86.40776699029125</v>
      </c>
      <c r="P97" s="3">
        <f t="shared" si="9"/>
        <v>0</v>
      </c>
      <c r="Q97" s="3" t="s">
        <v>33</v>
      </c>
      <c r="R97" s="3" t="s">
        <v>40</v>
      </c>
      <c r="S97" s="3" t="str">
        <f t="shared" si="7"/>
        <v>No</v>
      </c>
      <c r="T97" s="3" t="s">
        <v>40</v>
      </c>
      <c r="U97" s="3" t="str">
        <f t="shared" si="8"/>
        <v>Rainy</v>
      </c>
      <c r="V97" s="3" t="s">
        <v>40</v>
      </c>
      <c r="W97" s="3" cm="1">
        <f t="array" ref="W97">_xlfn.IFS(
OR(F97="Selenium (Hands-on)",F97="Guest Lecture: HR Interview"),6,
OR(F97="Soft Skill",F97="Soft Skill (Examination)",F97="AWS Training",F97="AWS Session"),7,
OR(ISNUMBER(SEARCH("MAD",F97)),ISNUMBER(SEARCH("STQA",F97)),F97="CI/CD Session"),8,
OR(ISNUMBER(SEARCH("Cloud",F97)),F97="Industry Readiness Program",ISNUMBER(SEARCH("Talenlio",F97))),9,
OR(ISNUMBER(SEARCH("Innovation",F97)),F97="Mini Project"),10,
OR(ISNUMBER(SEARCH("Data Science",F97)),ISNUMBER(SEARCH("DS",F97))),11,
ISNUMBER(SEARCH("Generative AI",F97)),12
=_xlfn.IFS(
OR(F97="Selenium (Hands-on)",F97="Guest Lecture: HR Interview"),6,
OR(F97="Soft Skill",F97="Soft Skill (Examination)",F97="AWS Training",F97="AWS Session"),7,
OR(ISNUMBER(SEARCH("MAD",F97)),ISNUMBER(SEARCH("STQA",F97)),F97="CI/CD Session"),8,
OR(ISNUMBER(SEARCH("Cloud",F97)),F97="Industry Readiness Program",ISNUMBER(SEARCH("Talenlio",F97))),9,
OR(ISNUMBER(SEARCH("Innovation",F97)),F97="Mini Project"),10,
OR(ISNUMBER(SEARCH("Data Science",F97)),ISNUMBER(SEARCH("DS",F97))),11,
ISNUMBER(SEARCH("Generative AI",F97)),12
=_xlfn.IFS(
OR(F97="Selenium (Hands-on)",F97="Guest Lecture: HR Interview"),6,
OR(F97="Soft Skill",F97="Soft Skill (Examination)",F97="AWS Training",F97="AWS Session"),7,
OR(ISNUMBER(SEARCH("MAD",F97)),ISNUMBER(SEARCH("STQA",F97)),F97="CI/CD Session"),8,
OR(ISNUMBER(SEARCH("Cloud",F97)),F97="Industry Readiness Program",ISNUMBER(SEARCH("Talenlio",F97))),9,
OR(ISNUMBER(SEARCH("Innovation",F97)),F97="Mini Project"),10,
OR(ISNUMBER(SEARCH("Data Science",F97)),ISNUMBER(SEARCH("DS",F97))),11,
ISNUMBER(SEARCH("Generative AI",F97)),12
=_xlfn.IFS(
OR(F97="Selenium (Hands-on)",F97="Guest Lecture: HR Interview"),6,
OR(F97="Soft Skill",F97="Soft Skill (Examination)",F97="AWS Training",F97="AWS Session"),7,
OR(ISNUMBER(SEARCH("MAD",F97)),ISNUMBER(SEARCH("STQA",F97)),F97="CI/CD Session"),8,
OR(ISNUMBER(SEARCH("Cloud",F97)),F97="Industry Readiness Program",ISNUMBER(SEARCH("Talenlio",F97))),9,
OR(ISNUMBER(SEARCH("Innovation",F97)),F97="Mini Project"),10,
OR(ISNUMBER(SEARCH("Data Science",F97)),ISNUMBER(SEARCH("DS",F97))),11,
ISNUMBER(SEARCH("Generative AI",F97)),12
))))</f>
        <v>9</v>
      </c>
      <c r="X97" s="3">
        <v>4</v>
      </c>
      <c r="Y97" s="3">
        <v>23</v>
      </c>
      <c r="Z97" s="3" t="s">
        <v>35</v>
      </c>
    </row>
    <row r="98" spans="1:26" x14ac:dyDescent="0.3">
      <c r="A98" s="2">
        <v>46210</v>
      </c>
      <c r="B98" s="3" t="s">
        <v>39</v>
      </c>
      <c r="C98" s="3">
        <v>4</v>
      </c>
      <c r="D98" s="4">
        <v>0.46875</v>
      </c>
      <c r="E98" s="4">
        <v>0.51041666666666696</v>
      </c>
      <c r="F98" s="3" t="s">
        <v>59</v>
      </c>
      <c r="G98" s="3" t="s">
        <v>60</v>
      </c>
      <c r="H98" s="3" t="s">
        <v>29</v>
      </c>
      <c r="I98" s="3" t="s">
        <v>30</v>
      </c>
      <c r="J98" s="3" t="s">
        <v>31</v>
      </c>
      <c r="K98" s="3" t="s">
        <v>52</v>
      </c>
      <c r="L98" s="5">
        <v>103</v>
      </c>
      <c r="M98" s="5">
        <f t="shared" ca="1" si="5"/>
        <v>98</v>
      </c>
      <c r="N98" s="6">
        <f t="shared" ca="1" si="6"/>
        <v>95.145631067961162</v>
      </c>
      <c r="O98" s="3" cm="1">
        <f t="array" aca="1" ref="O98" ca="1">IFERROR(LOOKUP(2, 1/((F$1:F97=F98)*(J$1:J97=J98)*(ROW(F$1:F97)&lt;ROW(F98))), N$1:N97), "")</f>
        <v>42.718446601941743</v>
      </c>
      <c r="P98" s="3">
        <f t="shared" si="9"/>
        <v>0</v>
      </c>
      <c r="Q98" s="3" t="s">
        <v>33</v>
      </c>
      <c r="R98" s="3" t="s">
        <v>40</v>
      </c>
      <c r="S98" s="3" t="str">
        <f t="shared" si="7"/>
        <v>No</v>
      </c>
      <c r="T98" s="3" t="s">
        <v>40</v>
      </c>
      <c r="U98" s="3" t="str">
        <f t="shared" si="8"/>
        <v>Rainy</v>
      </c>
      <c r="V98" s="3" t="s">
        <v>40</v>
      </c>
      <c r="W98" s="3" cm="1">
        <f t="array" ref="W98">_xlfn.IFS(
OR(F98="Selenium (Hands-on)",F98="Guest Lecture: HR Interview"),6,
OR(F98="Soft Skill",F98="Soft Skill (Examination)",F98="AWS Training",F98="AWS Session"),7,
OR(ISNUMBER(SEARCH("MAD",F98)),ISNUMBER(SEARCH("STQA",F98)),F98="CI/CD Session"),8,
OR(ISNUMBER(SEARCH("Cloud",F98)),F98="Industry Readiness Program",ISNUMBER(SEARCH("Talenlio",F98))),9,
OR(ISNUMBER(SEARCH("Innovation",F98)),F98="Mini Project"),10,
OR(ISNUMBER(SEARCH("Data Science",F98)),ISNUMBER(SEARCH("DS",F98))),11,
ISNUMBER(SEARCH("Generative AI",F98)),12
=_xlfn.IFS(
OR(F98="Selenium (Hands-on)",F98="Guest Lecture: HR Interview"),6,
OR(F98="Soft Skill",F98="Soft Skill (Examination)",F98="AWS Training",F98="AWS Session"),7,
OR(ISNUMBER(SEARCH("MAD",F98)),ISNUMBER(SEARCH("STQA",F98)),F98="CI/CD Session"),8,
OR(ISNUMBER(SEARCH("Cloud",F98)),F98="Industry Readiness Program",ISNUMBER(SEARCH("Talenlio",F98))),9,
OR(ISNUMBER(SEARCH("Innovation",F98)),F98="Mini Project"),10,
OR(ISNUMBER(SEARCH("Data Science",F98)),ISNUMBER(SEARCH("DS",F98))),11,
ISNUMBER(SEARCH("Generative AI",F98)),12
=_xlfn.IFS(
OR(F98="Selenium (Hands-on)",F98="Guest Lecture: HR Interview"),6,
OR(F98="Soft Skill",F98="Soft Skill (Examination)",F98="AWS Training",F98="AWS Session"),7,
OR(ISNUMBER(SEARCH("MAD",F98)),ISNUMBER(SEARCH("STQA",F98)),F98="CI/CD Session"),8,
OR(ISNUMBER(SEARCH("Cloud",F98)),F98="Industry Readiness Program",ISNUMBER(SEARCH("Talenlio",F98))),9,
OR(ISNUMBER(SEARCH("Innovation",F98)),F98="Mini Project"),10,
OR(ISNUMBER(SEARCH("Data Science",F98)),ISNUMBER(SEARCH("DS",F98))),11,
ISNUMBER(SEARCH("Generative AI",F98)),12
=_xlfn.IFS(
OR(F98="Selenium (Hands-on)",F98="Guest Lecture: HR Interview"),6,
OR(F98="Soft Skill",F98="Soft Skill (Examination)",F98="AWS Training",F98="AWS Session"),7,
OR(ISNUMBER(SEARCH("MAD",F98)),ISNUMBER(SEARCH("STQA",F98)),F98="CI/CD Session"),8,
OR(ISNUMBER(SEARCH("Cloud",F98)),F98="Industry Readiness Program",ISNUMBER(SEARCH("Talenlio",F98))),9,
OR(ISNUMBER(SEARCH("Innovation",F98)),F98="Mini Project"),10,
OR(ISNUMBER(SEARCH("Data Science",F98)),ISNUMBER(SEARCH("DS",F98))),11,
ISNUMBER(SEARCH("Generative AI",F98)),12
))))</f>
        <v>11</v>
      </c>
      <c r="X98" s="3">
        <v>4</v>
      </c>
      <c r="Y98" s="3">
        <v>23</v>
      </c>
      <c r="Z98" s="3" t="s">
        <v>35</v>
      </c>
    </row>
    <row r="99" spans="1:26" x14ac:dyDescent="0.3">
      <c r="A99" s="2">
        <v>46210</v>
      </c>
      <c r="B99" s="3" t="s">
        <v>39</v>
      </c>
      <c r="C99" s="3">
        <v>5</v>
      </c>
      <c r="D99" s="4">
        <v>0.5625</v>
      </c>
      <c r="E99" s="4">
        <v>0.60416666666666696</v>
      </c>
      <c r="F99" s="3" t="s">
        <v>61</v>
      </c>
      <c r="G99" s="3" t="s">
        <v>60</v>
      </c>
      <c r="H99" s="3" t="s">
        <v>29</v>
      </c>
      <c r="I99" s="3" t="s">
        <v>30</v>
      </c>
      <c r="J99" s="3" t="s">
        <v>31</v>
      </c>
      <c r="K99" s="3" t="s">
        <v>52</v>
      </c>
      <c r="L99" s="5">
        <v>103</v>
      </c>
      <c r="M99" s="5">
        <f t="shared" ca="1" si="5"/>
        <v>69</v>
      </c>
      <c r="N99" s="6">
        <f t="shared" ca="1" si="6"/>
        <v>66.990291262135926</v>
      </c>
      <c r="O99" s="3" cm="1">
        <f t="array" aca="1" ref="O99" ca="1">IFERROR(LOOKUP(2, 1/((F$1:F98=F99)*(J$1:J98=J99)*(ROW(F$1:F98)&lt;ROW(F99))), N$1:N98), "")</f>
        <v>67.961165048543691</v>
      </c>
      <c r="P99" s="3">
        <f t="shared" si="9"/>
        <v>1.25</v>
      </c>
      <c r="Q99" s="3" t="s">
        <v>43</v>
      </c>
      <c r="R99" s="3" t="s">
        <v>40</v>
      </c>
      <c r="S99" s="3" t="str">
        <f t="shared" si="7"/>
        <v>No</v>
      </c>
      <c r="T99" s="3" t="s">
        <v>40</v>
      </c>
      <c r="U99" s="3" t="str">
        <f t="shared" si="8"/>
        <v>Rainy</v>
      </c>
      <c r="V99" s="3" t="s">
        <v>40</v>
      </c>
      <c r="W99" s="3" cm="1">
        <f t="array" ref="W99">_xlfn.IFS(
OR(F99="Selenium (Hands-on)",F99="Guest Lecture: HR Interview"),6,
OR(F99="Soft Skill",F99="Soft Skill (Examination)",F99="AWS Training",F99="AWS Session"),7,
OR(ISNUMBER(SEARCH("MAD",F99)),ISNUMBER(SEARCH("STQA",F99)),F99="CI/CD Session"),8,
OR(ISNUMBER(SEARCH("Cloud",F99)),F99="Industry Readiness Program",ISNUMBER(SEARCH("Talenlio",F99))),9,
OR(ISNUMBER(SEARCH("Innovation",F99)),F99="Mini Project"),10,
OR(ISNUMBER(SEARCH("Data Science",F99)),ISNUMBER(SEARCH("DS",F99))),11,
ISNUMBER(SEARCH("Generative AI",F99)),12
=_xlfn.IFS(
OR(F99="Selenium (Hands-on)",F99="Guest Lecture: HR Interview"),6,
OR(F99="Soft Skill",F99="Soft Skill (Examination)",F99="AWS Training",F99="AWS Session"),7,
OR(ISNUMBER(SEARCH("MAD",F99)),ISNUMBER(SEARCH("STQA",F99)),F99="CI/CD Session"),8,
OR(ISNUMBER(SEARCH("Cloud",F99)),F99="Industry Readiness Program",ISNUMBER(SEARCH("Talenlio",F99))),9,
OR(ISNUMBER(SEARCH("Innovation",F99)),F99="Mini Project"),10,
OR(ISNUMBER(SEARCH("Data Science",F99)),ISNUMBER(SEARCH("DS",F99))),11,
ISNUMBER(SEARCH("Generative AI",F99)),12
=_xlfn.IFS(
OR(F99="Selenium (Hands-on)",F99="Guest Lecture: HR Interview"),6,
OR(F99="Soft Skill",F99="Soft Skill (Examination)",F99="AWS Training",F99="AWS Session"),7,
OR(ISNUMBER(SEARCH("MAD",F99)),ISNUMBER(SEARCH("STQA",F99)),F99="CI/CD Session"),8,
OR(ISNUMBER(SEARCH("Cloud",F99)),F99="Industry Readiness Program",ISNUMBER(SEARCH("Talenlio",F99))),9,
OR(ISNUMBER(SEARCH("Innovation",F99)),F99="Mini Project"),10,
OR(ISNUMBER(SEARCH("Data Science",F99)),ISNUMBER(SEARCH("DS",F99))),11,
ISNUMBER(SEARCH("Generative AI",F99)),12
=_xlfn.IFS(
OR(F99="Selenium (Hands-on)",F99="Guest Lecture: HR Interview"),6,
OR(F99="Soft Skill",F99="Soft Skill (Examination)",F99="AWS Training",F99="AWS Session"),7,
OR(ISNUMBER(SEARCH("MAD",F99)),ISNUMBER(SEARCH("STQA",F99)),F99="CI/CD Session"),8,
OR(ISNUMBER(SEARCH("Cloud",F99)),F99="Industry Readiness Program",ISNUMBER(SEARCH("Talenlio",F99))),9,
OR(ISNUMBER(SEARCH("Innovation",F99)),F99="Mini Project"),10,
OR(ISNUMBER(SEARCH("Data Science",F99)),ISNUMBER(SEARCH("DS",F99))),11,
ISNUMBER(SEARCH("Generative AI",F99)),12
))))</f>
        <v>11</v>
      </c>
      <c r="X99" s="3">
        <v>4</v>
      </c>
      <c r="Y99" s="3">
        <v>23</v>
      </c>
      <c r="Z99" s="3" t="s">
        <v>38</v>
      </c>
    </row>
    <row r="100" spans="1:26" x14ac:dyDescent="0.3">
      <c r="A100" s="2">
        <v>46210</v>
      </c>
      <c r="B100" s="3" t="s">
        <v>39</v>
      </c>
      <c r="C100" s="3">
        <v>6</v>
      </c>
      <c r="D100" s="4">
        <v>0.60416666666666696</v>
      </c>
      <c r="E100" s="4">
        <v>0.64583333333333304</v>
      </c>
      <c r="F100" s="3" t="s">
        <v>61</v>
      </c>
      <c r="G100" s="3" t="s">
        <v>60</v>
      </c>
      <c r="H100" s="3" t="s">
        <v>29</v>
      </c>
      <c r="I100" s="3" t="s">
        <v>30</v>
      </c>
      <c r="J100" s="3" t="s">
        <v>31</v>
      </c>
      <c r="K100" s="3" t="s">
        <v>52</v>
      </c>
      <c r="L100" s="5">
        <v>103</v>
      </c>
      <c r="M100" s="5">
        <f t="shared" ca="1" si="5"/>
        <v>72</v>
      </c>
      <c r="N100" s="6">
        <f t="shared" ca="1" si="6"/>
        <v>69.902912621359221</v>
      </c>
      <c r="O100" s="3" cm="1">
        <f t="array" aca="1" ref="O100" ca="1">IFERROR(LOOKUP(2, 1/((F$1:F99=F100)*(J$1:J99=J100)*(ROW(F$1:F99)&lt;ROW(F100))), N$1:N99), "")</f>
        <v>66.990291262135926</v>
      </c>
      <c r="P100" s="3">
        <f t="shared" si="9"/>
        <v>0</v>
      </c>
      <c r="Q100" s="3" t="s">
        <v>43</v>
      </c>
      <c r="R100" s="3" t="s">
        <v>40</v>
      </c>
      <c r="S100" s="3" t="str">
        <f t="shared" si="7"/>
        <v>No</v>
      </c>
      <c r="T100" s="3" t="s">
        <v>40</v>
      </c>
      <c r="U100" s="3" t="str">
        <f t="shared" si="8"/>
        <v>Rainy</v>
      </c>
      <c r="V100" s="3" t="s">
        <v>40</v>
      </c>
      <c r="W100" s="3" cm="1">
        <f t="array" ref="W100">_xlfn.IFS(
OR(F100="Selenium (Hands-on)",F100="Guest Lecture: HR Interview"),6,
OR(F100="Soft Skill",F100="Soft Skill (Examination)",F100="AWS Training",F100="AWS Session"),7,
OR(ISNUMBER(SEARCH("MAD",F100)),ISNUMBER(SEARCH("STQA",F100)),F100="CI/CD Session"),8,
OR(ISNUMBER(SEARCH("Cloud",F100)),F100="Industry Readiness Program",ISNUMBER(SEARCH("Talenlio",F100))),9,
OR(ISNUMBER(SEARCH("Innovation",F100)),F100="Mini Project"),10,
OR(ISNUMBER(SEARCH("Data Science",F100)),ISNUMBER(SEARCH("DS",F100))),11,
ISNUMBER(SEARCH("Generative AI",F100)),12
=_xlfn.IFS(
OR(F100="Selenium (Hands-on)",F100="Guest Lecture: HR Interview"),6,
OR(F100="Soft Skill",F100="Soft Skill (Examination)",F100="AWS Training",F100="AWS Session"),7,
OR(ISNUMBER(SEARCH("MAD",F100)),ISNUMBER(SEARCH("STQA",F100)),F100="CI/CD Session"),8,
OR(ISNUMBER(SEARCH("Cloud",F100)),F100="Industry Readiness Program",ISNUMBER(SEARCH("Talenlio",F100))),9,
OR(ISNUMBER(SEARCH("Innovation",F100)),F100="Mini Project"),10,
OR(ISNUMBER(SEARCH("Data Science",F100)),ISNUMBER(SEARCH("DS",F100))),11,
ISNUMBER(SEARCH("Generative AI",F100)),12
=_xlfn.IFS(
OR(F100="Selenium (Hands-on)",F100="Guest Lecture: HR Interview"),6,
OR(F100="Soft Skill",F100="Soft Skill (Examination)",F100="AWS Training",F100="AWS Session"),7,
OR(ISNUMBER(SEARCH("MAD",F100)),ISNUMBER(SEARCH("STQA",F100)),F100="CI/CD Session"),8,
OR(ISNUMBER(SEARCH("Cloud",F100)),F100="Industry Readiness Program",ISNUMBER(SEARCH("Talenlio",F100))),9,
OR(ISNUMBER(SEARCH("Innovation",F100)),F100="Mini Project"),10,
OR(ISNUMBER(SEARCH("Data Science",F100)),ISNUMBER(SEARCH("DS",F100))),11,
ISNUMBER(SEARCH("Generative AI",F100)),12
=_xlfn.IFS(
OR(F100="Selenium (Hands-on)",F100="Guest Lecture: HR Interview"),6,
OR(F100="Soft Skill",F100="Soft Skill (Examination)",F100="AWS Training",F100="AWS Session"),7,
OR(ISNUMBER(SEARCH("MAD",F100)),ISNUMBER(SEARCH("STQA",F100)),F100="CI/CD Session"),8,
OR(ISNUMBER(SEARCH("Cloud",F100)),F100="Industry Readiness Program",ISNUMBER(SEARCH("Talenlio",F100))),9,
OR(ISNUMBER(SEARCH("Innovation",F100)),F100="Mini Project"),10,
OR(ISNUMBER(SEARCH("Data Science",F100)),ISNUMBER(SEARCH("DS",F100))),11,
ISNUMBER(SEARCH("Generative AI",F100)),12
))))</f>
        <v>11</v>
      </c>
      <c r="X100" s="3">
        <v>4</v>
      </c>
      <c r="Y100" s="3">
        <v>23</v>
      </c>
      <c r="Z100" s="3" t="s">
        <v>38</v>
      </c>
    </row>
    <row r="101" spans="1:26" x14ac:dyDescent="0.3">
      <c r="A101" s="2">
        <v>46211</v>
      </c>
      <c r="B101" s="3" t="s">
        <v>44</v>
      </c>
      <c r="C101" s="3">
        <v>1</v>
      </c>
      <c r="D101" s="4">
        <v>0.35416666666666702</v>
      </c>
      <c r="E101" s="4">
        <v>0.38541666666666702</v>
      </c>
      <c r="F101" s="3" t="s">
        <v>50</v>
      </c>
      <c r="G101" s="3" t="s">
        <v>51</v>
      </c>
      <c r="H101" s="3" t="s">
        <v>29</v>
      </c>
      <c r="I101" s="3" t="s">
        <v>30</v>
      </c>
      <c r="J101" s="3" t="s">
        <v>31</v>
      </c>
      <c r="K101" s="3" t="s">
        <v>52</v>
      </c>
      <c r="L101" s="5">
        <v>103</v>
      </c>
      <c r="M101" s="5">
        <f t="shared" ca="1" si="5"/>
        <v>71</v>
      </c>
      <c r="N101" s="6">
        <f t="shared" ca="1" si="6"/>
        <v>68.932038834951456</v>
      </c>
      <c r="O101" s="3" cm="1">
        <f t="array" aca="1" ref="O101" ca="1">IFERROR(LOOKUP(2, 1/((F$1:F100=F101)*(J$1:J100=J101)*(ROW(F$1:F100)&lt;ROW(F101))), N$1:N100), "")</f>
        <v>42.718446601941743</v>
      </c>
      <c r="P101" s="3">
        <f t="shared" si="9"/>
        <v>0</v>
      </c>
      <c r="Q101" s="3" t="s">
        <v>43</v>
      </c>
      <c r="R101" s="3" t="s">
        <v>40</v>
      </c>
      <c r="S101" s="3" t="str">
        <f t="shared" si="7"/>
        <v>No</v>
      </c>
      <c r="T101" s="3" t="s">
        <v>40</v>
      </c>
      <c r="U101" s="3" t="str">
        <f t="shared" si="8"/>
        <v>Rainy</v>
      </c>
      <c r="V101" s="3" t="s">
        <v>40</v>
      </c>
      <c r="W101" s="3" cm="1">
        <f t="array" ref="W101">_xlfn.IFS(
OR(F101="Selenium (Hands-on)",F101="Guest Lecture: HR Interview"),6,
OR(F101="Soft Skill",F101="Soft Skill (Examination)",F101="AWS Training",F101="AWS Session"),7,
OR(ISNUMBER(SEARCH("MAD",F101)),ISNUMBER(SEARCH("STQA",F101)),F101="CI/CD Session"),8,
OR(ISNUMBER(SEARCH("Cloud",F101)),F101="Industry Readiness Program",ISNUMBER(SEARCH("Talenlio",F101))),9,
OR(ISNUMBER(SEARCH("Innovation",F101)),F101="Mini Project"),10,
OR(ISNUMBER(SEARCH("Data Science",F101)),ISNUMBER(SEARCH("DS",F101))),11,
ISNUMBER(SEARCH("Generative AI",F101)),12
=_xlfn.IFS(
OR(F101="Selenium (Hands-on)",F101="Guest Lecture: HR Interview"),6,
OR(F101="Soft Skill",F101="Soft Skill (Examination)",F101="AWS Training",F101="AWS Session"),7,
OR(ISNUMBER(SEARCH("MAD",F101)),ISNUMBER(SEARCH("STQA",F101)),F101="CI/CD Session"),8,
OR(ISNUMBER(SEARCH("Cloud",F101)),F101="Industry Readiness Program",ISNUMBER(SEARCH("Talenlio",F101))),9,
OR(ISNUMBER(SEARCH("Innovation",F101)),F101="Mini Project"),10,
OR(ISNUMBER(SEARCH("Data Science",F101)),ISNUMBER(SEARCH("DS",F101))),11,
ISNUMBER(SEARCH("Generative AI",F101)),12
=_xlfn.IFS(
OR(F101="Selenium (Hands-on)",F101="Guest Lecture: HR Interview"),6,
OR(F101="Soft Skill",F101="Soft Skill (Examination)",F101="AWS Training",F101="AWS Session"),7,
OR(ISNUMBER(SEARCH("MAD",F101)),ISNUMBER(SEARCH("STQA",F101)),F101="CI/CD Session"),8,
OR(ISNUMBER(SEARCH("Cloud",F101)),F101="Industry Readiness Program",ISNUMBER(SEARCH("Talenlio",F101))),9,
OR(ISNUMBER(SEARCH("Innovation",F101)),F101="Mini Project"),10,
OR(ISNUMBER(SEARCH("Data Science",F101)),ISNUMBER(SEARCH("DS",F101))),11,
ISNUMBER(SEARCH("Generative AI",F101)),12
=_xlfn.IFS(
OR(F101="Selenium (Hands-on)",F101="Guest Lecture: HR Interview"),6,
OR(F101="Soft Skill",F101="Soft Skill (Examination)",F101="AWS Training",F101="AWS Session"),7,
OR(ISNUMBER(SEARCH("MAD",F101)),ISNUMBER(SEARCH("STQA",F101)),F101="CI/CD Session"),8,
OR(ISNUMBER(SEARCH("Cloud",F101)),F101="Industry Readiness Program",ISNUMBER(SEARCH("Talenlio",F101))),9,
OR(ISNUMBER(SEARCH("Innovation",F101)),F101="Mini Project"),10,
OR(ISNUMBER(SEARCH("Data Science",F101)),ISNUMBER(SEARCH("DS",F101))),11,
ISNUMBER(SEARCH("Generative AI",F101)),12
))))</f>
        <v>8</v>
      </c>
      <c r="X101" s="3">
        <v>4</v>
      </c>
      <c r="Y101" s="3">
        <v>24</v>
      </c>
      <c r="Z101" s="3" t="s">
        <v>35</v>
      </c>
    </row>
    <row r="102" spans="1:26" x14ac:dyDescent="0.3">
      <c r="A102" s="2">
        <v>46211</v>
      </c>
      <c r="B102" s="3" t="s">
        <v>44</v>
      </c>
      <c r="C102" s="3">
        <v>2</v>
      </c>
      <c r="D102" s="4">
        <v>0.38541666666666702</v>
      </c>
      <c r="E102" s="4">
        <v>0.42708333333333298</v>
      </c>
      <c r="F102" s="3" t="s">
        <v>50</v>
      </c>
      <c r="G102" s="3" t="s">
        <v>51</v>
      </c>
      <c r="H102" s="3" t="s">
        <v>29</v>
      </c>
      <c r="I102" s="3" t="s">
        <v>30</v>
      </c>
      <c r="J102" s="3" t="s">
        <v>31</v>
      </c>
      <c r="K102" s="3" t="s">
        <v>52</v>
      </c>
      <c r="L102" s="5">
        <v>103</v>
      </c>
      <c r="M102" s="5">
        <f t="shared" ca="1" si="5"/>
        <v>55</v>
      </c>
      <c r="N102" s="6">
        <f t="shared" ca="1" si="6"/>
        <v>53.398058252427184</v>
      </c>
      <c r="O102" s="3" cm="1">
        <f t="array" aca="1" ref="O102" ca="1">IFERROR(LOOKUP(2, 1/((F$1:F101=F102)*(J$1:J101=J102)*(ROW(F$1:F101)&lt;ROW(F102))), N$1:N101), "")</f>
        <v>68.932038834951456</v>
      </c>
      <c r="P102" s="3">
        <f t="shared" si="9"/>
        <v>0</v>
      </c>
      <c r="Q102" s="3" t="s">
        <v>43</v>
      </c>
      <c r="R102" s="3" t="s">
        <v>40</v>
      </c>
      <c r="S102" s="3" t="str">
        <f t="shared" si="7"/>
        <v>No</v>
      </c>
      <c r="T102" s="3" t="s">
        <v>40</v>
      </c>
      <c r="U102" s="3" t="str">
        <f t="shared" si="8"/>
        <v>Rainy</v>
      </c>
      <c r="V102" s="3" t="s">
        <v>40</v>
      </c>
      <c r="W102" s="3" cm="1">
        <f t="array" ref="W102">_xlfn.IFS(
OR(F102="Selenium (Hands-on)",F102="Guest Lecture: HR Interview"),6,
OR(F102="Soft Skill",F102="Soft Skill (Examination)",F102="AWS Training",F102="AWS Session"),7,
OR(ISNUMBER(SEARCH("MAD",F102)),ISNUMBER(SEARCH("STQA",F102)),F102="CI/CD Session"),8,
OR(ISNUMBER(SEARCH("Cloud",F102)),F102="Industry Readiness Program",ISNUMBER(SEARCH("Talenlio",F102))),9,
OR(ISNUMBER(SEARCH("Innovation",F102)),F102="Mini Project"),10,
OR(ISNUMBER(SEARCH("Data Science",F102)),ISNUMBER(SEARCH("DS",F102))),11,
ISNUMBER(SEARCH("Generative AI",F102)),12
=_xlfn.IFS(
OR(F102="Selenium (Hands-on)",F102="Guest Lecture: HR Interview"),6,
OR(F102="Soft Skill",F102="Soft Skill (Examination)",F102="AWS Training",F102="AWS Session"),7,
OR(ISNUMBER(SEARCH("MAD",F102)),ISNUMBER(SEARCH("STQA",F102)),F102="CI/CD Session"),8,
OR(ISNUMBER(SEARCH("Cloud",F102)),F102="Industry Readiness Program",ISNUMBER(SEARCH("Talenlio",F102))),9,
OR(ISNUMBER(SEARCH("Innovation",F102)),F102="Mini Project"),10,
OR(ISNUMBER(SEARCH("Data Science",F102)),ISNUMBER(SEARCH("DS",F102))),11,
ISNUMBER(SEARCH("Generative AI",F102)),12
=_xlfn.IFS(
OR(F102="Selenium (Hands-on)",F102="Guest Lecture: HR Interview"),6,
OR(F102="Soft Skill",F102="Soft Skill (Examination)",F102="AWS Training",F102="AWS Session"),7,
OR(ISNUMBER(SEARCH("MAD",F102)),ISNUMBER(SEARCH("STQA",F102)),F102="CI/CD Session"),8,
OR(ISNUMBER(SEARCH("Cloud",F102)),F102="Industry Readiness Program",ISNUMBER(SEARCH("Talenlio",F102))),9,
OR(ISNUMBER(SEARCH("Innovation",F102)),F102="Mini Project"),10,
OR(ISNUMBER(SEARCH("Data Science",F102)),ISNUMBER(SEARCH("DS",F102))),11,
ISNUMBER(SEARCH("Generative AI",F102)),12
=_xlfn.IFS(
OR(F102="Selenium (Hands-on)",F102="Guest Lecture: HR Interview"),6,
OR(F102="Soft Skill",F102="Soft Skill (Examination)",F102="AWS Training",F102="AWS Session"),7,
OR(ISNUMBER(SEARCH("MAD",F102)),ISNUMBER(SEARCH("STQA",F102)),F102="CI/CD Session"),8,
OR(ISNUMBER(SEARCH("Cloud",F102)),F102="Industry Readiness Program",ISNUMBER(SEARCH("Talenlio",F102))),9,
OR(ISNUMBER(SEARCH("Innovation",F102)),F102="Mini Project"),10,
OR(ISNUMBER(SEARCH("Data Science",F102)),ISNUMBER(SEARCH("DS",F102))),11,
ISNUMBER(SEARCH("Generative AI",F102)),12
))))</f>
        <v>8</v>
      </c>
      <c r="X102" s="3">
        <v>4</v>
      </c>
      <c r="Y102" s="3">
        <v>24</v>
      </c>
      <c r="Z102" s="3" t="s">
        <v>35</v>
      </c>
    </row>
    <row r="103" spans="1:26" x14ac:dyDescent="0.3">
      <c r="A103" s="2">
        <v>46211</v>
      </c>
      <c r="B103" s="3" t="s">
        <v>44</v>
      </c>
      <c r="C103" s="3">
        <v>3</v>
      </c>
      <c r="D103" s="4">
        <v>0.42708333333333298</v>
      </c>
      <c r="E103" s="4">
        <v>0.46875</v>
      </c>
      <c r="F103" s="3" t="s">
        <v>62</v>
      </c>
      <c r="G103" s="3" t="s">
        <v>56</v>
      </c>
      <c r="H103" s="3" t="s">
        <v>29</v>
      </c>
      <c r="I103" s="3" t="s">
        <v>30</v>
      </c>
      <c r="J103" s="3" t="s">
        <v>31</v>
      </c>
      <c r="K103" s="3" t="s">
        <v>52</v>
      </c>
      <c r="L103" s="5">
        <v>103</v>
      </c>
      <c r="M103" s="5">
        <f t="shared" ca="1" si="5"/>
        <v>70</v>
      </c>
      <c r="N103" s="6">
        <f t="shared" ca="1" si="6"/>
        <v>67.961165048543691</v>
      </c>
      <c r="O103" s="3" cm="1">
        <f t="array" aca="1" ref="O103" ca="1">IFERROR(LOOKUP(2, 1/((F$1:F102=F103)*(J$1:J102=J103)*(ROW(F$1:F102)&lt;ROW(F103))), N$1:N102), "")</f>
        <v>63.10679611650486</v>
      </c>
      <c r="P103" s="3">
        <f t="shared" si="9"/>
        <v>0</v>
      </c>
      <c r="Q103" s="3" t="s">
        <v>33</v>
      </c>
      <c r="R103" s="3" t="s">
        <v>40</v>
      </c>
      <c r="S103" s="3" t="str">
        <f t="shared" si="7"/>
        <v>No</v>
      </c>
      <c r="T103" s="3" t="s">
        <v>40</v>
      </c>
      <c r="U103" s="3" t="str">
        <f t="shared" si="8"/>
        <v>Rainy</v>
      </c>
      <c r="V103" s="3" t="s">
        <v>40</v>
      </c>
      <c r="W103" s="3">
        <v>7</v>
      </c>
      <c r="X103" s="3">
        <v>4</v>
      </c>
      <c r="Y103" s="3">
        <v>24</v>
      </c>
      <c r="Z103" s="3" t="s">
        <v>35</v>
      </c>
    </row>
    <row r="104" spans="1:26" x14ac:dyDescent="0.3">
      <c r="A104" s="2">
        <v>46211</v>
      </c>
      <c r="B104" s="3" t="s">
        <v>44</v>
      </c>
      <c r="C104" s="3">
        <v>4</v>
      </c>
      <c r="D104" s="4">
        <v>0.46875</v>
      </c>
      <c r="E104" s="4">
        <v>0.51041666666666696</v>
      </c>
      <c r="F104" s="3" t="s">
        <v>57</v>
      </c>
      <c r="G104" s="3" t="s">
        <v>58</v>
      </c>
      <c r="H104" s="3" t="s">
        <v>29</v>
      </c>
      <c r="I104" s="3" t="s">
        <v>30</v>
      </c>
      <c r="J104" s="3" t="s">
        <v>31</v>
      </c>
      <c r="K104" s="3" t="s">
        <v>52</v>
      </c>
      <c r="L104" s="5">
        <v>103</v>
      </c>
      <c r="M104" s="5">
        <f t="shared" ca="1" si="5"/>
        <v>98</v>
      </c>
      <c r="N104" s="6">
        <f t="shared" ca="1" si="6"/>
        <v>95.145631067961162</v>
      </c>
      <c r="O104" s="3" cm="1">
        <f t="array" aca="1" ref="O104" ca="1">IFERROR(LOOKUP(2, 1/((F$1:F103=F104)*(J$1:J103=J104)*(ROW(F$1:F103)&lt;ROW(F104))), N$1:N103), "")</f>
        <v>86.40776699029125</v>
      </c>
      <c r="P104" s="3">
        <f t="shared" si="9"/>
        <v>0</v>
      </c>
      <c r="Q104" s="3" t="s">
        <v>33</v>
      </c>
      <c r="R104" s="3" t="s">
        <v>40</v>
      </c>
      <c r="S104" s="3" t="str">
        <f t="shared" si="7"/>
        <v>No</v>
      </c>
      <c r="T104" s="3" t="s">
        <v>40</v>
      </c>
      <c r="U104" s="3" t="str">
        <f t="shared" si="8"/>
        <v>Rainy</v>
      </c>
      <c r="V104" s="3" t="s">
        <v>40</v>
      </c>
      <c r="W104" s="3" cm="1">
        <f t="array" ref="W104">_xlfn.IFS(
OR(F104="Selenium (Hands-on)",F104="Guest Lecture: HR Interview"),6,
OR(F104="Soft Skill",F104="Soft Skill (Examination)",F104="AWS Training",F104="AWS Session"),7,
OR(ISNUMBER(SEARCH("MAD",F104)),ISNUMBER(SEARCH("STQA",F104)),F104="CI/CD Session"),8,
OR(ISNUMBER(SEARCH("Cloud",F104)),F104="Industry Readiness Program",ISNUMBER(SEARCH("Talenlio",F104))),9,
OR(ISNUMBER(SEARCH("Innovation",F104)),F104="Mini Project"),10,
OR(ISNUMBER(SEARCH("Data Science",F104)),ISNUMBER(SEARCH("DS",F104))),11,
ISNUMBER(SEARCH("Generative AI",F104)),12
=_xlfn.IFS(
OR(F104="Selenium (Hands-on)",F104="Guest Lecture: HR Interview"),6,
OR(F104="Soft Skill",F104="Soft Skill (Examination)",F104="AWS Training",F104="AWS Session"),7,
OR(ISNUMBER(SEARCH("MAD",F104)),ISNUMBER(SEARCH("STQA",F104)),F104="CI/CD Session"),8,
OR(ISNUMBER(SEARCH("Cloud",F104)),F104="Industry Readiness Program",ISNUMBER(SEARCH("Talenlio",F104))),9,
OR(ISNUMBER(SEARCH("Innovation",F104)),F104="Mini Project"),10,
OR(ISNUMBER(SEARCH("Data Science",F104)),ISNUMBER(SEARCH("DS",F104))),11,
ISNUMBER(SEARCH("Generative AI",F104)),12
=_xlfn.IFS(
OR(F104="Selenium (Hands-on)",F104="Guest Lecture: HR Interview"),6,
OR(F104="Soft Skill",F104="Soft Skill (Examination)",F104="AWS Training",F104="AWS Session"),7,
OR(ISNUMBER(SEARCH("MAD",F104)),ISNUMBER(SEARCH("STQA",F104)),F104="CI/CD Session"),8,
OR(ISNUMBER(SEARCH("Cloud",F104)),F104="Industry Readiness Program",ISNUMBER(SEARCH("Talenlio",F104))),9,
OR(ISNUMBER(SEARCH("Innovation",F104)),F104="Mini Project"),10,
OR(ISNUMBER(SEARCH("Data Science",F104)),ISNUMBER(SEARCH("DS",F104))),11,
ISNUMBER(SEARCH("Generative AI",F104)),12
=_xlfn.IFS(
OR(F104="Selenium (Hands-on)",F104="Guest Lecture: HR Interview"),6,
OR(F104="Soft Skill",F104="Soft Skill (Examination)",F104="AWS Training",F104="AWS Session"),7,
OR(ISNUMBER(SEARCH("MAD",F104)),ISNUMBER(SEARCH("STQA",F104)),F104="CI/CD Session"),8,
OR(ISNUMBER(SEARCH("Cloud",F104)),F104="Industry Readiness Program",ISNUMBER(SEARCH("Talenlio",F104))),9,
OR(ISNUMBER(SEARCH("Innovation",F104)),F104="Mini Project"),10,
OR(ISNUMBER(SEARCH("Data Science",F104)),ISNUMBER(SEARCH("DS",F104))),11,
ISNUMBER(SEARCH("Generative AI",F104)),12
))))</f>
        <v>9</v>
      </c>
      <c r="X104" s="3">
        <v>4</v>
      </c>
      <c r="Y104" s="3">
        <v>24</v>
      </c>
      <c r="Z104" s="3" t="s">
        <v>35</v>
      </c>
    </row>
    <row r="105" spans="1:26" x14ac:dyDescent="0.3">
      <c r="A105" s="2">
        <v>46211</v>
      </c>
      <c r="B105" s="3" t="s">
        <v>44</v>
      </c>
      <c r="C105" s="3">
        <v>5</v>
      </c>
      <c r="D105" s="4">
        <v>0.5625</v>
      </c>
      <c r="E105" s="4">
        <v>0.60416666666666696</v>
      </c>
      <c r="F105" s="3" t="s">
        <v>53</v>
      </c>
      <c r="G105" s="3" t="s">
        <v>54</v>
      </c>
      <c r="H105" s="3" t="s">
        <v>29</v>
      </c>
      <c r="I105" s="3" t="s">
        <v>30</v>
      </c>
      <c r="J105" s="3" t="s">
        <v>31</v>
      </c>
      <c r="K105" s="3" t="s">
        <v>52</v>
      </c>
      <c r="L105" s="5">
        <v>103</v>
      </c>
      <c r="M105" s="5">
        <f t="shared" ca="1" si="5"/>
        <v>48</v>
      </c>
      <c r="N105" s="6">
        <f t="shared" ca="1" si="6"/>
        <v>46.601941747572816</v>
      </c>
      <c r="O105" s="3" cm="1">
        <f t="array" aca="1" ref="O105" ca="1">IFERROR(LOOKUP(2, 1/((F$1:F104=F105)*(J$1:J104=J105)*(ROW(F$1:F104)&lt;ROW(F105))), N$1:N104), "")</f>
        <v>60.194174757281552</v>
      </c>
      <c r="P105" s="3">
        <f t="shared" si="9"/>
        <v>1.25</v>
      </c>
      <c r="Q105" s="3" t="s">
        <v>33</v>
      </c>
      <c r="R105" s="3" t="s">
        <v>40</v>
      </c>
      <c r="S105" s="3" t="str">
        <f t="shared" si="7"/>
        <v>No</v>
      </c>
      <c r="T105" s="3" t="s">
        <v>40</v>
      </c>
      <c r="U105" s="3" t="str">
        <f t="shared" si="8"/>
        <v>Rainy</v>
      </c>
      <c r="V105" s="3" t="s">
        <v>40</v>
      </c>
      <c r="W105" s="3" cm="1">
        <f t="array" ref="W105">_xlfn.IFS(
OR(F105="Selenium (Hands-on)",F105="Guest Lecture: HR Interview"),6,
OR(F105="Soft Skill",F105="Soft Skill (Examination)",F105="AWS Training",F105="AWS Session"),7,
OR(ISNUMBER(SEARCH("MAD",F105)),ISNUMBER(SEARCH("STQA",F105)),F105="CI/CD Session"),8,
OR(ISNUMBER(SEARCH("Cloud",F105)),F105="Industry Readiness Program",ISNUMBER(SEARCH("Talenlio",F105))),9,
OR(ISNUMBER(SEARCH("Innovation",F105)),F105="Mini Project"),10,
OR(ISNUMBER(SEARCH("Data Science",F105)),ISNUMBER(SEARCH("DS",F105))),11,
ISNUMBER(SEARCH("Generative AI",F105)),12
=_xlfn.IFS(
OR(F105="Selenium (Hands-on)",F105="Guest Lecture: HR Interview"),6,
OR(F105="Soft Skill",F105="Soft Skill (Examination)",F105="AWS Training",F105="AWS Session"),7,
OR(ISNUMBER(SEARCH("MAD",F105)),ISNUMBER(SEARCH("STQA",F105)),F105="CI/CD Session"),8,
OR(ISNUMBER(SEARCH("Cloud",F105)),F105="Industry Readiness Program",ISNUMBER(SEARCH("Talenlio",F105))),9,
OR(ISNUMBER(SEARCH("Innovation",F105)),F105="Mini Project"),10,
OR(ISNUMBER(SEARCH("Data Science",F105)),ISNUMBER(SEARCH("DS",F105))),11,
ISNUMBER(SEARCH("Generative AI",F105)),12
=_xlfn.IFS(
OR(F105="Selenium (Hands-on)",F105="Guest Lecture: HR Interview"),6,
OR(F105="Soft Skill",F105="Soft Skill (Examination)",F105="AWS Training",F105="AWS Session"),7,
OR(ISNUMBER(SEARCH("MAD",F105)),ISNUMBER(SEARCH("STQA",F105)),F105="CI/CD Session"),8,
OR(ISNUMBER(SEARCH("Cloud",F105)),F105="Industry Readiness Program",ISNUMBER(SEARCH("Talenlio",F105))),9,
OR(ISNUMBER(SEARCH("Innovation",F105)),F105="Mini Project"),10,
OR(ISNUMBER(SEARCH("Data Science",F105)),ISNUMBER(SEARCH("DS",F105))),11,
ISNUMBER(SEARCH("Generative AI",F105)),12
=_xlfn.IFS(
OR(F105="Selenium (Hands-on)",F105="Guest Lecture: HR Interview"),6,
OR(F105="Soft Skill",F105="Soft Skill (Examination)",F105="AWS Training",F105="AWS Session"),7,
OR(ISNUMBER(SEARCH("MAD",F105)),ISNUMBER(SEARCH("STQA",F105)),F105="CI/CD Session"),8,
OR(ISNUMBER(SEARCH("Cloud",F105)),F105="Industry Readiness Program",ISNUMBER(SEARCH("Talenlio",F105))),9,
OR(ISNUMBER(SEARCH("Innovation",F105)),F105="Mini Project"),10,
OR(ISNUMBER(SEARCH("Data Science",F105)),ISNUMBER(SEARCH("DS",F105))),11,
ISNUMBER(SEARCH("Generative AI",F105)),12
))))</f>
        <v>10</v>
      </c>
      <c r="X105" s="3">
        <v>4</v>
      </c>
      <c r="Y105" s="3">
        <v>24</v>
      </c>
      <c r="Z105" s="3" t="s">
        <v>38</v>
      </c>
    </row>
    <row r="106" spans="1:26" x14ac:dyDescent="0.3">
      <c r="A106" s="2">
        <v>46211</v>
      </c>
      <c r="B106" s="3" t="s">
        <v>44</v>
      </c>
      <c r="C106" s="3">
        <v>6</v>
      </c>
      <c r="D106" s="4">
        <v>0.60416666666666696</v>
      </c>
      <c r="E106" s="4">
        <v>0.64583333333333304</v>
      </c>
      <c r="F106" s="3" t="s">
        <v>53</v>
      </c>
      <c r="G106" s="3" t="s">
        <v>54</v>
      </c>
      <c r="H106" s="3" t="s">
        <v>29</v>
      </c>
      <c r="I106" s="3" t="s">
        <v>30</v>
      </c>
      <c r="J106" s="3" t="s">
        <v>31</v>
      </c>
      <c r="K106" s="3" t="s">
        <v>52</v>
      </c>
      <c r="L106" s="5">
        <v>103</v>
      </c>
      <c r="M106" s="5">
        <f t="shared" ca="1" si="5"/>
        <v>79</v>
      </c>
      <c r="N106" s="6">
        <f t="shared" ca="1" si="6"/>
        <v>76.699029126213588</v>
      </c>
      <c r="O106" s="3" cm="1">
        <f t="array" aca="1" ref="O106" ca="1">IFERROR(LOOKUP(2, 1/((F$1:F105=F106)*(J$1:J105=J106)*(ROW(F$1:F105)&lt;ROW(F106))), N$1:N105), "")</f>
        <v>46.601941747572816</v>
      </c>
      <c r="P106" s="3">
        <f t="shared" si="9"/>
        <v>0</v>
      </c>
      <c r="Q106" s="3" t="s">
        <v>33</v>
      </c>
      <c r="R106" s="3" t="s">
        <v>40</v>
      </c>
      <c r="S106" s="3" t="str">
        <f t="shared" si="7"/>
        <v>No</v>
      </c>
      <c r="T106" s="3" t="s">
        <v>40</v>
      </c>
      <c r="U106" s="3" t="str">
        <f t="shared" si="8"/>
        <v>Rainy</v>
      </c>
      <c r="V106" s="3" t="s">
        <v>40</v>
      </c>
      <c r="W106" s="3" cm="1">
        <f t="array" ref="W106">_xlfn.IFS(
OR(F106="Selenium (Hands-on)",F106="Guest Lecture: HR Interview"),6,
OR(F106="Soft Skill",F106="Soft Skill (Examination)",F106="AWS Training",F106="AWS Session"),7,
OR(ISNUMBER(SEARCH("MAD",F106)),ISNUMBER(SEARCH("STQA",F106)),F106="CI/CD Session"),8,
OR(ISNUMBER(SEARCH("Cloud",F106)),F106="Industry Readiness Program",ISNUMBER(SEARCH("Talenlio",F106))),9,
OR(ISNUMBER(SEARCH("Innovation",F106)),F106="Mini Project"),10,
OR(ISNUMBER(SEARCH("Data Science",F106)),ISNUMBER(SEARCH("DS",F106))),11,
ISNUMBER(SEARCH("Generative AI",F106)),12
=_xlfn.IFS(
OR(F106="Selenium (Hands-on)",F106="Guest Lecture: HR Interview"),6,
OR(F106="Soft Skill",F106="Soft Skill (Examination)",F106="AWS Training",F106="AWS Session"),7,
OR(ISNUMBER(SEARCH("MAD",F106)),ISNUMBER(SEARCH("STQA",F106)),F106="CI/CD Session"),8,
OR(ISNUMBER(SEARCH("Cloud",F106)),F106="Industry Readiness Program",ISNUMBER(SEARCH("Talenlio",F106))),9,
OR(ISNUMBER(SEARCH("Innovation",F106)),F106="Mini Project"),10,
OR(ISNUMBER(SEARCH("Data Science",F106)),ISNUMBER(SEARCH("DS",F106))),11,
ISNUMBER(SEARCH("Generative AI",F106)),12
=_xlfn.IFS(
OR(F106="Selenium (Hands-on)",F106="Guest Lecture: HR Interview"),6,
OR(F106="Soft Skill",F106="Soft Skill (Examination)",F106="AWS Training",F106="AWS Session"),7,
OR(ISNUMBER(SEARCH("MAD",F106)),ISNUMBER(SEARCH("STQA",F106)),F106="CI/CD Session"),8,
OR(ISNUMBER(SEARCH("Cloud",F106)),F106="Industry Readiness Program",ISNUMBER(SEARCH("Talenlio",F106))),9,
OR(ISNUMBER(SEARCH("Innovation",F106)),F106="Mini Project"),10,
OR(ISNUMBER(SEARCH("Data Science",F106)),ISNUMBER(SEARCH("DS",F106))),11,
ISNUMBER(SEARCH("Generative AI",F106)),12
=_xlfn.IFS(
OR(F106="Selenium (Hands-on)",F106="Guest Lecture: HR Interview"),6,
OR(F106="Soft Skill",F106="Soft Skill (Examination)",F106="AWS Training",F106="AWS Session"),7,
OR(ISNUMBER(SEARCH("MAD",F106)),ISNUMBER(SEARCH("STQA",F106)),F106="CI/CD Session"),8,
OR(ISNUMBER(SEARCH("Cloud",F106)),F106="Industry Readiness Program",ISNUMBER(SEARCH("Talenlio",F106))),9,
OR(ISNUMBER(SEARCH("Innovation",F106)),F106="Mini Project"),10,
OR(ISNUMBER(SEARCH("Data Science",F106)),ISNUMBER(SEARCH("DS",F106))),11,
ISNUMBER(SEARCH("Generative AI",F106)),12
))))</f>
        <v>10</v>
      </c>
      <c r="X106" s="3">
        <v>4</v>
      </c>
      <c r="Y106" s="3">
        <v>24</v>
      </c>
      <c r="Z106" s="3" t="s">
        <v>38</v>
      </c>
    </row>
    <row r="107" spans="1:26" x14ac:dyDescent="0.3">
      <c r="A107" s="2">
        <v>46212</v>
      </c>
      <c r="B107" s="3" t="s">
        <v>45</v>
      </c>
      <c r="C107" s="3">
        <v>1</v>
      </c>
      <c r="D107" s="4">
        <v>0.35416666666666702</v>
      </c>
      <c r="E107" s="4">
        <v>0.38541666666666702</v>
      </c>
      <c r="F107" s="3" t="s">
        <v>50</v>
      </c>
      <c r="G107" s="3" t="s">
        <v>51</v>
      </c>
      <c r="H107" s="3" t="s">
        <v>29</v>
      </c>
      <c r="I107" s="3" t="s">
        <v>30</v>
      </c>
      <c r="J107" s="3" t="s">
        <v>31</v>
      </c>
      <c r="K107" s="3" t="s">
        <v>52</v>
      </c>
      <c r="L107" s="5">
        <v>103</v>
      </c>
      <c r="M107" s="5">
        <f t="shared" ca="1" si="5"/>
        <v>52</v>
      </c>
      <c r="N107" s="6">
        <f t="shared" ca="1" si="6"/>
        <v>50.485436893203882</v>
      </c>
      <c r="O107" s="3" cm="1">
        <f t="array" aca="1" ref="O107" ca="1">IFERROR(LOOKUP(2, 1/((F$1:F106=F107)*(J$1:J106=J107)*(ROW(F$1:F106)&lt;ROW(F107))), N$1:N106), "")</f>
        <v>53.398058252427184</v>
      </c>
      <c r="P107" s="3">
        <f t="shared" si="9"/>
        <v>0</v>
      </c>
      <c r="Q107" s="3" t="s">
        <v>43</v>
      </c>
      <c r="R107" s="3" t="s">
        <v>40</v>
      </c>
      <c r="S107" s="3" t="str">
        <f t="shared" si="7"/>
        <v>No</v>
      </c>
      <c r="T107" s="3" t="s">
        <v>40</v>
      </c>
      <c r="U107" s="3" t="str">
        <f t="shared" si="8"/>
        <v>Rainy</v>
      </c>
      <c r="V107" s="3" t="s">
        <v>40</v>
      </c>
      <c r="W107" s="3" cm="1">
        <f t="array" ref="W107">_xlfn.IFS(
OR(F107="Selenium (Hands-on)",F107="Guest Lecture: HR Interview"),6,
OR(F107="Soft Skill",F107="Soft Skill (Examination)",F107="AWS Training",F107="AWS Session"),7,
OR(ISNUMBER(SEARCH("MAD",F107)),ISNUMBER(SEARCH("STQA",F107)),F107="CI/CD Session"),8,
OR(ISNUMBER(SEARCH("Cloud",F107)),F107="Industry Readiness Program",ISNUMBER(SEARCH("Talenlio",F107))),9,
OR(ISNUMBER(SEARCH("Innovation",F107)),F107="Mini Project"),10,
OR(ISNUMBER(SEARCH("Data Science",F107)),ISNUMBER(SEARCH("DS",F107))),11,
ISNUMBER(SEARCH("Generative AI",F107)),12
=_xlfn.IFS(
OR(F107="Selenium (Hands-on)",F107="Guest Lecture: HR Interview"),6,
OR(F107="Soft Skill",F107="Soft Skill (Examination)",F107="AWS Training",F107="AWS Session"),7,
OR(ISNUMBER(SEARCH("MAD",F107)),ISNUMBER(SEARCH("STQA",F107)),F107="CI/CD Session"),8,
OR(ISNUMBER(SEARCH("Cloud",F107)),F107="Industry Readiness Program",ISNUMBER(SEARCH("Talenlio",F107))),9,
OR(ISNUMBER(SEARCH("Innovation",F107)),F107="Mini Project"),10,
OR(ISNUMBER(SEARCH("Data Science",F107)),ISNUMBER(SEARCH("DS",F107))),11,
ISNUMBER(SEARCH("Generative AI",F107)),12
=_xlfn.IFS(
OR(F107="Selenium (Hands-on)",F107="Guest Lecture: HR Interview"),6,
OR(F107="Soft Skill",F107="Soft Skill (Examination)",F107="AWS Training",F107="AWS Session"),7,
OR(ISNUMBER(SEARCH("MAD",F107)),ISNUMBER(SEARCH("STQA",F107)),F107="CI/CD Session"),8,
OR(ISNUMBER(SEARCH("Cloud",F107)),F107="Industry Readiness Program",ISNUMBER(SEARCH("Talenlio",F107))),9,
OR(ISNUMBER(SEARCH("Innovation",F107)),F107="Mini Project"),10,
OR(ISNUMBER(SEARCH("Data Science",F107)),ISNUMBER(SEARCH("DS",F107))),11,
ISNUMBER(SEARCH("Generative AI",F107)),12
=_xlfn.IFS(
OR(F107="Selenium (Hands-on)",F107="Guest Lecture: HR Interview"),6,
OR(F107="Soft Skill",F107="Soft Skill (Examination)",F107="AWS Training",F107="AWS Session"),7,
OR(ISNUMBER(SEARCH("MAD",F107)),ISNUMBER(SEARCH("STQA",F107)),F107="CI/CD Session"),8,
OR(ISNUMBER(SEARCH("Cloud",F107)),F107="Industry Readiness Program",ISNUMBER(SEARCH("Talenlio",F107))),9,
OR(ISNUMBER(SEARCH("Innovation",F107)),F107="Mini Project"),10,
OR(ISNUMBER(SEARCH("Data Science",F107)),ISNUMBER(SEARCH("DS",F107))),11,
ISNUMBER(SEARCH("Generative AI",F107)),12
))))</f>
        <v>8</v>
      </c>
      <c r="X107" s="3">
        <v>4</v>
      </c>
      <c r="Y107" s="3">
        <v>25</v>
      </c>
      <c r="Z107" s="3" t="s">
        <v>35</v>
      </c>
    </row>
    <row r="108" spans="1:26" x14ac:dyDescent="0.3">
      <c r="A108" s="2">
        <v>46212</v>
      </c>
      <c r="B108" s="3" t="s">
        <v>45</v>
      </c>
      <c r="C108" s="3">
        <v>2</v>
      </c>
      <c r="D108" s="4">
        <v>0.38541666666666702</v>
      </c>
      <c r="E108" s="4">
        <v>0.42708333333333298</v>
      </c>
      <c r="F108" s="3" t="s">
        <v>50</v>
      </c>
      <c r="G108" s="3" t="s">
        <v>51</v>
      </c>
      <c r="H108" s="3" t="s">
        <v>29</v>
      </c>
      <c r="I108" s="3" t="s">
        <v>30</v>
      </c>
      <c r="J108" s="3" t="s">
        <v>31</v>
      </c>
      <c r="K108" s="3" t="s">
        <v>52</v>
      </c>
      <c r="L108" s="5">
        <v>103</v>
      </c>
      <c r="M108" s="5">
        <f t="shared" ca="1" si="5"/>
        <v>84</v>
      </c>
      <c r="N108" s="6">
        <f t="shared" ca="1" si="6"/>
        <v>81.553398058252426</v>
      </c>
      <c r="O108" s="3" cm="1">
        <f t="array" aca="1" ref="O108" ca="1">IFERROR(LOOKUP(2, 1/((F$1:F107=F108)*(J$1:J107=J108)*(ROW(F$1:F107)&lt;ROW(F108))), N$1:N107), "")</f>
        <v>50.485436893203882</v>
      </c>
      <c r="P108" s="3">
        <f t="shared" si="9"/>
        <v>0</v>
      </c>
      <c r="Q108" s="3" t="s">
        <v>43</v>
      </c>
      <c r="R108" s="3" t="s">
        <v>40</v>
      </c>
      <c r="S108" s="3" t="str">
        <f t="shared" si="7"/>
        <v>No</v>
      </c>
      <c r="T108" s="3" t="s">
        <v>40</v>
      </c>
      <c r="U108" s="3" t="str">
        <f t="shared" si="8"/>
        <v>Rainy</v>
      </c>
      <c r="V108" s="3" t="s">
        <v>40</v>
      </c>
      <c r="W108" s="3" cm="1">
        <f t="array" ref="W108">_xlfn.IFS(
OR(F108="Selenium (Hands-on)",F108="Guest Lecture: HR Interview"),6,
OR(F108="Soft Skill",F108="Soft Skill (Examination)",F108="AWS Training",F108="AWS Session"),7,
OR(ISNUMBER(SEARCH("MAD",F108)),ISNUMBER(SEARCH("STQA",F108)),F108="CI/CD Session"),8,
OR(ISNUMBER(SEARCH("Cloud",F108)),F108="Industry Readiness Program",ISNUMBER(SEARCH("Talenlio",F108))),9,
OR(ISNUMBER(SEARCH("Innovation",F108)),F108="Mini Project"),10,
OR(ISNUMBER(SEARCH("Data Science",F108)),ISNUMBER(SEARCH("DS",F108))),11,
ISNUMBER(SEARCH("Generative AI",F108)),12
=_xlfn.IFS(
OR(F108="Selenium (Hands-on)",F108="Guest Lecture: HR Interview"),6,
OR(F108="Soft Skill",F108="Soft Skill (Examination)",F108="AWS Training",F108="AWS Session"),7,
OR(ISNUMBER(SEARCH("MAD",F108)),ISNUMBER(SEARCH("STQA",F108)),F108="CI/CD Session"),8,
OR(ISNUMBER(SEARCH("Cloud",F108)),F108="Industry Readiness Program",ISNUMBER(SEARCH("Talenlio",F108))),9,
OR(ISNUMBER(SEARCH("Innovation",F108)),F108="Mini Project"),10,
OR(ISNUMBER(SEARCH("Data Science",F108)),ISNUMBER(SEARCH("DS",F108))),11,
ISNUMBER(SEARCH("Generative AI",F108)),12
=_xlfn.IFS(
OR(F108="Selenium (Hands-on)",F108="Guest Lecture: HR Interview"),6,
OR(F108="Soft Skill",F108="Soft Skill (Examination)",F108="AWS Training",F108="AWS Session"),7,
OR(ISNUMBER(SEARCH("MAD",F108)),ISNUMBER(SEARCH("STQA",F108)),F108="CI/CD Session"),8,
OR(ISNUMBER(SEARCH("Cloud",F108)),F108="Industry Readiness Program",ISNUMBER(SEARCH("Talenlio",F108))),9,
OR(ISNUMBER(SEARCH("Innovation",F108)),F108="Mini Project"),10,
OR(ISNUMBER(SEARCH("Data Science",F108)),ISNUMBER(SEARCH("DS",F108))),11,
ISNUMBER(SEARCH("Generative AI",F108)),12
=_xlfn.IFS(
OR(F108="Selenium (Hands-on)",F108="Guest Lecture: HR Interview"),6,
OR(F108="Soft Skill",F108="Soft Skill (Examination)",F108="AWS Training",F108="AWS Session"),7,
OR(ISNUMBER(SEARCH("MAD",F108)),ISNUMBER(SEARCH("STQA",F108)),F108="CI/CD Session"),8,
OR(ISNUMBER(SEARCH("Cloud",F108)),F108="Industry Readiness Program",ISNUMBER(SEARCH("Talenlio",F108))),9,
OR(ISNUMBER(SEARCH("Innovation",F108)),F108="Mini Project"),10,
OR(ISNUMBER(SEARCH("Data Science",F108)),ISNUMBER(SEARCH("DS",F108))),11,
ISNUMBER(SEARCH("Generative AI",F108)),12
))))</f>
        <v>8</v>
      </c>
      <c r="X108" s="3">
        <v>4</v>
      </c>
      <c r="Y108" s="3">
        <v>25</v>
      </c>
      <c r="Z108" s="3" t="s">
        <v>35</v>
      </c>
    </row>
    <row r="109" spans="1:26" x14ac:dyDescent="0.3">
      <c r="A109" s="2">
        <v>46212</v>
      </c>
      <c r="B109" s="3" t="s">
        <v>45</v>
      </c>
      <c r="C109" s="3">
        <v>3</v>
      </c>
      <c r="D109" s="4">
        <v>0.42708333333333298</v>
      </c>
      <c r="E109" s="4">
        <v>0.46875</v>
      </c>
      <c r="F109" s="3" t="s">
        <v>59</v>
      </c>
      <c r="G109" s="3" t="s">
        <v>60</v>
      </c>
      <c r="H109" s="3" t="s">
        <v>29</v>
      </c>
      <c r="I109" s="3" t="s">
        <v>30</v>
      </c>
      <c r="J109" s="3" t="s">
        <v>31</v>
      </c>
      <c r="K109" s="3" t="s">
        <v>52</v>
      </c>
      <c r="L109" s="5">
        <v>103</v>
      </c>
      <c r="M109" s="5">
        <f t="shared" ca="1" si="5"/>
        <v>71</v>
      </c>
      <c r="N109" s="6">
        <f t="shared" ca="1" si="6"/>
        <v>68.932038834951456</v>
      </c>
      <c r="O109" s="3" cm="1">
        <f t="array" aca="1" ref="O109" ca="1">IFERROR(LOOKUP(2, 1/((F$1:F108=F109)*(J$1:J108=J109)*(ROW(F$1:F108)&lt;ROW(F109))), N$1:N108), "")</f>
        <v>95.145631067961162</v>
      </c>
      <c r="P109" s="3">
        <f t="shared" si="9"/>
        <v>0</v>
      </c>
      <c r="Q109" s="3" t="s">
        <v>33</v>
      </c>
      <c r="R109" s="3" t="s">
        <v>40</v>
      </c>
      <c r="S109" s="3" t="str">
        <f t="shared" si="7"/>
        <v>No</v>
      </c>
      <c r="T109" s="3" t="s">
        <v>40</v>
      </c>
      <c r="U109" s="3" t="str">
        <f t="shared" si="8"/>
        <v>Rainy</v>
      </c>
      <c r="V109" s="3" t="s">
        <v>40</v>
      </c>
      <c r="W109" s="3" cm="1">
        <f t="array" ref="W109">_xlfn.IFS(
OR(F109="Selenium (Hands-on)",F109="Guest Lecture: HR Interview"),6,
OR(F109="Soft Skill",F109="Soft Skill (Examination)",F109="AWS Training",F109="AWS Session"),7,
OR(ISNUMBER(SEARCH("MAD",F109)),ISNUMBER(SEARCH("STQA",F109)),F109="CI/CD Session"),8,
OR(ISNUMBER(SEARCH("Cloud",F109)),F109="Industry Readiness Program",ISNUMBER(SEARCH("Talenlio",F109))),9,
OR(ISNUMBER(SEARCH("Innovation",F109)),F109="Mini Project"),10,
OR(ISNUMBER(SEARCH("Data Science",F109)),ISNUMBER(SEARCH("DS",F109))),11,
ISNUMBER(SEARCH("Generative AI",F109)),12
=_xlfn.IFS(
OR(F109="Selenium (Hands-on)",F109="Guest Lecture: HR Interview"),6,
OR(F109="Soft Skill",F109="Soft Skill (Examination)",F109="AWS Training",F109="AWS Session"),7,
OR(ISNUMBER(SEARCH("MAD",F109)),ISNUMBER(SEARCH("STQA",F109)),F109="CI/CD Session"),8,
OR(ISNUMBER(SEARCH("Cloud",F109)),F109="Industry Readiness Program",ISNUMBER(SEARCH("Talenlio",F109))),9,
OR(ISNUMBER(SEARCH("Innovation",F109)),F109="Mini Project"),10,
OR(ISNUMBER(SEARCH("Data Science",F109)),ISNUMBER(SEARCH("DS",F109))),11,
ISNUMBER(SEARCH("Generative AI",F109)),12
=_xlfn.IFS(
OR(F109="Selenium (Hands-on)",F109="Guest Lecture: HR Interview"),6,
OR(F109="Soft Skill",F109="Soft Skill (Examination)",F109="AWS Training",F109="AWS Session"),7,
OR(ISNUMBER(SEARCH("MAD",F109)),ISNUMBER(SEARCH("STQA",F109)),F109="CI/CD Session"),8,
OR(ISNUMBER(SEARCH("Cloud",F109)),F109="Industry Readiness Program",ISNUMBER(SEARCH("Talenlio",F109))),9,
OR(ISNUMBER(SEARCH("Innovation",F109)),F109="Mini Project"),10,
OR(ISNUMBER(SEARCH("Data Science",F109)),ISNUMBER(SEARCH("DS",F109))),11,
ISNUMBER(SEARCH("Generative AI",F109)),12
=_xlfn.IFS(
OR(F109="Selenium (Hands-on)",F109="Guest Lecture: HR Interview"),6,
OR(F109="Soft Skill",F109="Soft Skill (Examination)",F109="AWS Training",F109="AWS Session"),7,
OR(ISNUMBER(SEARCH("MAD",F109)),ISNUMBER(SEARCH("STQA",F109)),F109="CI/CD Session"),8,
OR(ISNUMBER(SEARCH("Cloud",F109)),F109="Industry Readiness Program",ISNUMBER(SEARCH("Talenlio",F109))),9,
OR(ISNUMBER(SEARCH("Innovation",F109)),F109="Mini Project"),10,
OR(ISNUMBER(SEARCH("Data Science",F109)),ISNUMBER(SEARCH("DS",F109))),11,
ISNUMBER(SEARCH("Generative AI",F109)),12
))))</f>
        <v>11</v>
      </c>
      <c r="X109" s="3">
        <v>4</v>
      </c>
      <c r="Y109" s="3">
        <v>25</v>
      </c>
      <c r="Z109" s="3" t="s">
        <v>35</v>
      </c>
    </row>
    <row r="110" spans="1:26" x14ac:dyDescent="0.3">
      <c r="A110" s="2">
        <v>46212</v>
      </c>
      <c r="B110" s="3" t="s">
        <v>45</v>
      </c>
      <c r="C110" s="3">
        <v>4</v>
      </c>
      <c r="D110" s="4">
        <v>0.46875</v>
      </c>
      <c r="E110" s="4">
        <v>0.51041666666666696</v>
      </c>
      <c r="F110" s="3" t="s">
        <v>62</v>
      </c>
      <c r="G110" s="3" t="s">
        <v>56</v>
      </c>
      <c r="H110" s="3" t="s">
        <v>29</v>
      </c>
      <c r="I110" s="3" t="s">
        <v>30</v>
      </c>
      <c r="J110" s="3" t="s">
        <v>31</v>
      </c>
      <c r="K110" s="3" t="s">
        <v>52</v>
      </c>
      <c r="L110" s="5">
        <v>103</v>
      </c>
      <c r="M110" s="5">
        <f t="shared" ca="1" si="5"/>
        <v>46</v>
      </c>
      <c r="N110" s="6">
        <f t="shared" ca="1" si="6"/>
        <v>44.660194174757287</v>
      </c>
      <c r="O110" s="3" cm="1">
        <f t="array" aca="1" ref="O110" ca="1">IFERROR(LOOKUP(2, 1/((F$1:F109=F110)*(J$1:J109=J110)*(ROW(F$1:F109)&lt;ROW(F110))), N$1:N109), "")</f>
        <v>67.961165048543691</v>
      </c>
      <c r="P110" s="3">
        <f t="shared" si="9"/>
        <v>0</v>
      </c>
      <c r="Q110" s="3" t="s">
        <v>33</v>
      </c>
      <c r="R110" s="3" t="s">
        <v>40</v>
      </c>
      <c r="S110" s="3" t="str">
        <f t="shared" si="7"/>
        <v>No</v>
      </c>
      <c r="T110" s="3" t="s">
        <v>40</v>
      </c>
      <c r="U110" s="3" t="str">
        <f t="shared" si="8"/>
        <v>Rainy</v>
      </c>
      <c r="V110" s="3" t="s">
        <v>40</v>
      </c>
      <c r="W110" s="3">
        <v>7</v>
      </c>
      <c r="X110" s="3">
        <v>4</v>
      </c>
      <c r="Y110" s="3">
        <v>25</v>
      </c>
      <c r="Z110" s="3" t="s">
        <v>35</v>
      </c>
    </row>
    <row r="111" spans="1:26" x14ac:dyDescent="0.3">
      <c r="A111" s="2">
        <v>46212</v>
      </c>
      <c r="B111" s="3" t="s">
        <v>45</v>
      </c>
      <c r="C111" s="3">
        <v>5</v>
      </c>
      <c r="D111" s="4">
        <v>0.5625</v>
      </c>
      <c r="E111" s="4">
        <v>0.60416666666666696</v>
      </c>
      <c r="F111" s="3" t="s">
        <v>63</v>
      </c>
      <c r="G111" s="3" t="s">
        <v>64</v>
      </c>
      <c r="H111" s="3" t="s">
        <v>29</v>
      </c>
      <c r="I111" s="3" t="s">
        <v>30</v>
      </c>
      <c r="J111" s="3" t="s">
        <v>31</v>
      </c>
      <c r="K111" s="3" t="s">
        <v>52</v>
      </c>
      <c r="L111" s="5">
        <v>103</v>
      </c>
      <c r="M111" s="5">
        <f t="shared" ca="1" si="5"/>
        <v>69</v>
      </c>
      <c r="N111" s="6">
        <f t="shared" ca="1" si="6"/>
        <v>66.990291262135926</v>
      </c>
      <c r="O111" s="3" cm="1">
        <f t="array" aca="1" ref="O111" ca="1">IFERROR(LOOKUP(2, 1/((F$1:F110=F111)*(J$1:J110=J111)*(ROW(F$1:F110)&lt;ROW(F111))), N$1:N110), "")</f>
        <v>87.378640776699029</v>
      </c>
      <c r="P111" s="3">
        <f t="shared" si="9"/>
        <v>1.25</v>
      </c>
      <c r="Q111" s="3" t="s">
        <v>33</v>
      </c>
      <c r="R111" s="3" t="s">
        <v>40</v>
      </c>
      <c r="S111" s="3" t="str">
        <f t="shared" si="7"/>
        <v>No</v>
      </c>
      <c r="T111" s="3" t="s">
        <v>40</v>
      </c>
      <c r="U111" s="3" t="str">
        <f t="shared" si="8"/>
        <v>Rainy</v>
      </c>
      <c r="V111" s="3" t="s">
        <v>40</v>
      </c>
      <c r="W111" s="3" cm="1">
        <f t="array" ref="W111">_xlfn.IFS(
OR(F111="Selenium (Hands-on)",F111="Guest Lecture: HR Interview"),6,
OR(F111="Soft Skill",F111="Soft Skill (Examination)",F111="AWS Training",F111="AWS Session"),7,
OR(ISNUMBER(SEARCH("MAD",F111)),ISNUMBER(SEARCH("STQA",F111)),F111="CI/CD Session"),8,
OR(ISNUMBER(SEARCH("Cloud",F111)),F111="Industry Readiness Program",ISNUMBER(SEARCH("Talenlio",F111))),9,
OR(ISNUMBER(SEARCH("Innovation",F111)),F111="Mini Project"),10,
OR(ISNUMBER(SEARCH("Data Science",F111)),ISNUMBER(SEARCH("DS",F111))),11,
ISNUMBER(SEARCH("Generative AI",F111)),12
=_xlfn.IFS(
OR(F111="Selenium (Hands-on)",F111="Guest Lecture: HR Interview"),6,
OR(F111="Soft Skill",F111="Soft Skill (Examination)",F111="AWS Training",F111="AWS Session"),7,
OR(ISNUMBER(SEARCH("MAD",F111)),ISNUMBER(SEARCH("STQA",F111)),F111="CI/CD Session"),8,
OR(ISNUMBER(SEARCH("Cloud",F111)),F111="Industry Readiness Program",ISNUMBER(SEARCH("Talenlio",F111))),9,
OR(ISNUMBER(SEARCH("Innovation",F111)),F111="Mini Project"),10,
OR(ISNUMBER(SEARCH("Data Science",F111)),ISNUMBER(SEARCH("DS",F111))),11,
ISNUMBER(SEARCH("Generative AI",F111)),12
=_xlfn.IFS(
OR(F111="Selenium (Hands-on)",F111="Guest Lecture: HR Interview"),6,
OR(F111="Soft Skill",F111="Soft Skill (Examination)",F111="AWS Training",F111="AWS Session"),7,
OR(ISNUMBER(SEARCH("MAD",F111)),ISNUMBER(SEARCH("STQA",F111)),F111="CI/CD Session"),8,
OR(ISNUMBER(SEARCH("Cloud",F111)),F111="Industry Readiness Program",ISNUMBER(SEARCH("Talenlio",F111))),9,
OR(ISNUMBER(SEARCH("Innovation",F111)),F111="Mini Project"),10,
OR(ISNUMBER(SEARCH("Data Science",F111)),ISNUMBER(SEARCH("DS",F111))),11,
ISNUMBER(SEARCH("Generative AI",F111)),12
=_xlfn.IFS(
OR(F111="Selenium (Hands-on)",F111="Guest Lecture: HR Interview"),6,
OR(F111="Soft Skill",F111="Soft Skill (Examination)",F111="AWS Training",F111="AWS Session"),7,
OR(ISNUMBER(SEARCH("MAD",F111)),ISNUMBER(SEARCH("STQA",F111)),F111="CI/CD Session"),8,
OR(ISNUMBER(SEARCH("Cloud",F111)),F111="Industry Readiness Program",ISNUMBER(SEARCH("Talenlio",F111))),9,
OR(ISNUMBER(SEARCH("Innovation",F111)),F111="Mini Project"),10,
OR(ISNUMBER(SEARCH("Data Science",F111)),ISNUMBER(SEARCH("DS",F111))),11,
ISNUMBER(SEARCH("Generative AI",F111)),12
))))</f>
        <v>9</v>
      </c>
      <c r="X111" s="3">
        <v>4</v>
      </c>
      <c r="Y111" s="3">
        <v>25</v>
      </c>
      <c r="Z111" s="3" t="s">
        <v>38</v>
      </c>
    </row>
    <row r="112" spans="1:26" x14ac:dyDescent="0.3">
      <c r="A112" s="2">
        <v>46212</v>
      </c>
      <c r="B112" s="3" t="s">
        <v>45</v>
      </c>
      <c r="C112" s="3">
        <v>6</v>
      </c>
      <c r="D112" s="4">
        <v>0.60416666666666696</v>
      </c>
      <c r="E112" s="4">
        <v>0.64583333333333304</v>
      </c>
      <c r="F112" s="3" t="s">
        <v>63</v>
      </c>
      <c r="G112" s="3" t="s">
        <v>64</v>
      </c>
      <c r="H112" s="3" t="s">
        <v>29</v>
      </c>
      <c r="I112" s="3" t="s">
        <v>30</v>
      </c>
      <c r="J112" s="3" t="s">
        <v>31</v>
      </c>
      <c r="K112" s="3" t="s">
        <v>52</v>
      </c>
      <c r="L112" s="5">
        <v>103</v>
      </c>
      <c r="M112" s="5">
        <f t="shared" ca="1" si="5"/>
        <v>40</v>
      </c>
      <c r="N112" s="6">
        <f t="shared" ca="1" si="6"/>
        <v>38.834951456310677</v>
      </c>
      <c r="O112" s="3" cm="1">
        <f t="array" aca="1" ref="O112" ca="1">IFERROR(LOOKUP(2, 1/((F$1:F111=F112)*(J$1:J111=J112)*(ROW(F$1:F111)&lt;ROW(F112))), N$1:N111), "")</f>
        <v>66.990291262135926</v>
      </c>
      <c r="P112" s="3">
        <f t="shared" si="9"/>
        <v>0</v>
      </c>
      <c r="Q112" s="3" t="s">
        <v>33</v>
      </c>
      <c r="R112" s="3" t="s">
        <v>40</v>
      </c>
      <c r="S112" s="3" t="str">
        <f t="shared" si="7"/>
        <v>No</v>
      </c>
      <c r="T112" s="3" t="s">
        <v>40</v>
      </c>
      <c r="U112" s="3" t="str">
        <f t="shared" si="8"/>
        <v>Rainy</v>
      </c>
      <c r="V112" s="3" t="s">
        <v>40</v>
      </c>
      <c r="W112" s="3" cm="1">
        <f t="array" ref="W112">_xlfn.IFS(
OR(F112="Selenium (Hands-on)",F112="Guest Lecture: HR Interview"),6,
OR(F112="Soft Skill",F112="Soft Skill (Examination)",F112="AWS Training",F112="AWS Session"),7,
OR(ISNUMBER(SEARCH("MAD",F112)),ISNUMBER(SEARCH("STQA",F112)),F112="CI/CD Session"),8,
OR(ISNUMBER(SEARCH("Cloud",F112)),F112="Industry Readiness Program",ISNUMBER(SEARCH("Talenlio",F112))),9,
OR(ISNUMBER(SEARCH("Innovation",F112)),F112="Mini Project"),10,
OR(ISNUMBER(SEARCH("Data Science",F112)),ISNUMBER(SEARCH("DS",F112))),11,
ISNUMBER(SEARCH("Generative AI",F112)),12
=_xlfn.IFS(
OR(F112="Selenium (Hands-on)",F112="Guest Lecture: HR Interview"),6,
OR(F112="Soft Skill",F112="Soft Skill (Examination)",F112="AWS Training",F112="AWS Session"),7,
OR(ISNUMBER(SEARCH("MAD",F112)),ISNUMBER(SEARCH("STQA",F112)),F112="CI/CD Session"),8,
OR(ISNUMBER(SEARCH("Cloud",F112)),F112="Industry Readiness Program",ISNUMBER(SEARCH("Talenlio",F112))),9,
OR(ISNUMBER(SEARCH("Innovation",F112)),F112="Mini Project"),10,
OR(ISNUMBER(SEARCH("Data Science",F112)),ISNUMBER(SEARCH("DS",F112))),11,
ISNUMBER(SEARCH("Generative AI",F112)),12
=_xlfn.IFS(
OR(F112="Selenium (Hands-on)",F112="Guest Lecture: HR Interview"),6,
OR(F112="Soft Skill",F112="Soft Skill (Examination)",F112="AWS Training",F112="AWS Session"),7,
OR(ISNUMBER(SEARCH("MAD",F112)),ISNUMBER(SEARCH("STQA",F112)),F112="CI/CD Session"),8,
OR(ISNUMBER(SEARCH("Cloud",F112)),F112="Industry Readiness Program",ISNUMBER(SEARCH("Talenlio",F112))),9,
OR(ISNUMBER(SEARCH("Innovation",F112)),F112="Mini Project"),10,
OR(ISNUMBER(SEARCH("Data Science",F112)),ISNUMBER(SEARCH("DS",F112))),11,
ISNUMBER(SEARCH("Generative AI",F112)),12
=_xlfn.IFS(
OR(F112="Selenium (Hands-on)",F112="Guest Lecture: HR Interview"),6,
OR(F112="Soft Skill",F112="Soft Skill (Examination)",F112="AWS Training",F112="AWS Session"),7,
OR(ISNUMBER(SEARCH("MAD",F112)),ISNUMBER(SEARCH("STQA",F112)),F112="CI/CD Session"),8,
OR(ISNUMBER(SEARCH("Cloud",F112)),F112="Industry Readiness Program",ISNUMBER(SEARCH("Talenlio",F112))),9,
OR(ISNUMBER(SEARCH("Innovation",F112)),F112="Mini Project"),10,
OR(ISNUMBER(SEARCH("Data Science",F112)),ISNUMBER(SEARCH("DS",F112))),11,
ISNUMBER(SEARCH("Generative AI",F112)),12
))))</f>
        <v>9</v>
      </c>
      <c r="X112" s="3">
        <v>4</v>
      </c>
      <c r="Y112" s="3">
        <v>25</v>
      </c>
      <c r="Z112" s="3" t="s">
        <v>38</v>
      </c>
    </row>
    <row r="113" spans="1:26" x14ac:dyDescent="0.3">
      <c r="A113" s="2">
        <v>46213</v>
      </c>
      <c r="B113" s="3" t="s">
        <v>46</v>
      </c>
      <c r="C113" s="3">
        <v>1</v>
      </c>
      <c r="D113" s="4">
        <v>0.35416666666666702</v>
      </c>
      <c r="E113" s="4">
        <v>0.38541666666666702</v>
      </c>
      <c r="F113" s="3" t="s">
        <v>50</v>
      </c>
      <c r="G113" s="3" t="s">
        <v>51</v>
      </c>
      <c r="H113" s="3" t="s">
        <v>29</v>
      </c>
      <c r="I113" s="3" t="s">
        <v>30</v>
      </c>
      <c r="J113" s="3" t="s">
        <v>31</v>
      </c>
      <c r="K113" s="3" t="s">
        <v>52</v>
      </c>
      <c r="L113" s="5">
        <v>103</v>
      </c>
      <c r="M113" s="5">
        <f t="shared" ca="1" si="5"/>
        <v>80</v>
      </c>
      <c r="N113" s="6">
        <f t="shared" ca="1" si="6"/>
        <v>77.669902912621353</v>
      </c>
      <c r="O113" s="3" cm="1">
        <f t="array" aca="1" ref="O113" ca="1">IFERROR(LOOKUP(2, 1/((F$1:F112=F113)*(J$1:J112=J113)*(ROW(F$1:F112)&lt;ROW(F113))), N$1:N112), "")</f>
        <v>81.553398058252426</v>
      </c>
      <c r="P113" s="3">
        <f t="shared" si="9"/>
        <v>0</v>
      </c>
      <c r="Q113" s="3" t="s">
        <v>43</v>
      </c>
      <c r="R113" s="3" t="s">
        <v>40</v>
      </c>
      <c r="S113" s="3" t="str">
        <f t="shared" si="7"/>
        <v>Yes</v>
      </c>
      <c r="T113" s="3" t="s">
        <v>40</v>
      </c>
      <c r="U113" s="3" t="str">
        <f t="shared" si="8"/>
        <v>Rainy</v>
      </c>
      <c r="V113" s="3" t="s">
        <v>40</v>
      </c>
      <c r="W113" s="3" cm="1">
        <f t="array" ref="W113">_xlfn.IFS(
OR(F113="Selenium (Hands-on)",F113="Guest Lecture: HR Interview"),6,
OR(F113="Soft Skill",F113="Soft Skill (Examination)",F113="AWS Training",F113="AWS Session"),7,
OR(ISNUMBER(SEARCH("MAD",F113)),ISNUMBER(SEARCH("STQA",F113)),F113="CI/CD Session"),8,
OR(ISNUMBER(SEARCH("Cloud",F113)),F113="Industry Readiness Program",ISNUMBER(SEARCH("Talenlio",F113))),9,
OR(ISNUMBER(SEARCH("Innovation",F113)),F113="Mini Project"),10,
OR(ISNUMBER(SEARCH("Data Science",F113)),ISNUMBER(SEARCH("DS",F113))),11,
ISNUMBER(SEARCH("Generative AI",F113)),12
=_xlfn.IFS(
OR(F113="Selenium (Hands-on)",F113="Guest Lecture: HR Interview"),6,
OR(F113="Soft Skill",F113="Soft Skill (Examination)",F113="AWS Training",F113="AWS Session"),7,
OR(ISNUMBER(SEARCH("MAD",F113)),ISNUMBER(SEARCH("STQA",F113)),F113="CI/CD Session"),8,
OR(ISNUMBER(SEARCH("Cloud",F113)),F113="Industry Readiness Program",ISNUMBER(SEARCH("Talenlio",F113))),9,
OR(ISNUMBER(SEARCH("Innovation",F113)),F113="Mini Project"),10,
OR(ISNUMBER(SEARCH("Data Science",F113)),ISNUMBER(SEARCH("DS",F113))),11,
ISNUMBER(SEARCH("Generative AI",F113)),12
=_xlfn.IFS(
OR(F113="Selenium (Hands-on)",F113="Guest Lecture: HR Interview"),6,
OR(F113="Soft Skill",F113="Soft Skill (Examination)",F113="AWS Training",F113="AWS Session"),7,
OR(ISNUMBER(SEARCH("MAD",F113)),ISNUMBER(SEARCH("STQA",F113)),F113="CI/CD Session"),8,
OR(ISNUMBER(SEARCH("Cloud",F113)),F113="Industry Readiness Program",ISNUMBER(SEARCH("Talenlio",F113))),9,
OR(ISNUMBER(SEARCH("Innovation",F113)),F113="Mini Project"),10,
OR(ISNUMBER(SEARCH("Data Science",F113)),ISNUMBER(SEARCH("DS",F113))),11,
ISNUMBER(SEARCH("Generative AI",F113)),12
=_xlfn.IFS(
OR(F113="Selenium (Hands-on)",F113="Guest Lecture: HR Interview"),6,
OR(F113="Soft Skill",F113="Soft Skill (Examination)",F113="AWS Training",F113="AWS Session"),7,
OR(ISNUMBER(SEARCH("MAD",F113)),ISNUMBER(SEARCH("STQA",F113)),F113="CI/CD Session"),8,
OR(ISNUMBER(SEARCH("Cloud",F113)),F113="Industry Readiness Program",ISNUMBER(SEARCH("Talenlio",F113))),9,
OR(ISNUMBER(SEARCH("Innovation",F113)),F113="Mini Project"),10,
OR(ISNUMBER(SEARCH("Data Science",F113)),ISNUMBER(SEARCH("DS",F113))),11,
ISNUMBER(SEARCH("Generative AI",F113)),12
))))</f>
        <v>8</v>
      </c>
      <c r="X113" s="3">
        <v>4</v>
      </c>
      <c r="Y113" s="3">
        <v>26</v>
      </c>
      <c r="Z113" s="3" t="s">
        <v>35</v>
      </c>
    </row>
    <row r="114" spans="1:26" x14ac:dyDescent="0.3">
      <c r="A114" s="2">
        <v>46213</v>
      </c>
      <c r="B114" s="3" t="s">
        <v>46</v>
      </c>
      <c r="C114" s="3">
        <v>2</v>
      </c>
      <c r="D114" s="4">
        <v>0.38541666666666702</v>
      </c>
      <c r="E114" s="4">
        <v>0.42708333333333298</v>
      </c>
      <c r="F114" s="3" t="s">
        <v>50</v>
      </c>
      <c r="G114" s="3" t="s">
        <v>51</v>
      </c>
      <c r="H114" s="3" t="s">
        <v>29</v>
      </c>
      <c r="I114" s="3" t="s">
        <v>30</v>
      </c>
      <c r="J114" s="3" t="s">
        <v>31</v>
      </c>
      <c r="K114" s="3" t="s">
        <v>52</v>
      </c>
      <c r="L114" s="5">
        <v>103</v>
      </c>
      <c r="M114" s="5">
        <f t="shared" ca="1" si="5"/>
        <v>49</v>
      </c>
      <c r="N114" s="6">
        <f t="shared" ca="1" si="6"/>
        <v>47.572815533980581</v>
      </c>
      <c r="O114" s="3" cm="1">
        <f t="array" aca="1" ref="O114" ca="1">IFERROR(LOOKUP(2, 1/((F$1:F113=F114)*(J$1:J113=J114)*(ROW(F$1:F113)&lt;ROW(F114))), N$1:N113), "")</f>
        <v>77.669902912621353</v>
      </c>
      <c r="P114" s="3">
        <f t="shared" si="9"/>
        <v>0</v>
      </c>
      <c r="Q114" s="3" t="s">
        <v>43</v>
      </c>
      <c r="R114" s="3" t="s">
        <v>40</v>
      </c>
      <c r="S114" s="3" t="str">
        <f t="shared" si="7"/>
        <v>Yes</v>
      </c>
      <c r="T114" s="3" t="s">
        <v>40</v>
      </c>
      <c r="U114" s="3" t="str">
        <f t="shared" si="8"/>
        <v>Rainy</v>
      </c>
      <c r="V114" s="3" t="s">
        <v>40</v>
      </c>
      <c r="W114" s="3" cm="1">
        <f t="array" ref="W114">_xlfn.IFS(
OR(F114="Selenium (Hands-on)",F114="Guest Lecture: HR Interview"),6,
OR(F114="Soft Skill",F114="Soft Skill (Examination)",F114="AWS Training",F114="AWS Session"),7,
OR(ISNUMBER(SEARCH("MAD",F114)),ISNUMBER(SEARCH("STQA",F114)),F114="CI/CD Session"),8,
OR(ISNUMBER(SEARCH("Cloud",F114)),F114="Industry Readiness Program",ISNUMBER(SEARCH("Talenlio",F114))),9,
OR(ISNUMBER(SEARCH("Innovation",F114)),F114="Mini Project"),10,
OR(ISNUMBER(SEARCH("Data Science",F114)),ISNUMBER(SEARCH("DS",F114))),11,
ISNUMBER(SEARCH("Generative AI",F114)),12
=_xlfn.IFS(
OR(F114="Selenium (Hands-on)",F114="Guest Lecture: HR Interview"),6,
OR(F114="Soft Skill",F114="Soft Skill (Examination)",F114="AWS Training",F114="AWS Session"),7,
OR(ISNUMBER(SEARCH("MAD",F114)),ISNUMBER(SEARCH("STQA",F114)),F114="CI/CD Session"),8,
OR(ISNUMBER(SEARCH("Cloud",F114)),F114="Industry Readiness Program",ISNUMBER(SEARCH("Talenlio",F114))),9,
OR(ISNUMBER(SEARCH("Innovation",F114)),F114="Mini Project"),10,
OR(ISNUMBER(SEARCH("Data Science",F114)),ISNUMBER(SEARCH("DS",F114))),11,
ISNUMBER(SEARCH("Generative AI",F114)),12
=_xlfn.IFS(
OR(F114="Selenium (Hands-on)",F114="Guest Lecture: HR Interview"),6,
OR(F114="Soft Skill",F114="Soft Skill (Examination)",F114="AWS Training",F114="AWS Session"),7,
OR(ISNUMBER(SEARCH("MAD",F114)),ISNUMBER(SEARCH("STQA",F114)),F114="CI/CD Session"),8,
OR(ISNUMBER(SEARCH("Cloud",F114)),F114="Industry Readiness Program",ISNUMBER(SEARCH("Talenlio",F114))),9,
OR(ISNUMBER(SEARCH("Innovation",F114)),F114="Mini Project"),10,
OR(ISNUMBER(SEARCH("Data Science",F114)),ISNUMBER(SEARCH("DS",F114))),11,
ISNUMBER(SEARCH("Generative AI",F114)),12
=_xlfn.IFS(
OR(F114="Selenium (Hands-on)",F114="Guest Lecture: HR Interview"),6,
OR(F114="Soft Skill",F114="Soft Skill (Examination)",F114="AWS Training",F114="AWS Session"),7,
OR(ISNUMBER(SEARCH("MAD",F114)),ISNUMBER(SEARCH("STQA",F114)),F114="CI/CD Session"),8,
OR(ISNUMBER(SEARCH("Cloud",F114)),F114="Industry Readiness Program",ISNUMBER(SEARCH("Talenlio",F114))),9,
OR(ISNUMBER(SEARCH("Innovation",F114)),F114="Mini Project"),10,
OR(ISNUMBER(SEARCH("Data Science",F114)),ISNUMBER(SEARCH("DS",F114))),11,
ISNUMBER(SEARCH("Generative AI",F114)),12
))))</f>
        <v>8</v>
      </c>
      <c r="X114" s="3">
        <v>4</v>
      </c>
      <c r="Y114" s="3">
        <v>26</v>
      </c>
      <c r="Z114" s="3" t="s">
        <v>35</v>
      </c>
    </row>
    <row r="115" spans="1:26" x14ac:dyDescent="0.3">
      <c r="A115" s="2">
        <v>46213</v>
      </c>
      <c r="B115" s="3" t="s">
        <v>46</v>
      </c>
      <c r="C115" s="3">
        <v>3</v>
      </c>
      <c r="D115" s="4">
        <v>0.42708333333333298</v>
      </c>
      <c r="E115" s="4">
        <v>0.46875</v>
      </c>
      <c r="F115" s="3" t="s">
        <v>59</v>
      </c>
      <c r="G115" s="3" t="s">
        <v>60</v>
      </c>
      <c r="H115" s="3" t="s">
        <v>29</v>
      </c>
      <c r="I115" s="3" t="s">
        <v>30</v>
      </c>
      <c r="J115" s="3" t="s">
        <v>31</v>
      </c>
      <c r="K115" s="3" t="s">
        <v>52</v>
      </c>
      <c r="L115" s="5">
        <v>103</v>
      </c>
      <c r="M115" s="5">
        <f t="shared" ca="1" si="5"/>
        <v>94</v>
      </c>
      <c r="N115" s="6">
        <f t="shared" ca="1" si="6"/>
        <v>91.262135922330103</v>
      </c>
      <c r="O115" s="3" cm="1">
        <f t="array" aca="1" ref="O115" ca="1">IFERROR(LOOKUP(2, 1/((F$1:F114=F115)*(J$1:J114=J115)*(ROW(F$1:F114)&lt;ROW(F115))), N$1:N114), "")</f>
        <v>68.932038834951456</v>
      </c>
      <c r="P115" s="3">
        <f t="shared" si="9"/>
        <v>0</v>
      </c>
      <c r="Q115" s="3" t="s">
        <v>33</v>
      </c>
      <c r="R115" s="3" t="s">
        <v>40</v>
      </c>
      <c r="S115" s="3" t="str">
        <f t="shared" si="7"/>
        <v>Yes</v>
      </c>
      <c r="T115" s="3" t="s">
        <v>40</v>
      </c>
      <c r="U115" s="3" t="str">
        <f t="shared" si="8"/>
        <v>Rainy</v>
      </c>
      <c r="V115" s="3" t="s">
        <v>40</v>
      </c>
      <c r="W115" s="3" cm="1">
        <f t="array" ref="W115">_xlfn.IFS(
OR(F115="Selenium (Hands-on)",F115="Guest Lecture: HR Interview"),6,
OR(F115="Soft Skill",F115="Soft Skill (Examination)",F115="AWS Training",F115="AWS Session"),7,
OR(ISNUMBER(SEARCH("MAD",F115)),ISNUMBER(SEARCH("STQA",F115)),F115="CI/CD Session"),8,
OR(ISNUMBER(SEARCH("Cloud",F115)),F115="Industry Readiness Program",ISNUMBER(SEARCH("Talenlio",F115))),9,
OR(ISNUMBER(SEARCH("Innovation",F115)),F115="Mini Project"),10,
OR(ISNUMBER(SEARCH("Data Science",F115)),ISNUMBER(SEARCH("DS",F115))),11,
ISNUMBER(SEARCH("Generative AI",F115)),12
=_xlfn.IFS(
OR(F115="Selenium (Hands-on)",F115="Guest Lecture: HR Interview"),6,
OR(F115="Soft Skill",F115="Soft Skill (Examination)",F115="AWS Training",F115="AWS Session"),7,
OR(ISNUMBER(SEARCH("MAD",F115)),ISNUMBER(SEARCH("STQA",F115)),F115="CI/CD Session"),8,
OR(ISNUMBER(SEARCH("Cloud",F115)),F115="Industry Readiness Program",ISNUMBER(SEARCH("Talenlio",F115))),9,
OR(ISNUMBER(SEARCH("Innovation",F115)),F115="Mini Project"),10,
OR(ISNUMBER(SEARCH("Data Science",F115)),ISNUMBER(SEARCH("DS",F115))),11,
ISNUMBER(SEARCH("Generative AI",F115)),12
=_xlfn.IFS(
OR(F115="Selenium (Hands-on)",F115="Guest Lecture: HR Interview"),6,
OR(F115="Soft Skill",F115="Soft Skill (Examination)",F115="AWS Training",F115="AWS Session"),7,
OR(ISNUMBER(SEARCH("MAD",F115)),ISNUMBER(SEARCH("STQA",F115)),F115="CI/CD Session"),8,
OR(ISNUMBER(SEARCH("Cloud",F115)),F115="Industry Readiness Program",ISNUMBER(SEARCH("Talenlio",F115))),9,
OR(ISNUMBER(SEARCH("Innovation",F115)),F115="Mini Project"),10,
OR(ISNUMBER(SEARCH("Data Science",F115)),ISNUMBER(SEARCH("DS",F115))),11,
ISNUMBER(SEARCH("Generative AI",F115)),12
=_xlfn.IFS(
OR(F115="Selenium (Hands-on)",F115="Guest Lecture: HR Interview"),6,
OR(F115="Soft Skill",F115="Soft Skill (Examination)",F115="AWS Training",F115="AWS Session"),7,
OR(ISNUMBER(SEARCH("MAD",F115)),ISNUMBER(SEARCH("STQA",F115)),F115="CI/CD Session"),8,
OR(ISNUMBER(SEARCH("Cloud",F115)),F115="Industry Readiness Program",ISNUMBER(SEARCH("Talenlio",F115))),9,
OR(ISNUMBER(SEARCH("Innovation",F115)),F115="Mini Project"),10,
OR(ISNUMBER(SEARCH("Data Science",F115)),ISNUMBER(SEARCH("DS",F115))),11,
ISNUMBER(SEARCH("Generative AI",F115)),12
))))</f>
        <v>11</v>
      </c>
      <c r="X115" s="3">
        <v>4</v>
      </c>
      <c r="Y115" s="3">
        <v>26</v>
      </c>
      <c r="Z115" s="3" t="s">
        <v>35</v>
      </c>
    </row>
    <row r="116" spans="1:26" x14ac:dyDescent="0.3">
      <c r="A116" s="2">
        <v>46213</v>
      </c>
      <c r="B116" s="3" t="s">
        <v>46</v>
      </c>
      <c r="C116" s="3">
        <v>4</v>
      </c>
      <c r="D116" s="4">
        <v>0.46875</v>
      </c>
      <c r="E116" s="4">
        <v>0.51041666666666696</v>
      </c>
      <c r="F116" s="3" t="s">
        <v>57</v>
      </c>
      <c r="G116" s="3" t="s">
        <v>58</v>
      </c>
      <c r="H116" s="3" t="s">
        <v>29</v>
      </c>
      <c r="I116" s="3" t="s">
        <v>30</v>
      </c>
      <c r="J116" s="3" t="s">
        <v>31</v>
      </c>
      <c r="K116" s="3" t="s">
        <v>52</v>
      </c>
      <c r="L116" s="5">
        <v>103</v>
      </c>
      <c r="M116" s="5">
        <f t="shared" ca="1" si="5"/>
        <v>84</v>
      </c>
      <c r="N116" s="6">
        <f t="shared" ca="1" si="6"/>
        <v>81.553398058252426</v>
      </c>
      <c r="O116" s="3" cm="1">
        <f t="array" aca="1" ref="O116" ca="1">IFERROR(LOOKUP(2, 1/((F$1:F115=F116)*(J$1:J115=J116)*(ROW(F$1:F115)&lt;ROW(F116))), N$1:N115), "")</f>
        <v>95.145631067961162</v>
      </c>
      <c r="P116" s="3">
        <f t="shared" si="9"/>
        <v>0</v>
      </c>
      <c r="Q116" s="3" t="s">
        <v>33</v>
      </c>
      <c r="R116" s="3" t="s">
        <v>40</v>
      </c>
      <c r="S116" s="3" t="str">
        <f t="shared" si="7"/>
        <v>Yes</v>
      </c>
      <c r="T116" s="3" t="s">
        <v>40</v>
      </c>
      <c r="U116" s="3" t="str">
        <f t="shared" si="8"/>
        <v>Rainy</v>
      </c>
      <c r="V116" s="3" t="s">
        <v>40</v>
      </c>
      <c r="W116" s="3" cm="1">
        <f t="array" ref="W116">_xlfn.IFS(
OR(F116="Selenium (Hands-on)",F116="Guest Lecture: HR Interview"),6,
OR(F116="Soft Skill",F116="Soft Skill (Examination)",F116="AWS Training",F116="AWS Session"),7,
OR(ISNUMBER(SEARCH("MAD",F116)),ISNUMBER(SEARCH("STQA",F116)),F116="CI/CD Session"),8,
OR(ISNUMBER(SEARCH("Cloud",F116)),F116="Industry Readiness Program",ISNUMBER(SEARCH("Talenlio",F116))),9,
OR(ISNUMBER(SEARCH("Innovation",F116)),F116="Mini Project"),10,
OR(ISNUMBER(SEARCH("Data Science",F116)),ISNUMBER(SEARCH("DS",F116))),11,
ISNUMBER(SEARCH("Generative AI",F116)),12
=_xlfn.IFS(
OR(F116="Selenium (Hands-on)",F116="Guest Lecture: HR Interview"),6,
OR(F116="Soft Skill",F116="Soft Skill (Examination)",F116="AWS Training",F116="AWS Session"),7,
OR(ISNUMBER(SEARCH("MAD",F116)),ISNUMBER(SEARCH("STQA",F116)),F116="CI/CD Session"),8,
OR(ISNUMBER(SEARCH("Cloud",F116)),F116="Industry Readiness Program",ISNUMBER(SEARCH("Talenlio",F116))),9,
OR(ISNUMBER(SEARCH("Innovation",F116)),F116="Mini Project"),10,
OR(ISNUMBER(SEARCH("Data Science",F116)),ISNUMBER(SEARCH("DS",F116))),11,
ISNUMBER(SEARCH("Generative AI",F116)),12
=_xlfn.IFS(
OR(F116="Selenium (Hands-on)",F116="Guest Lecture: HR Interview"),6,
OR(F116="Soft Skill",F116="Soft Skill (Examination)",F116="AWS Training",F116="AWS Session"),7,
OR(ISNUMBER(SEARCH("MAD",F116)),ISNUMBER(SEARCH("STQA",F116)),F116="CI/CD Session"),8,
OR(ISNUMBER(SEARCH("Cloud",F116)),F116="Industry Readiness Program",ISNUMBER(SEARCH("Talenlio",F116))),9,
OR(ISNUMBER(SEARCH("Innovation",F116)),F116="Mini Project"),10,
OR(ISNUMBER(SEARCH("Data Science",F116)),ISNUMBER(SEARCH("DS",F116))),11,
ISNUMBER(SEARCH("Generative AI",F116)),12
=_xlfn.IFS(
OR(F116="Selenium (Hands-on)",F116="Guest Lecture: HR Interview"),6,
OR(F116="Soft Skill",F116="Soft Skill (Examination)",F116="AWS Training",F116="AWS Session"),7,
OR(ISNUMBER(SEARCH("MAD",F116)),ISNUMBER(SEARCH("STQA",F116)),F116="CI/CD Session"),8,
OR(ISNUMBER(SEARCH("Cloud",F116)),F116="Industry Readiness Program",ISNUMBER(SEARCH("Talenlio",F116))),9,
OR(ISNUMBER(SEARCH("Innovation",F116)),F116="Mini Project"),10,
OR(ISNUMBER(SEARCH("Data Science",F116)),ISNUMBER(SEARCH("DS",F116))),11,
ISNUMBER(SEARCH("Generative AI",F116)),12
))))</f>
        <v>9</v>
      </c>
      <c r="X116" s="3">
        <v>4</v>
      </c>
      <c r="Y116" s="3">
        <v>26</v>
      </c>
      <c r="Z116" s="3" t="s">
        <v>35</v>
      </c>
    </row>
    <row r="117" spans="1:26" x14ac:dyDescent="0.3">
      <c r="A117" s="2">
        <v>46213</v>
      </c>
      <c r="B117" s="3" t="s">
        <v>46</v>
      </c>
      <c r="C117" s="3">
        <v>5</v>
      </c>
      <c r="D117" s="4">
        <v>0.5625</v>
      </c>
      <c r="E117" s="4">
        <v>0.60416666666666696</v>
      </c>
      <c r="F117" s="3" t="s">
        <v>62</v>
      </c>
      <c r="G117" s="3" t="s">
        <v>56</v>
      </c>
      <c r="H117" s="3" t="s">
        <v>29</v>
      </c>
      <c r="I117" s="3" t="s">
        <v>30</v>
      </c>
      <c r="J117" s="3" t="s">
        <v>31</v>
      </c>
      <c r="K117" s="3" t="s">
        <v>52</v>
      </c>
      <c r="L117" s="5">
        <v>103</v>
      </c>
      <c r="M117" s="5">
        <f t="shared" ca="1" si="5"/>
        <v>72</v>
      </c>
      <c r="N117" s="6">
        <f t="shared" ca="1" si="6"/>
        <v>69.902912621359221</v>
      </c>
      <c r="O117" s="3" cm="1">
        <f t="array" aca="1" ref="O117" ca="1">IFERROR(LOOKUP(2, 1/((F$1:F116=F117)*(J$1:J116=J117)*(ROW(F$1:F116)&lt;ROW(F117))), N$1:N116), "")</f>
        <v>44.660194174757287</v>
      </c>
      <c r="P117" s="3">
        <f t="shared" si="9"/>
        <v>1.25</v>
      </c>
      <c r="Q117" s="3" t="s">
        <v>33</v>
      </c>
      <c r="R117" s="3" t="s">
        <v>40</v>
      </c>
      <c r="S117" s="3" t="str">
        <f t="shared" si="7"/>
        <v>Yes</v>
      </c>
      <c r="T117" s="3" t="s">
        <v>40</v>
      </c>
      <c r="U117" s="3" t="str">
        <f t="shared" si="8"/>
        <v>Rainy</v>
      </c>
      <c r="V117" s="3" t="s">
        <v>40</v>
      </c>
      <c r="W117" s="3">
        <v>7</v>
      </c>
      <c r="X117" s="3">
        <v>4</v>
      </c>
      <c r="Y117" s="3">
        <v>26</v>
      </c>
      <c r="Z117" s="3" t="s">
        <v>38</v>
      </c>
    </row>
    <row r="118" spans="1:26" x14ac:dyDescent="0.3">
      <c r="A118" s="2">
        <v>46213</v>
      </c>
      <c r="B118" s="3" t="s">
        <v>46</v>
      </c>
      <c r="C118" s="3">
        <v>6</v>
      </c>
      <c r="D118" s="4">
        <v>0.60416666666666696</v>
      </c>
      <c r="E118" s="4">
        <v>0.64583333333333304</v>
      </c>
      <c r="F118" s="3" t="s">
        <v>62</v>
      </c>
      <c r="G118" s="3" t="s">
        <v>56</v>
      </c>
      <c r="H118" s="3" t="s">
        <v>29</v>
      </c>
      <c r="I118" s="3" t="s">
        <v>30</v>
      </c>
      <c r="J118" s="3" t="s">
        <v>31</v>
      </c>
      <c r="K118" s="3" t="s">
        <v>52</v>
      </c>
      <c r="L118" s="5">
        <v>103</v>
      </c>
      <c r="M118" s="5">
        <f t="shared" ca="1" si="5"/>
        <v>95</v>
      </c>
      <c r="N118" s="6">
        <f t="shared" ca="1" si="6"/>
        <v>92.233009708737868</v>
      </c>
      <c r="O118" s="3" cm="1">
        <f t="array" aca="1" ref="O118" ca="1">IFERROR(LOOKUP(2, 1/((F$1:F117=F118)*(J$1:J117=J118)*(ROW(F$1:F117)&lt;ROW(F118))), N$1:N117), "")</f>
        <v>69.902912621359221</v>
      </c>
      <c r="P118" s="3">
        <f t="shared" si="9"/>
        <v>0</v>
      </c>
      <c r="Q118" s="3" t="s">
        <v>33</v>
      </c>
      <c r="R118" s="3" t="s">
        <v>40</v>
      </c>
      <c r="S118" s="3" t="str">
        <f t="shared" si="7"/>
        <v>Yes</v>
      </c>
      <c r="T118" s="3" t="s">
        <v>40</v>
      </c>
      <c r="U118" s="3" t="str">
        <f t="shared" si="8"/>
        <v>Rainy</v>
      </c>
      <c r="V118" s="3" t="s">
        <v>40</v>
      </c>
      <c r="W118" s="3">
        <v>7</v>
      </c>
      <c r="X118" s="3">
        <v>4</v>
      </c>
      <c r="Y118" s="3">
        <v>26</v>
      </c>
      <c r="Z118" s="3" t="s">
        <v>38</v>
      </c>
    </row>
    <row r="119" spans="1:26" x14ac:dyDescent="0.3">
      <c r="A119" s="2">
        <v>46214</v>
      </c>
      <c r="B119" s="3" t="s">
        <v>47</v>
      </c>
      <c r="C119" s="3">
        <v>1</v>
      </c>
      <c r="D119" s="4">
        <v>0.35416666666666702</v>
      </c>
      <c r="E119" s="4">
        <v>0.38541666666666702</v>
      </c>
      <c r="F119" s="3" t="s">
        <v>65</v>
      </c>
      <c r="G119" s="3" t="s">
        <v>51</v>
      </c>
      <c r="H119" s="3" t="s">
        <v>29</v>
      </c>
      <c r="I119" s="3" t="s">
        <v>30</v>
      </c>
      <c r="J119" s="3" t="s">
        <v>31</v>
      </c>
      <c r="K119" s="3" t="s">
        <v>52</v>
      </c>
      <c r="L119" s="5">
        <v>103</v>
      </c>
      <c r="M119" s="5">
        <f t="shared" ca="1" si="5"/>
        <v>56</v>
      </c>
      <c r="N119" s="6">
        <f t="shared" ca="1" si="6"/>
        <v>54.368932038834949</v>
      </c>
      <c r="O119" s="3" cm="1">
        <f t="array" aca="1" ref="O119" ca="1">IFERROR(LOOKUP(2, 1/((F$1:F118=F119)*(J$1:J118=J119)*(ROW(F$1:F118)&lt;ROW(F119))), N$1:N118), "")</f>
        <v>91.262135922330103</v>
      </c>
      <c r="P119" s="3">
        <f t="shared" si="9"/>
        <v>0</v>
      </c>
      <c r="Q119" s="3" t="s">
        <v>43</v>
      </c>
      <c r="R119" s="3" t="s">
        <v>40</v>
      </c>
      <c r="S119" s="3" t="str">
        <f t="shared" si="7"/>
        <v>No</v>
      </c>
      <c r="T119" s="3" t="s">
        <v>34</v>
      </c>
      <c r="U119" s="3" t="str">
        <f t="shared" si="8"/>
        <v>Rainy</v>
      </c>
      <c r="V119" s="3" t="s">
        <v>40</v>
      </c>
      <c r="W119" s="3" cm="1">
        <f t="array" ref="W119">_xlfn.IFS(
OR(F119="Selenium (Hands-on)",F119="Guest Lecture: HR Interview"),6,
OR(F119="Soft Skill",F119="Soft Skill (Examination)",F119="AWS Training",F119="AWS Session"),7,
OR(ISNUMBER(SEARCH("MAD",F119)),ISNUMBER(SEARCH("STQA",F119)),F119="CI/CD Session"),8,
OR(ISNUMBER(SEARCH("Cloud",F119)),F119="Industry Readiness Program",ISNUMBER(SEARCH("Talenlio",F119))),9,
OR(ISNUMBER(SEARCH("Innovation",F119)),F119="Mini Project"),10,
OR(ISNUMBER(SEARCH("Data Science",F119)),ISNUMBER(SEARCH("DS",F119))),11,
ISNUMBER(SEARCH("Generative AI",F119)),12
=_xlfn.IFS(
OR(F119="Selenium (Hands-on)",F119="Guest Lecture: HR Interview"),6,
OR(F119="Soft Skill",F119="Soft Skill (Examination)",F119="AWS Training",F119="AWS Session"),7,
OR(ISNUMBER(SEARCH("MAD",F119)),ISNUMBER(SEARCH("STQA",F119)),F119="CI/CD Session"),8,
OR(ISNUMBER(SEARCH("Cloud",F119)),F119="Industry Readiness Program",ISNUMBER(SEARCH("Talenlio",F119))),9,
OR(ISNUMBER(SEARCH("Innovation",F119)),F119="Mini Project"),10,
OR(ISNUMBER(SEARCH("Data Science",F119)),ISNUMBER(SEARCH("DS",F119))),11,
ISNUMBER(SEARCH("Generative AI",F119)),12
=_xlfn.IFS(
OR(F119="Selenium (Hands-on)",F119="Guest Lecture: HR Interview"),6,
OR(F119="Soft Skill",F119="Soft Skill (Examination)",F119="AWS Training",F119="AWS Session"),7,
OR(ISNUMBER(SEARCH("MAD",F119)),ISNUMBER(SEARCH("STQA",F119)),F119="CI/CD Session"),8,
OR(ISNUMBER(SEARCH("Cloud",F119)),F119="Industry Readiness Program",ISNUMBER(SEARCH("Talenlio",F119))),9,
OR(ISNUMBER(SEARCH("Innovation",F119)),F119="Mini Project"),10,
OR(ISNUMBER(SEARCH("Data Science",F119)),ISNUMBER(SEARCH("DS",F119))),11,
ISNUMBER(SEARCH("Generative AI",F119)),12
=_xlfn.IFS(
OR(F119="Selenium (Hands-on)",F119="Guest Lecture: HR Interview"),6,
OR(F119="Soft Skill",F119="Soft Skill (Examination)",F119="AWS Training",F119="AWS Session"),7,
OR(ISNUMBER(SEARCH("MAD",F119)),ISNUMBER(SEARCH("STQA",F119)),F119="CI/CD Session"),8,
OR(ISNUMBER(SEARCH("Cloud",F119)),F119="Industry Readiness Program",ISNUMBER(SEARCH("Talenlio",F119))),9,
OR(ISNUMBER(SEARCH("Innovation",F119)),F119="Mini Project"),10,
OR(ISNUMBER(SEARCH("Data Science",F119)),ISNUMBER(SEARCH("DS",F119))),11,
ISNUMBER(SEARCH("Generative AI",F119)),12
))))</f>
        <v>8</v>
      </c>
      <c r="X119" s="3">
        <v>4</v>
      </c>
      <c r="Y119" s="3">
        <v>27</v>
      </c>
      <c r="Z119" s="3" t="s">
        <v>35</v>
      </c>
    </row>
    <row r="120" spans="1:26" x14ac:dyDescent="0.3">
      <c r="A120" s="2">
        <v>46214</v>
      </c>
      <c r="B120" s="3" t="s">
        <v>47</v>
      </c>
      <c r="C120" s="3">
        <v>2</v>
      </c>
      <c r="D120" s="4">
        <v>0.38541666666666702</v>
      </c>
      <c r="E120" s="4">
        <v>0.42708333333333298</v>
      </c>
      <c r="F120" s="3" t="s">
        <v>65</v>
      </c>
      <c r="G120" s="3" t="s">
        <v>51</v>
      </c>
      <c r="H120" s="3" t="s">
        <v>29</v>
      </c>
      <c r="I120" s="3" t="s">
        <v>30</v>
      </c>
      <c r="J120" s="3" t="s">
        <v>31</v>
      </c>
      <c r="K120" s="3" t="s">
        <v>52</v>
      </c>
      <c r="L120" s="5">
        <v>103</v>
      </c>
      <c r="M120" s="5">
        <f t="shared" ca="1" si="5"/>
        <v>74</v>
      </c>
      <c r="N120" s="6">
        <f t="shared" ca="1" si="6"/>
        <v>71.844660194174764</v>
      </c>
      <c r="O120" s="3" cm="1">
        <f t="array" aca="1" ref="O120" ca="1">IFERROR(LOOKUP(2, 1/((F$1:F119=F120)*(J$1:J119=J120)*(ROW(F$1:F119)&lt;ROW(F120))), N$1:N119), "")</f>
        <v>54.368932038834949</v>
      </c>
      <c r="P120" s="3">
        <f t="shared" si="9"/>
        <v>0</v>
      </c>
      <c r="Q120" s="3" t="s">
        <v>43</v>
      </c>
      <c r="R120" s="3" t="s">
        <v>40</v>
      </c>
      <c r="S120" s="3" t="str">
        <f t="shared" si="7"/>
        <v>No</v>
      </c>
      <c r="T120" s="3" t="s">
        <v>34</v>
      </c>
      <c r="U120" s="3" t="str">
        <f t="shared" si="8"/>
        <v>Rainy</v>
      </c>
      <c r="V120" s="3" t="s">
        <v>40</v>
      </c>
      <c r="W120" s="3" cm="1">
        <f t="array" ref="W120">_xlfn.IFS(
OR(F120="Selenium (Hands-on)",F120="Guest Lecture: HR Interview"),6,
OR(F120="Soft Skill",F120="Soft Skill (Examination)",F120="AWS Training",F120="AWS Session"),7,
OR(ISNUMBER(SEARCH("MAD",F120)),ISNUMBER(SEARCH("STQA",F120)),F120="CI/CD Session"),8,
OR(ISNUMBER(SEARCH("Cloud",F120)),F120="Industry Readiness Program",ISNUMBER(SEARCH("Talenlio",F120))),9,
OR(ISNUMBER(SEARCH("Innovation",F120)),F120="Mini Project"),10,
OR(ISNUMBER(SEARCH("Data Science",F120)),ISNUMBER(SEARCH("DS",F120))),11,
ISNUMBER(SEARCH("Generative AI",F120)),12
=_xlfn.IFS(
OR(F120="Selenium (Hands-on)",F120="Guest Lecture: HR Interview"),6,
OR(F120="Soft Skill",F120="Soft Skill (Examination)",F120="AWS Training",F120="AWS Session"),7,
OR(ISNUMBER(SEARCH("MAD",F120)),ISNUMBER(SEARCH("STQA",F120)),F120="CI/CD Session"),8,
OR(ISNUMBER(SEARCH("Cloud",F120)),F120="Industry Readiness Program",ISNUMBER(SEARCH("Talenlio",F120))),9,
OR(ISNUMBER(SEARCH("Innovation",F120)),F120="Mini Project"),10,
OR(ISNUMBER(SEARCH("Data Science",F120)),ISNUMBER(SEARCH("DS",F120))),11,
ISNUMBER(SEARCH("Generative AI",F120)),12
=_xlfn.IFS(
OR(F120="Selenium (Hands-on)",F120="Guest Lecture: HR Interview"),6,
OR(F120="Soft Skill",F120="Soft Skill (Examination)",F120="AWS Training",F120="AWS Session"),7,
OR(ISNUMBER(SEARCH("MAD",F120)),ISNUMBER(SEARCH("STQA",F120)),F120="CI/CD Session"),8,
OR(ISNUMBER(SEARCH("Cloud",F120)),F120="Industry Readiness Program",ISNUMBER(SEARCH("Talenlio",F120))),9,
OR(ISNUMBER(SEARCH("Innovation",F120)),F120="Mini Project"),10,
OR(ISNUMBER(SEARCH("Data Science",F120)),ISNUMBER(SEARCH("DS",F120))),11,
ISNUMBER(SEARCH("Generative AI",F120)),12
=_xlfn.IFS(
OR(F120="Selenium (Hands-on)",F120="Guest Lecture: HR Interview"),6,
OR(F120="Soft Skill",F120="Soft Skill (Examination)",F120="AWS Training",F120="AWS Session"),7,
OR(ISNUMBER(SEARCH("MAD",F120)),ISNUMBER(SEARCH("STQA",F120)),F120="CI/CD Session"),8,
OR(ISNUMBER(SEARCH("Cloud",F120)),F120="Industry Readiness Program",ISNUMBER(SEARCH("Talenlio",F120))),9,
OR(ISNUMBER(SEARCH("Innovation",F120)),F120="Mini Project"),10,
OR(ISNUMBER(SEARCH("Data Science",F120)),ISNUMBER(SEARCH("DS",F120))),11,
ISNUMBER(SEARCH("Generative AI",F120)),12
))))</f>
        <v>8</v>
      </c>
      <c r="X120" s="3">
        <v>4</v>
      </c>
      <c r="Y120" s="3">
        <v>27</v>
      </c>
      <c r="Z120" s="3" t="s">
        <v>35</v>
      </c>
    </row>
    <row r="121" spans="1:26" x14ac:dyDescent="0.3">
      <c r="A121" s="2">
        <v>46214</v>
      </c>
      <c r="B121" s="3" t="s">
        <v>47</v>
      </c>
      <c r="C121" s="3">
        <v>3</v>
      </c>
      <c r="D121" s="4">
        <v>0.42708333333333298</v>
      </c>
      <c r="E121" s="4">
        <v>0.46875</v>
      </c>
      <c r="F121" s="3" t="s">
        <v>66</v>
      </c>
      <c r="G121" s="3" t="s">
        <v>67</v>
      </c>
      <c r="H121" s="3" t="s">
        <v>29</v>
      </c>
      <c r="I121" s="3" t="s">
        <v>30</v>
      </c>
      <c r="J121" s="3" t="s">
        <v>31</v>
      </c>
      <c r="K121" s="3" t="s">
        <v>52</v>
      </c>
      <c r="L121" s="5">
        <v>103</v>
      </c>
      <c r="M121" s="5">
        <f t="shared" ca="1" si="5"/>
        <v>40</v>
      </c>
      <c r="N121" s="6">
        <f t="shared" ca="1" si="6"/>
        <v>38.834951456310677</v>
      </c>
      <c r="O121" s="3" cm="1">
        <f t="array" aca="1" ref="O121" ca="1">IFERROR(LOOKUP(2, 1/((F$1:F120=F121)*(J$1:J120=J121)*(ROW(F$1:F120)&lt;ROW(F121))), N$1:N120), "")</f>
        <v>39.805825242718448</v>
      </c>
      <c r="P121" s="3">
        <f t="shared" si="9"/>
        <v>0</v>
      </c>
      <c r="Q121" s="3" t="s">
        <v>43</v>
      </c>
      <c r="R121" s="3" t="s">
        <v>40</v>
      </c>
      <c r="S121" s="3" t="str">
        <f t="shared" si="7"/>
        <v>Yes</v>
      </c>
      <c r="T121" s="3" t="s">
        <v>34</v>
      </c>
      <c r="U121" s="3" t="str">
        <f t="shared" si="8"/>
        <v>Rainy</v>
      </c>
      <c r="V121" s="3" t="s">
        <v>40</v>
      </c>
      <c r="W121" s="3" cm="1">
        <f t="array" ref="W121">_xlfn.IFS(
OR(F121="Selenium (Hands-on)",F121="Guest Lecture: HR Interview"),6,
OR(F121="Soft Skill",F121="Soft Skill (Examination)",F121="AWS Training",F121="AWS Session"),7,
OR(ISNUMBER(SEARCH("MAD",F121)),ISNUMBER(SEARCH("STQA",F121)),F121="CI/CD Session"),8,
OR(ISNUMBER(SEARCH("Cloud",F121)),F121="Industry Readiness Program",ISNUMBER(SEARCH("Talenlio",F121))),9,
OR(ISNUMBER(SEARCH("Innovation",F121)),F121="Mini Project"),10,
OR(ISNUMBER(SEARCH("Data Science",F121)),ISNUMBER(SEARCH("DS",F121))),11,
ISNUMBER(SEARCH("Generative AI",F121)),12
=_xlfn.IFS(
OR(F121="Selenium (Hands-on)",F121="Guest Lecture: HR Interview"),6,
OR(F121="Soft Skill",F121="Soft Skill (Examination)",F121="AWS Training",F121="AWS Session"),7,
OR(ISNUMBER(SEARCH("MAD",F121)),ISNUMBER(SEARCH("STQA",F121)),F121="CI/CD Session"),8,
OR(ISNUMBER(SEARCH("Cloud",F121)),F121="Industry Readiness Program",ISNUMBER(SEARCH("Talenlio",F121))),9,
OR(ISNUMBER(SEARCH("Innovation",F121)),F121="Mini Project"),10,
OR(ISNUMBER(SEARCH("Data Science",F121)),ISNUMBER(SEARCH("DS",F121))),11,
ISNUMBER(SEARCH("Generative AI",F121)),12
=_xlfn.IFS(
OR(F121="Selenium (Hands-on)",F121="Guest Lecture: HR Interview"),6,
OR(F121="Soft Skill",F121="Soft Skill (Examination)",F121="AWS Training",F121="AWS Session"),7,
OR(ISNUMBER(SEARCH("MAD",F121)),ISNUMBER(SEARCH("STQA",F121)),F121="CI/CD Session"),8,
OR(ISNUMBER(SEARCH("Cloud",F121)),F121="Industry Readiness Program",ISNUMBER(SEARCH("Talenlio",F121))),9,
OR(ISNUMBER(SEARCH("Innovation",F121)),F121="Mini Project"),10,
OR(ISNUMBER(SEARCH("Data Science",F121)),ISNUMBER(SEARCH("DS",F121))),11,
ISNUMBER(SEARCH("Generative AI",F121)),12
=_xlfn.IFS(
OR(F121="Selenium (Hands-on)",F121="Guest Lecture: HR Interview"),6,
OR(F121="Soft Skill",F121="Soft Skill (Examination)",F121="AWS Training",F121="AWS Session"),7,
OR(ISNUMBER(SEARCH("MAD",F121)),ISNUMBER(SEARCH("STQA",F121)),F121="CI/CD Session"),8,
OR(ISNUMBER(SEARCH("Cloud",F121)),F121="Industry Readiness Program",ISNUMBER(SEARCH("Talenlio",F121))),9,
OR(ISNUMBER(SEARCH("Innovation",F121)),F121="Mini Project"),10,
OR(ISNUMBER(SEARCH("Data Science",F121)),ISNUMBER(SEARCH("DS",F121))),11,
ISNUMBER(SEARCH("Generative AI",F121)),12
))))</f>
        <v>10</v>
      </c>
      <c r="X121" s="3">
        <v>4</v>
      </c>
      <c r="Y121" s="3">
        <v>27</v>
      </c>
      <c r="Z121" s="3" t="s">
        <v>35</v>
      </c>
    </row>
    <row r="122" spans="1:26" x14ac:dyDescent="0.3">
      <c r="A122" s="2">
        <v>46214</v>
      </c>
      <c r="B122" s="3" t="s">
        <v>47</v>
      </c>
      <c r="C122" s="3">
        <v>4</v>
      </c>
      <c r="D122" s="4">
        <v>0.46875</v>
      </c>
      <c r="E122" s="4">
        <v>0.51041666666666696</v>
      </c>
      <c r="F122" s="3" t="s">
        <v>66</v>
      </c>
      <c r="G122" s="3" t="s">
        <v>67</v>
      </c>
      <c r="H122" s="3" t="s">
        <v>29</v>
      </c>
      <c r="I122" s="3" t="s">
        <v>30</v>
      </c>
      <c r="J122" s="3" t="s">
        <v>31</v>
      </c>
      <c r="K122" s="3" t="s">
        <v>52</v>
      </c>
      <c r="L122" s="5">
        <v>103</v>
      </c>
      <c r="M122" s="5">
        <f t="shared" ca="1" si="5"/>
        <v>73</v>
      </c>
      <c r="N122" s="6">
        <f t="shared" ca="1" si="6"/>
        <v>70.873786407766985</v>
      </c>
      <c r="O122" s="3" cm="1">
        <f t="array" aca="1" ref="O122" ca="1">IFERROR(LOOKUP(2, 1/((F$1:F121=F122)*(J$1:J121=J122)*(ROW(F$1:F121)&lt;ROW(F122))), N$1:N121), "")</f>
        <v>38.834951456310677</v>
      </c>
      <c r="P122" s="3">
        <f t="shared" si="9"/>
        <v>0</v>
      </c>
      <c r="Q122" s="3" t="s">
        <v>43</v>
      </c>
      <c r="R122" s="3" t="s">
        <v>40</v>
      </c>
      <c r="S122" s="3" t="str">
        <f t="shared" si="7"/>
        <v>Yes</v>
      </c>
      <c r="T122" s="3" t="s">
        <v>34</v>
      </c>
      <c r="U122" s="3" t="str">
        <f t="shared" si="8"/>
        <v>Rainy</v>
      </c>
      <c r="V122" s="3" t="s">
        <v>40</v>
      </c>
      <c r="W122" s="3" cm="1">
        <f t="array" ref="W122">_xlfn.IFS(
OR(F122="Selenium (Hands-on)",F122="Guest Lecture: HR Interview"),6,
OR(F122="Soft Skill",F122="Soft Skill (Examination)",F122="AWS Training",F122="AWS Session"),7,
OR(ISNUMBER(SEARCH("MAD",F122)),ISNUMBER(SEARCH("STQA",F122)),F122="CI/CD Session"),8,
OR(ISNUMBER(SEARCH("Cloud",F122)),F122="Industry Readiness Program",ISNUMBER(SEARCH("Talenlio",F122))),9,
OR(ISNUMBER(SEARCH("Innovation",F122)),F122="Mini Project"),10,
OR(ISNUMBER(SEARCH("Data Science",F122)),ISNUMBER(SEARCH("DS",F122))),11,
ISNUMBER(SEARCH("Generative AI",F122)),12
=_xlfn.IFS(
OR(F122="Selenium (Hands-on)",F122="Guest Lecture: HR Interview"),6,
OR(F122="Soft Skill",F122="Soft Skill (Examination)",F122="AWS Training",F122="AWS Session"),7,
OR(ISNUMBER(SEARCH("MAD",F122)),ISNUMBER(SEARCH("STQA",F122)),F122="CI/CD Session"),8,
OR(ISNUMBER(SEARCH("Cloud",F122)),F122="Industry Readiness Program",ISNUMBER(SEARCH("Talenlio",F122))),9,
OR(ISNUMBER(SEARCH("Innovation",F122)),F122="Mini Project"),10,
OR(ISNUMBER(SEARCH("Data Science",F122)),ISNUMBER(SEARCH("DS",F122))),11,
ISNUMBER(SEARCH("Generative AI",F122)),12
=_xlfn.IFS(
OR(F122="Selenium (Hands-on)",F122="Guest Lecture: HR Interview"),6,
OR(F122="Soft Skill",F122="Soft Skill (Examination)",F122="AWS Training",F122="AWS Session"),7,
OR(ISNUMBER(SEARCH("MAD",F122)),ISNUMBER(SEARCH("STQA",F122)),F122="CI/CD Session"),8,
OR(ISNUMBER(SEARCH("Cloud",F122)),F122="Industry Readiness Program",ISNUMBER(SEARCH("Talenlio",F122))),9,
OR(ISNUMBER(SEARCH("Innovation",F122)),F122="Mini Project"),10,
OR(ISNUMBER(SEARCH("Data Science",F122)),ISNUMBER(SEARCH("DS",F122))),11,
ISNUMBER(SEARCH("Generative AI",F122)),12
=_xlfn.IFS(
OR(F122="Selenium (Hands-on)",F122="Guest Lecture: HR Interview"),6,
OR(F122="Soft Skill",F122="Soft Skill (Examination)",F122="AWS Training",F122="AWS Session"),7,
OR(ISNUMBER(SEARCH("MAD",F122)),ISNUMBER(SEARCH("STQA",F122)),F122="CI/CD Session"),8,
OR(ISNUMBER(SEARCH("Cloud",F122)),F122="Industry Readiness Program",ISNUMBER(SEARCH("Talenlio",F122))),9,
OR(ISNUMBER(SEARCH("Innovation",F122)),F122="Mini Project"),10,
OR(ISNUMBER(SEARCH("Data Science",F122)),ISNUMBER(SEARCH("DS",F122))),11,
ISNUMBER(SEARCH("Generative AI",F122)),12
))))</f>
        <v>10</v>
      </c>
      <c r="X122" s="3">
        <v>4</v>
      </c>
      <c r="Y122" s="3">
        <v>27</v>
      </c>
      <c r="Z122" s="3" t="s">
        <v>35</v>
      </c>
    </row>
    <row r="123" spans="1:26" x14ac:dyDescent="0.3">
      <c r="A123" s="2">
        <v>46214</v>
      </c>
      <c r="B123" s="3" t="s">
        <v>47</v>
      </c>
      <c r="C123" s="3">
        <v>5</v>
      </c>
      <c r="D123" s="4">
        <v>0.5625</v>
      </c>
      <c r="E123" s="4">
        <v>0.60416666666666696</v>
      </c>
      <c r="F123" s="3" t="s">
        <v>66</v>
      </c>
      <c r="G123" s="3" t="s">
        <v>67</v>
      </c>
      <c r="H123" s="3" t="s">
        <v>29</v>
      </c>
      <c r="I123" s="3" t="s">
        <v>30</v>
      </c>
      <c r="J123" s="3" t="s">
        <v>31</v>
      </c>
      <c r="K123" s="3" t="s">
        <v>52</v>
      </c>
      <c r="L123" s="5">
        <v>103</v>
      </c>
      <c r="M123" s="5">
        <f t="shared" ca="1" si="5"/>
        <v>99</v>
      </c>
      <c r="N123" s="6">
        <f t="shared" ca="1" si="6"/>
        <v>96.116504854368941</v>
      </c>
      <c r="O123" s="3" cm="1">
        <f t="array" aca="1" ref="O123" ca="1">IFERROR(LOOKUP(2, 1/((F$1:F122=F123)*(J$1:J122=J123)*(ROW(F$1:F122)&lt;ROW(F123))), N$1:N122), "")</f>
        <v>70.873786407766985</v>
      </c>
      <c r="P123" s="3">
        <f t="shared" si="9"/>
        <v>1.25</v>
      </c>
      <c r="Q123" s="3" t="s">
        <v>43</v>
      </c>
      <c r="R123" s="3" t="s">
        <v>40</v>
      </c>
      <c r="S123" s="3" t="str">
        <f t="shared" si="7"/>
        <v>Yes</v>
      </c>
      <c r="T123" s="3" t="s">
        <v>34</v>
      </c>
      <c r="U123" s="3" t="str">
        <f t="shared" si="8"/>
        <v>Rainy</v>
      </c>
      <c r="V123" s="3" t="s">
        <v>40</v>
      </c>
      <c r="W123" s="3" cm="1">
        <f t="array" ref="W123">_xlfn.IFS(
OR(F123="Selenium (Hands-on)",F123="Guest Lecture: HR Interview"),6,
OR(F123="Soft Skill",F123="Soft Skill (Examination)",F123="AWS Training",F123="AWS Session"),7,
OR(ISNUMBER(SEARCH("MAD",F123)),ISNUMBER(SEARCH("STQA",F123)),F123="CI/CD Session"),8,
OR(ISNUMBER(SEARCH("Cloud",F123)),F123="Industry Readiness Program",ISNUMBER(SEARCH("Talenlio",F123))),9,
OR(ISNUMBER(SEARCH("Innovation",F123)),F123="Mini Project"),10,
OR(ISNUMBER(SEARCH("Data Science",F123)),ISNUMBER(SEARCH("DS",F123))),11,
ISNUMBER(SEARCH("Generative AI",F123)),12
=_xlfn.IFS(
OR(F123="Selenium (Hands-on)",F123="Guest Lecture: HR Interview"),6,
OR(F123="Soft Skill",F123="Soft Skill (Examination)",F123="AWS Training",F123="AWS Session"),7,
OR(ISNUMBER(SEARCH("MAD",F123)),ISNUMBER(SEARCH("STQA",F123)),F123="CI/CD Session"),8,
OR(ISNUMBER(SEARCH("Cloud",F123)),F123="Industry Readiness Program",ISNUMBER(SEARCH("Talenlio",F123))),9,
OR(ISNUMBER(SEARCH("Innovation",F123)),F123="Mini Project"),10,
OR(ISNUMBER(SEARCH("Data Science",F123)),ISNUMBER(SEARCH("DS",F123))),11,
ISNUMBER(SEARCH("Generative AI",F123)),12
=_xlfn.IFS(
OR(F123="Selenium (Hands-on)",F123="Guest Lecture: HR Interview"),6,
OR(F123="Soft Skill",F123="Soft Skill (Examination)",F123="AWS Training",F123="AWS Session"),7,
OR(ISNUMBER(SEARCH("MAD",F123)),ISNUMBER(SEARCH("STQA",F123)),F123="CI/CD Session"),8,
OR(ISNUMBER(SEARCH("Cloud",F123)),F123="Industry Readiness Program",ISNUMBER(SEARCH("Talenlio",F123))),9,
OR(ISNUMBER(SEARCH("Innovation",F123)),F123="Mini Project"),10,
OR(ISNUMBER(SEARCH("Data Science",F123)),ISNUMBER(SEARCH("DS",F123))),11,
ISNUMBER(SEARCH("Generative AI",F123)),12
=_xlfn.IFS(
OR(F123="Selenium (Hands-on)",F123="Guest Lecture: HR Interview"),6,
OR(F123="Soft Skill",F123="Soft Skill (Examination)",F123="AWS Training",F123="AWS Session"),7,
OR(ISNUMBER(SEARCH("MAD",F123)),ISNUMBER(SEARCH("STQA",F123)),F123="CI/CD Session"),8,
OR(ISNUMBER(SEARCH("Cloud",F123)),F123="Industry Readiness Program",ISNUMBER(SEARCH("Talenlio",F123))),9,
OR(ISNUMBER(SEARCH("Innovation",F123)),F123="Mini Project"),10,
OR(ISNUMBER(SEARCH("Data Science",F123)),ISNUMBER(SEARCH("DS",F123))),11,
ISNUMBER(SEARCH("Generative AI",F123)),12
))))</f>
        <v>10</v>
      </c>
      <c r="X123" s="3">
        <v>4</v>
      </c>
      <c r="Y123" s="3">
        <v>27</v>
      </c>
      <c r="Z123" s="3" t="s">
        <v>38</v>
      </c>
    </row>
    <row r="124" spans="1:26" x14ac:dyDescent="0.3">
      <c r="A124" s="2">
        <v>46214</v>
      </c>
      <c r="B124" s="3" t="s">
        <v>47</v>
      </c>
      <c r="C124" s="3">
        <v>6</v>
      </c>
      <c r="D124" s="4">
        <v>0.60416666666666696</v>
      </c>
      <c r="E124" s="4">
        <v>0.64583333333333304</v>
      </c>
      <c r="F124" s="3" t="s">
        <v>66</v>
      </c>
      <c r="G124" s="3" t="s">
        <v>67</v>
      </c>
      <c r="H124" s="3" t="s">
        <v>29</v>
      </c>
      <c r="I124" s="3" t="s">
        <v>30</v>
      </c>
      <c r="J124" s="3" t="s">
        <v>31</v>
      </c>
      <c r="K124" s="3" t="s">
        <v>52</v>
      </c>
      <c r="L124" s="5">
        <v>103</v>
      </c>
      <c r="M124" s="5">
        <f t="shared" ca="1" si="5"/>
        <v>72</v>
      </c>
      <c r="N124" s="6">
        <f t="shared" ca="1" si="6"/>
        <v>69.902912621359221</v>
      </c>
      <c r="O124" s="3" cm="1">
        <f t="array" aca="1" ref="O124" ca="1">IFERROR(LOOKUP(2, 1/((F$1:F123=F124)*(J$1:J123=J124)*(ROW(F$1:F123)&lt;ROW(F124))), N$1:N123), "")</f>
        <v>96.116504854368941</v>
      </c>
      <c r="P124" s="3">
        <f t="shared" si="9"/>
        <v>0</v>
      </c>
      <c r="Q124" s="3" t="s">
        <v>43</v>
      </c>
      <c r="R124" s="3" t="s">
        <v>40</v>
      </c>
      <c r="S124" s="3" t="str">
        <f t="shared" si="7"/>
        <v>Yes</v>
      </c>
      <c r="T124" s="3" t="s">
        <v>34</v>
      </c>
      <c r="U124" s="3" t="str">
        <f t="shared" si="8"/>
        <v>Rainy</v>
      </c>
      <c r="V124" s="3" t="s">
        <v>40</v>
      </c>
      <c r="W124" s="3" cm="1">
        <f t="array" ref="W124">_xlfn.IFS(
OR(F124="Selenium (Hands-on)",F124="Guest Lecture: HR Interview"),6,
OR(F124="Soft Skill",F124="Soft Skill (Examination)",F124="AWS Training",F124="AWS Session"),7,
OR(ISNUMBER(SEARCH("MAD",F124)),ISNUMBER(SEARCH("STQA",F124)),F124="CI/CD Session"),8,
OR(ISNUMBER(SEARCH("Cloud",F124)),F124="Industry Readiness Program",ISNUMBER(SEARCH("Talenlio",F124))),9,
OR(ISNUMBER(SEARCH("Innovation",F124)),F124="Mini Project"),10,
OR(ISNUMBER(SEARCH("Data Science",F124)),ISNUMBER(SEARCH("DS",F124))),11,
ISNUMBER(SEARCH("Generative AI",F124)),12
=_xlfn.IFS(
OR(F124="Selenium (Hands-on)",F124="Guest Lecture: HR Interview"),6,
OR(F124="Soft Skill",F124="Soft Skill (Examination)",F124="AWS Training",F124="AWS Session"),7,
OR(ISNUMBER(SEARCH("MAD",F124)),ISNUMBER(SEARCH("STQA",F124)),F124="CI/CD Session"),8,
OR(ISNUMBER(SEARCH("Cloud",F124)),F124="Industry Readiness Program",ISNUMBER(SEARCH("Talenlio",F124))),9,
OR(ISNUMBER(SEARCH("Innovation",F124)),F124="Mini Project"),10,
OR(ISNUMBER(SEARCH("Data Science",F124)),ISNUMBER(SEARCH("DS",F124))),11,
ISNUMBER(SEARCH("Generative AI",F124)),12
=_xlfn.IFS(
OR(F124="Selenium (Hands-on)",F124="Guest Lecture: HR Interview"),6,
OR(F124="Soft Skill",F124="Soft Skill (Examination)",F124="AWS Training",F124="AWS Session"),7,
OR(ISNUMBER(SEARCH("MAD",F124)),ISNUMBER(SEARCH("STQA",F124)),F124="CI/CD Session"),8,
OR(ISNUMBER(SEARCH("Cloud",F124)),F124="Industry Readiness Program",ISNUMBER(SEARCH("Talenlio",F124))),9,
OR(ISNUMBER(SEARCH("Innovation",F124)),F124="Mini Project"),10,
OR(ISNUMBER(SEARCH("Data Science",F124)),ISNUMBER(SEARCH("DS",F124))),11,
ISNUMBER(SEARCH("Generative AI",F124)),12
=_xlfn.IFS(
OR(F124="Selenium (Hands-on)",F124="Guest Lecture: HR Interview"),6,
OR(F124="Soft Skill",F124="Soft Skill (Examination)",F124="AWS Training",F124="AWS Session"),7,
OR(ISNUMBER(SEARCH("MAD",F124)),ISNUMBER(SEARCH("STQA",F124)),F124="CI/CD Session"),8,
OR(ISNUMBER(SEARCH("Cloud",F124)),F124="Industry Readiness Program",ISNUMBER(SEARCH("Talenlio",F124))),9,
OR(ISNUMBER(SEARCH("Innovation",F124)),F124="Mini Project"),10,
OR(ISNUMBER(SEARCH("Data Science",F124)),ISNUMBER(SEARCH("DS",F124))),11,
ISNUMBER(SEARCH("Generative AI",F124)),12
))))</f>
        <v>10</v>
      </c>
      <c r="X124" s="3">
        <v>4</v>
      </c>
      <c r="Y124" s="3">
        <v>27</v>
      </c>
      <c r="Z124" s="3" t="s">
        <v>38</v>
      </c>
    </row>
    <row r="125" spans="1:26" x14ac:dyDescent="0.3">
      <c r="A125" s="2">
        <v>46216</v>
      </c>
      <c r="B125" s="3" t="s">
        <v>26</v>
      </c>
      <c r="C125" s="3">
        <v>1</v>
      </c>
      <c r="D125" s="4">
        <v>0.35416666666666702</v>
      </c>
      <c r="E125" s="4">
        <v>0.38541666666666702</v>
      </c>
      <c r="F125" s="3" t="s">
        <v>50</v>
      </c>
      <c r="G125" s="3" t="s">
        <v>51</v>
      </c>
      <c r="H125" s="3" t="s">
        <v>29</v>
      </c>
      <c r="I125" s="3" t="s">
        <v>30</v>
      </c>
      <c r="J125" s="3" t="s">
        <v>31</v>
      </c>
      <c r="K125" s="3" t="s">
        <v>52</v>
      </c>
      <c r="L125" s="5">
        <v>103</v>
      </c>
      <c r="M125" s="5">
        <f t="shared" ca="1" si="5"/>
        <v>78</v>
      </c>
      <c r="N125" s="6">
        <f t="shared" ca="1" si="6"/>
        <v>75.728155339805824</v>
      </c>
      <c r="O125" s="3" cm="1">
        <f t="array" aca="1" ref="O125" ca="1">IFERROR(LOOKUP(2, 1/((F$1:F124=F125)*(J$1:J124=J125)*(ROW(F$1:F124)&lt;ROW(F125))), N$1:N124), "")</f>
        <v>47.572815533980581</v>
      </c>
      <c r="P125" s="3">
        <f t="shared" si="9"/>
        <v>0</v>
      </c>
      <c r="Q125" s="3" t="s">
        <v>43</v>
      </c>
      <c r="R125" s="3" t="s">
        <v>40</v>
      </c>
      <c r="S125" s="3" t="str">
        <f t="shared" si="7"/>
        <v>No</v>
      </c>
      <c r="T125" s="3" t="s">
        <v>34</v>
      </c>
      <c r="U125" s="3" t="str">
        <f t="shared" si="8"/>
        <v>Rainy</v>
      </c>
      <c r="V125" s="3" t="s">
        <v>40</v>
      </c>
      <c r="W125" s="3" cm="1">
        <f t="array" ref="W125">_xlfn.IFS(
OR(F125="Selenium (Hands-on)",F125="Guest Lecture: HR Interview"),6,
OR(F125="Soft Skill",F125="Soft Skill (Examination)",F125="AWS Training",F125="AWS Session"),7,
OR(ISNUMBER(SEARCH("MAD",F125)),ISNUMBER(SEARCH("STQA",F125)),F125="CI/CD Session"),8,
OR(ISNUMBER(SEARCH("Cloud",F125)),F125="Industry Readiness Program",ISNUMBER(SEARCH("Talenlio",F125))),9,
OR(ISNUMBER(SEARCH("Innovation",F125)),F125="Mini Project"),10,
OR(ISNUMBER(SEARCH("Data Science",F125)),ISNUMBER(SEARCH("DS",F125))),11,
ISNUMBER(SEARCH("Generative AI",F125)),12
=_xlfn.IFS(
OR(F125="Selenium (Hands-on)",F125="Guest Lecture: HR Interview"),6,
OR(F125="Soft Skill",F125="Soft Skill (Examination)",F125="AWS Training",F125="AWS Session"),7,
OR(ISNUMBER(SEARCH("MAD",F125)),ISNUMBER(SEARCH("STQA",F125)),F125="CI/CD Session"),8,
OR(ISNUMBER(SEARCH("Cloud",F125)),F125="Industry Readiness Program",ISNUMBER(SEARCH("Talenlio",F125))),9,
OR(ISNUMBER(SEARCH("Innovation",F125)),F125="Mini Project"),10,
OR(ISNUMBER(SEARCH("Data Science",F125)),ISNUMBER(SEARCH("DS",F125))),11,
ISNUMBER(SEARCH("Generative AI",F125)),12
=_xlfn.IFS(
OR(F125="Selenium (Hands-on)",F125="Guest Lecture: HR Interview"),6,
OR(F125="Soft Skill",F125="Soft Skill (Examination)",F125="AWS Training",F125="AWS Session"),7,
OR(ISNUMBER(SEARCH("MAD",F125)),ISNUMBER(SEARCH("STQA",F125)),F125="CI/CD Session"),8,
OR(ISNUMBER(SEARCH("Cloud",F125)),F125="Industry Readiness Program",ISNUMBER(SEARCH("Talenlio",F125))),9,
OR(ISNUMBER(SEARCH("Innovation",F125)),F125="Mini Project"),10,
OR(ISNUMBER(SEARCH("Data Science",F125)),ISNUMBER(SEARCH("DS",F125))),11,
ISNUMBER(SEARCH("Generative AI",F125)),12
=_xlfn.IFS(
OR(F125="Selenium (Hands-on)",F125="Guest Lecture: HR Interview"),6,
OR(F125="Soft Skill",F125="Soft Skill (Examination)",F125="AWS Training",F125="AWS Session"),7,
OR(ISNUMBER(SEARCH("MAD",F125)),ISNUMBER(SEARCH("STQA",F125)),F125="CI/CD Session"),8,
OR(ISNUMBER(SEARCH("Cloud",F125)),F125="Industry Readiness Program",ISNUMBER(SEARCH("Talenlio",F125))),9,
OR(ISNUMBER(SEARCH("Innovation",F125)),F125="Mini Project"),10,
OR(ISNUMBER(SEARCH("Data Science",F125)),ISNUMBER(SEARCH("DS",F125))),11,
ISNUMBER(SEARCH("Generative AI",F125)),12
))))</f>
        <v>8</v>
      </c>
      <c r="X125" s="3">
        <v>5</v>
      </c>
      <c r="Y125" s="3">
        <v>29</v>
      </c>
      <c r="Z125" s="3" t="s">
        <v>35</v>
      </c>
    </row>
    <row r="126" spans="1:26" x14ac:dyDescent="0.3">
      <c r="A126" s="2">
        <v>46216</v>
      </c>
      <c r="B126" s="3" t="s">
        <v>26</v>
      </c>
      <c r="C126" s="3">
        <v>2</v>
      </c>
      <c r="D126" s="4">
        <v>0.38541666666666702</v>
      </c>
      <c r="E126" s="4">
        <v>0.42708333333333298</v>
      </c>
      <c r="F126" s="3" t="s">
        <v>50</v>
      </c>
      <c r="G126" s="3" t="s">
        <v>51</v>
      </c>
      <c r="H126" s="3" t="s">
        <v>29</v>
      </c>
      <c r="I126" s="3" t="s">
        <v>30</v>
      </c>
      <c r="J126" s="3" t="s">
        <v>31</v>
      </c>
      <c r="K126" s="3" t="s">
        <v>52</v>
      </c>
      <c r="L126" s="5">
        <v>103</v>
      </c>
      <c r="M126" s="5">
        <f t="shared" ca="1" si="5"/>
        <v>75</v>
      </c>
      <c r="N126" s="6">
        <f t="shared" ca="1" si="6"/>
        <v>72.815533980582529</v>
      </c>
      <c r="O126" s="3" cm="1">
        <f t="array" aca="1" ref="O126" ca="1">IFERROR(LOOKUP(2, 1/((F$1:F125=F126)*(J$1:J125=J126)*(ROW(F$1:F125)&lt;ROW(F126))), N$1:N125), "")</f>
        <v>75.728155339805824</v>
      </c>
      <c r="P126" s="3">
        <f t="shared" si="9"/>
        <v>0</v>
      </c>
      <c r="Q126" s="3" t="s">
        <v>43</v>
      </c>
      <c r="R126" s="3" t="s">
        <v>40</v>
      </c>
      <c r="S126" s="3" t="str">
        <f t="shared" si="7"/>
        <v>No</v>
      </c>
      <c r="T126" s="3" t="s">
        <v>34</v>
      </c>
      <c r="U126" s="3" t="str">
        <f t="shared" si="8"/>
        <v>Rainy</v>
      </c>
      <c r="V126" s="3" t="s">
        <v>40</v>
      </c>
      <c r="W126" s="3" cm="1">
        <f t="array" ref="W126">_xlfn.IFS(
OR(F126="Selenium (Hands-on)",F126="Guest Lecture: HR Interview"),6,
OR(F126="Soft Skill",F126="Soft Skill (Examination)",F126="AWS Training",F126="AWS Session"),7,
OR(ISNUMBER(SEARCH("MAD",F126)),ISNUMBER(SEARCH("STQA",F126)),F126="CI/CD Session"),8,
OR(ISNUMBER(SEARCH("Cloud",F126)),F126="Industry Readiness Program",ISNUMBER(SEARCH("Talenlio",F126))),9,
OR(ISNUMBER(SEARCH("Innovation",F126)),F126="Mini Project"),10,
OR(ISNUMBER(SEARCH("Data Science",F126)),ISNUMBER(SEARCH("DS",F126))),11,
ISNUMBER(SEARCH("Generative AI",F126)),12
=_xlfn.IFS(
OR(F126="Selenium (Hands-on)",F126="Guest Lecture: HR Interview"),6,
OR(F126="Soft Skill",F126="Soft Skill (Examination)",F126="AWS Training",F126="AWS Session"),7,
OR(ISNUMBER(SEARCH("MAD",F126)),ISNUMBER(SEARCH("STQA",F126)),F126="CI/CD Session"),8,
OR(ISNUMBER(SEARCH("Cloud",F126)),F126="Industry Readiness Program",ISNUMBER(SEARCH("Talenlio",F126))),9,
OR(ISNUMBER(SEARCH("Innovation",F126)),F126="Mini Project"),10,
OR(ISNUMBER(SEARCH("Data Science",F126)),ISNUMBER(SEARCH("DS",F126))),11,
ISNUMBER(SEARCH("Generative AI",F126)),12
=_xlfn.IFS(
OR(F126="Selenium (Hands-on)",F126="Guest Lecture: HR Interview"),6,
OR(F126="Soft Skill",F126="Soft Skill (Examination)",F126="AWS Training",F126="AWS Session"),7,
OR(ISNUMBER(SEARCH("MAD",F126)),ISNUMBER(SEARCH("STQA",F126)),F126="CI/CD Session"),8,
OR(ISNUMBER(SEARCH("Cloud",F126)),F126="Industry Readiness Program",ISNUMBER(SEARCH("Talenlio",F126))),9,
OR(ISNUMBER(SEARCH("Innovation",F126)),F126="Mini Project"),10,
OR(ISNUMBER(SEARCH("Data Science",F126)),ISNUMBER(SEARCH("DS",F126))),11,
ISNUMBER(SEARCH("Generative AI",F126)),12
=_xlfn.IFS(
OR(F126="Selenium (Hands-on)",F126="Guest Lecture: HR Interview"),6,
OR(F126="Soft Skill",F126="Soft Skill (Examination)",F126="AWS Training",F126="AWS Session"),7,
OR(ISNUMBER(SEARCH("MAD",F126)),ISNUMBER(SEARCH("STQA",F126)),F126="CI/CD Session"),8,
OR(ISNUMBER(SEARCH("Cloud",F126)),F126="Industry Readiness Program",ISNUMBER(SEARCH("Talenlio",F126))),9,
OR(ISNUMBER(SEARCH("Innovation",F126)),F126="Mini Project"),10,
OR(ISNUMBER(SEARCH("Data Science",F126)),ISNUMBER(SEARCH("DS",F126))),11,
ISNUMBER(SEARCH("Generative AI",F126)),12
))))</f>
        <v>8</v>
      </c>
      <c r="X126" s="3">
        <v>5</v>
      </c>
      <c r="Y126" s="3">
        <v>29</v>
      </c>
      <c r="Z126" s="3" t="s">
        <v>35</v>
      </c>
    </row>
    <row r="127" spans="1:26" x14ac:dyDescent="0.3">
      <c r="A127" s="2">
        <v>46216</v>
      </c>
      <c r="B127" s="3" t="s">
        <v>26</v>
      </c>
      <c r="C127" s="3">
        <v>3</v>
      </c>
      <c r="D127" s="4">
        <v>0.42708333333333298</v>
      </c>
      <c r="E127" s="4">
        <v>0.46875</v>
      </c>
      <c r="F127" s="3" t="s">
        <v>53</v>
      </c>
      <c r="G127" s="3" t="s">
        <v>68</v>
      </c>
      <c r="H127" s="3" t="s">
        <v>29</v>
      </c>
      <c r="I127" s="3" t="s">
        <v>30</v>
      </c>
      <c r="J127" s="3" t="s">
        <v>31</v>
      </c>
      <c r="K127" s="3" t="s">
        <v>52</v>
      </c>
      <c r="L127" s="5">
        <v>103</v>
      </c>
      <c r="M127" s="5">
        <f t="shared" ca="1" si="5"/>
        <v>43</v>
      </c>
      <c r="N127" s="6">
        <f t="shared" ca="1" si="6"/>
        <v>41.747572815533978</v>
      </c>
      <c r="O127" s="3" cm="1">
        <f t="array" aca="1" ref="O127" ca="1">IFERROR(LOOKUP(2, 1/((F$1:F126=F127)*(J$1:J126=J127)*(ROW(F$1:F126)&lt;ROW(F127))), N$1:N126), "")</f>
        <v>76.699029126213588</v>
      </c>
      <c r="P127" s="3">
        <f t="shared" si="9"/>
        <v>0</v>
      </c>
      <c r="Q127" s="3" t="s">
        <v>33</v>
      </c>
      <c r="R127" s="3" t="s">
        <v>40</v>
      </c>
      <c r="S127" s="3" t="str">
        <f t="shared" si="7"/>
        <v>No</v>
      </c>
      <c r="T127" s="3" t="s">
        <v>34</v>
      </c>
      <c r="U127" s="3" t="str">
        <f t="shared" si="8"/>
        <v>Rainy</v>
      </c>
      <c r="V127" s="3" t="s">
        <v>40</v>
      </c>
      <c r="W127" s="3" cm="1">
        <f t="array" ref="W127">_xlfn.IFS(
OR(F127="Selenium (Hands-on)",F127="Guest Lecture: HR Interview"),6,
OR(F127="Soft Skill",F127="Soft Skill (Examination)",F127="AWS Training",F127="AWS Session"),7,
OR(ISNUMBER(SEARCH("MAD",F127)),ISNUMBER(SEARCH("STQA",F127)),F127="CI/CD Session"),8,
OR(ISNUMBER(SEARCH("Cloud",F127)),F127="Industry Readiness Program",ISNUMBER(SEARCH("Talenlio",F127))),9,
OR(ISNUMBER(SEARCH("Innovation",F127)),F127="Mini Project"),10,
OR(ISNUMBER(SEARCH("Data Science",F127)),ISNUMBER(SEARCH("DS",F127))),11,
ISNUMBER(SEARCH("Generative AI",F127)),12
=_xlfn.IFS(
OR(F127="Selenium (Hands-on)",F127="Guest Lecture: HR Interview"),6,
OR(F127="Soft Skill",F127="Soft Skill (Examination)",F127="AWS Training",F127="AWS Session"),7,
OR(ISNUMBER(SEARCH("MAD",F127)),ISNUMBER(SEARCH("STQA",F127)),F127="CI/CD Session"),8,
OR(ISNUMBER(SEARCH("Cloud",F127)),F127="Industry Readiness Program",ISNUMBER(SEARCH("Talenlio",F127))),9,
OR(ISNUMBER(SEARCH("Innovation",F127)),F127="Mini Project"),10,
OR(ISNUMBER(SEARCH("Data Science",F127)),ISNUMBER(SEARCH("DS",F127))),11,
ISNUMBER(SEARCH("Generative AI",F127)),12
=_xlfn.IFS(
OR(F127="Selenium (Hands-on)",F127="Guest Lecture: HR Interview"),6,
OR(F127="Soft Skill",F127="Soft Skill (Examination)",F127="AWS Training",F127="AWS Session"),7,
OR(ISNUMBER(SEARCH("MAD",F127)),ISNUMBER(SEARCH("STQA",F127)),F127="CI/CD Session"),8,
OR(ISNUMBER(SEARCH("Cloud",F127)),F127="Industry Readiness Program",ISNUMBER(SEARCH("Talenlio",F127))),9,
OR(ISNUMBER(SEARCH("Innovation",F127)),F127="Mini Project"),10,
OR(ISNUMBER(SEARCH("Data Science",F127)),ISNUMBER(SEARCH("DS",F127))),11,
ISNUMBER(SEARCH("Generative AI",F127)),12
=_xlfn.IFS(
OR(F127="Selenium (Hands-on)",F127="Guest Lecture: HR Interview"),6,
OR(F127="Soft Skill",F127="Soft Skill (Examination)",F127="AWS Training",F127="AWS Session"),7,
OR(ISNUMBER(SEARCH("MAD",F127)),ISNUMBER(SEARCH("STQA",F127)),F127="CI/CD Session"),8,
OR(ISNUMBER(SEARCH("Cloud",F127)),F127="Industry Readiness Program",ISNUMBER(SEARCH("Talenlio",F127))),9,
OR(ISNUMBER(SEARCH("Innovation",F127)),F127="Mini Project"),10,
OR(ISNUMBER(SEARCH("Data Science",F127)),ISNUMBER(SEARCH("DS",F127))),11,
ISNUMBER(SEARCH("Generative AI",F127)),12
))))</f>
        <v>10</v>
      </c>
      <c r="X127" s="3">
        <v>5</v>
      </c>
      <c r="Y127" s="3">
        <v>29</v>
      </c>
      <c r="Z127" s="3" t="s">
        <v>35</v>
      </c>
    </row>
    <row r="128" spans="1:26" x14ac:dyDescent="0.3">
      <c r="A128" s="2">
        <v>46216</v>
      </c>
      <c r="B128" s="3" t="s">
        <v>26</v>
      </c>
      <c r="C128" s="3">
        <v>4</v>
      </c>
      <c r="D128" s="4">
        <v>0.46875</v>
      </c>
      <c r="E128" s="4">
        <v>0.51041666666666696</v>
      </c>
      <c r="F128" s="3" t="s">
        <v>53</v>
      </c>
      <c r="G128" s="3" t="s">
        <v>68</v>
      </c>
      <c r="H128" s="3" t="s">
        <v>29</v>
      </c>
      <c r="I128" s="3" t="s">
        <v>30</v>
      </c>
      <c r="J128" s="3" t="s">
        <v>31</v>
      </c>
      <c r="K128" s="3" t="s">
        <v>52</v>
      </c>
      <c r="L128" s="5">
        <v>103</v>
      </c>
      <c r="M128" s="5">
        <f t="shared" ca="1" si="5"/>
        <v>47</v>
      </c>
      <c r="N128" s="6">
        <f t="shared" ca="1" si="6"/>
        <v>45.631067961165051</v>
      </c>
      <c r="O128" s="3" cm="1">
        <f t="array" aca="1" ref="O128" ca="1">IFERROR(LOOKUP(2, 1/((F$1:F127=F128)*(J$1:J127=J128)*(ROW(F$1:F127)&lt;ROW(F128))), N$1:N127), "")</f>
        <v>41.747572815533978</v>
      </c>
      <c r="P128" s="3">
        <f t="shared" si="9"/>
        <v>0</v>
      </c>
      <c r="Q128" s="3" t="s">
        <v>33</v>
      </c>
      <c r="R128" s="3" t="s">
        <v>40</v>
      </c>
      <c r="S128" s="3" t="str">
        <f t="shared" si="7"/>
        <v>No</v>
      </c>
      <c r="T128" s="3" t="s">
        <v>34</v>
      </c>
      <c r="U128" s="3" t="str">
        <f t="shared" si="8"/>
        <v>Rainy</v>
      </c>
      <c r="V128" s="3" t="s">
        <v>40</v>
      </c>
      <c r="W128" s="3" cm="1">
        <f t="array" ref="W128">_xlfn.IFS(
OR(F128="Selenium (Hands-on)",F128="Guest Lecture: HR Interview"),6,
OR(F128="Soft Skill",F128="Soft Skill (Examination)",F128="AWS Training",F128="AWS Session"),7,
OR(ISNUMBER(SEARCH("MAD",F128)),ISNUMBER(SEARCH("STQA",F128)),F128="CI/CD Session"),8,
OR(ISNUMBER(SEARCH("Cloud",F128)),F128="Industry Readiness Program",ISNUMBER(SEARCH("Talenlio",F128))),9,
OR(ISNUMBER(SEARCH("Innovation",F128)),F128="Mini Project"),10,
OR(ISNUMBER(SEARCH("Data Science",F128)),ISNUMBER(SEARCH("DS",F128))),11,
ISNUMBER(SEARCH("Generative AI",F128)),12
=_xlfn.IFS(
OR(F128="Selenium (Hands-on)",F128="Guest Lecture: HR Interview"),6,
OR(F128="Soft Skill",F128="Soft Skill (Examination)",F128="AWS Training",F128="AWS Session"),7,
OR(ISNUMBER(SEARCH("MAD",F128)),ISNUMBER(SEARCH("STQA",F128)),F128="CI/CD Session"),8,
OR(ISNUMBER(SEARCH("Cloud",F128)),F128="Industry Readiness Program",ISNUMBER(SEARCH("Talenlio",F128))),9,
OR(ISNUMBER(SEARCH("Innovation",F128)),F128="Mini Project"),10,
OR(ISNUMBER(SEARCH("Data Science",F128)),ISNUMBER(SEARCH("DS",F128))),11,
ISNUMBER(SEARCH("Generative AI",F128)),12
=_xlfn.IFS(
OR(F128="Selenium (Hands-on)",F128="Guest Lecture: HR Interview"),6,
OR(F128="Soft Skill",F128="Soft Skill (Examination)",F128="AWS Training",F128="AWS Session"),7,
OR(ISNUMBER(SEARCH("MAD",F128)),ISNUMBER(SEARCH("STQA",F128)),F128="CI/CD Session"),8,
OR(ISNUMBER(SEARCH("Cloud",F128)),F128="Industry Readiness Program",ISNUMBER(SEARCH("Talenlio",F128))),9,
OR(ISNUMBER(SEARCH("Innovation",F128)),F128="Mini Project"),10,
OR(ISNUMBER(SEARCH("Data Science",F128)),ISNUMBER(SEARCH("DS",F128))),11,
ISNUMBER(SEARCH("Generative AI",F128)),12
=_xlfn.IFS(
OR(F128="Selenium (Hands-on)",F128="Guest Lecture: HR Interview"),6,
OR(F128="Soft Skill",F128="Soft Skill (Examination)",F128="AWS Training",F128="AWS Session"),7,
OR(ISNUMBER(SEARCH("MAD",F128)),ISNUMBER(SEARCH("STQA",F128)),F128="CI/CD Session"),8,
OR(ISNUMBER(SEARCH("Cloud",F128)),F128="Industry Readiness Program",ISNUMBER(SEARCH("Talenlio",F128))),9,
OR(ISNUMBER(SEARCH("Innovation",F128)),F128="Mini Project"),10,
OR(ISNUMBER(SEARCH("Data Science",F128)),ISNUMBER(SEARCH("DS",F128))),11,
ISNUMBER(SEARCH("Generative AI",F128)),12
))))</f>
        <v>10</v>
      </c>
      <c r="X128" s="3">
        <v>5</v>
      </c>
      <c r="Y128" s="3">
        <v>29</v>
      </c>
      <c r="Z128" s="3" t="s">
        <v>35</v>
      </c>
    </row>
    <row r="129" spans="1:26" x14ac:dyDescent="0.3">
      <c r="A129" s="2">
        <v>46216</v>
      </c>
      <c r="B129" s="3" t="s">
        <v>26</v>
      </c>
      <c r="C129" s="3">
        <v>5</v>
      </c>
      <c r="D129" s="4">
        <v>0.5625</v>
      </c>
      <c r="E129" s="4">
        <v>0.60416666666666696</v>
      </c>
      <c r="F129" s="3" t="s">
        <v>55</v>
      </c>
      <c r="G129" s="3" t="s">
        <v>56</v>
      </c>
      <c r="H129" s="3" t="s">
        <v>29</v>
      </c>
      <c r="I129" s="3" t="s">
        <v>30</v>
      </c>
      <c r="J129" s="3" t="s">
        <v>31</v>
      </c>
      <c r="K129" s="3" t="s">
        <v>52</v>
      </c>
      <c r="L129" s="5">
        <v>103</v>
      </c>
      <c r="M129" s="5">
        <f t="shared" ca="1" si="5"/>
        <v>87</v>
      </c>
      <c r="N129" s="6">
        <f t="shared" ca="1" si="6"/>
        <v>84.466019417475721</v>
      </c>
      <c r="O129" s="3" cm="1">
        <f t="array" aca="1" ref="O129" ca="1">IFERROR(LOOKUP(2, 1/((F$1:F128=F129)*(J$1:J128=J129)*(ROW(F$1:F128)&lt;ROW(F129))), N$1:N128), "")</f>
        <v>62.135922330097081</v>
      </c>
      <c r="P129" s="3">
        <f t="shared" si="9"/>
        <v>1.25</v>
      </c>
      <c r="Q129" s="3" t="s">
        <v>43</v>
      </c>
      <c r="R129" s="3" t="s">
        <v>40</v>
      </c>
      <c r="S129" s="3" t="str">
        <f t="shared" si="7"/>
        <v>No</v>
      </c>
      <c r="T129" s="3" t="s">
        <v>34</v>
      </c>
      <c r="U129" s="3" t="str">
        <f t="shared" si="8"/>
        <v>Rainy</v>
      </c>
      <c r="V129" s="3" t="s">
        <v>40</v>
      </c>
      <c r="W129" s="3" cm="1">
        <f t="array" ref="W129">_xlfn.IFS(
OR(F129="Selenium (Hands-on)",F129="Guest Lecture: HR Interview"),6,
OR(F129="Soft Skill",F129="Soft Skill (Examination)",F129="AWS Training",F129="AWS Session"),7,
OR(ISNUMBER(SEARCH("MAD",F129)),ISNUMBER(SEARCH("STQA",F129)),F129="CI/CD Session"),8,
OR(ISNUMBER(SEARCH("Cloud",F129)),F129="Industry Readiness Program",ISNUMBER(SEARCH("Talenlio",F129))),9,
OR(ISNUMBER(SEARCH("Innovation",F129)),F129="Mini Project"),10,
OR(ISNUMBER(SEARCH("Data Science",F129)),ISNUMBER(SEARCH("DS",F129))),11,
ISNUMBER(SEARCH("Generative AI",F129)),12
=_xlfn.IFS(
OR(F129="Selenium (Hands-on)",F129="Guest Lecture: HR Interview"),6,
OR(F129="Soft Skill",F129="Soft Skill (Examination)",F129="AWS Training",F129="AWS Session"),7,
OR(ISNUMBER(SEARCH("MAD",F129)),ISNUMBER(SEARCH("STQA",F129)),F129="CI/CD Session"),8,
OR(ISNUMBER(SEARCH("Cloud",F129)),F129="Industry Readiness Program",ISNUMBER(SEARCH("Talenlio",F129))),9,
OR(ISNUMBER(SEARCH("Innovation",F129)),F129="Mini Project"),10,
OR(ISNUMBER(SEARCH("Data Science",F129)),ISNUMBER(SEARCH("DS",F129))),11,
ISNUMBER(SEARCH("Generative AI",F129)),12
=_xlfn.IFS(
OR(F129="Selenium (Hands-on)",F129="Guest Lecture: HR Interview"),6,
OR(F129="Soft Skill",F129="Soft Skill (Examination)",F129="AWS Training",F129="AWS Session"),7,
OR(ISNUMBER(SEARCH("MAD",F129)),ISNUMBER(SEARCH("STQA",F129)),F129="CI/CD Session"),8,
OR(ISNUMBER(SEARCH("Cloud",F129)),F129="Industry Readiness Program",ISNUMBER(SEARCH("Talenlio",F129))),9,
OR(ISNUMBER(SEARCH("Innovation",F129)),F129="Mini Project"),10,
OR(ISNUMBER(SEARCH("Data Science",F129)),ISNUMBER(SEARCH("DS",F129))),11,
ISNUMBER(SEARCH("Generative AI",F129)),12
=_xlfn.IFS(
OR(F129="Selenium (Hands-on)",F129="Guest Lecture: HR Interview"),6,
OR(F129="Soft Skill",F129="Soft Skill (Examination)",F129="AWS Training",F129="AWS Session"),7,
OR(ISNUMBER(SEARCH("MAD",F129)),ISNUMBER(SEARCH("STQA",F129)),F129="CI/CD Session"),8,
OR(ISNUMBER(SEARCH("Cloud",F129)),F129="Industry Readiness Program",ISNUMBER(SEARCH("Talenlio",F129))),9,
OR(ISNUMBER(SEARCH("Innovation",F129)),F129="Mini Project"),10,
OR(ISNUMBER(SEARCH("Data Science",F129)),ISNUMBER(SEARCH("DS",F129))),11,
ISNUMBER(SEARCH("Generative AI",F129)),12
))))</f>
        <v>8</v>
      </c>
      <c r="X129" s="3">
        <v>5</v>
      </c>
      <c r="Y129" s="3">
        <v>29</v>
      </c>
      <c r="Z129" s="3" t="s">
        <v>38</v>
      </c>
    </row>
    <row r="130" spans="1:26" x14ac:dyDescent="0.3">
      <c r="A130" s="2">
        <v>46216</v>
      </c>
      <c r="B130" s="3" t="s">
        <v>26</v>
      </c>
      <c r="C130" s="3">
        <v>6</v>
      </c>
      <c r="D130" s="4">
        <v>0.60416666666666696</v>
      </c>
      <c r="E130" s="4">
        <v>0.64583333333333304</v>
      </c>
      <c r="F130" s="3" t="s">
        <v>55</v>
      </c>
      <c r="G130" s="3" t="s">
        <v>56</v>
      </c>
      <c r="H130" s="3" t="s">
        <v>29</v>
      </c>
      <c r="I130" s="3" t="s">
        <v>30</v>
      </c>
      <c r="J130" s="3" t="s">
        <v>31</v>
      </c>
      <c r="K130" s="3" t="s">
        <v>52</v>
      </c>
      <c r="L130" s="5">
        <v>103</v>
      </c>
      <c r="M130" s="5">
        <f t="shared" ref="M130:M193" ca="1" si="10">RANDBETWEEN(40,103)</f>
        <v>43</v>
      </c>
      <c r="N130" s="6">
        <f t="shared" ref="N130:N193" ca="1" si="11">IF(OR(L130="",M130=""),"",M130/L130*100)</f>
        <v>41.747572815533978</v>
      </c>
      <c r="O130" s="3" cm="1">
        <f t="array" aca="1" ref="O130" ca="1">IFERROR(LOOKUP(2, 1/((F$1:F129=F130)*(J$1:J129=J130)*(ROW(F$1:F129)&lt;ROW(F130))), N$1:N129), "")</f>
        <v>84.466019417475721</v>
      </c>
      <c r="P130" s="3">
        <f t="shared" si="9"/>
        <v>0</v>
      </c>
      <c r="Q130" s="3" t="s">
        <v>43</v>
      </c>
      <c r="R130" s="3" t="s">
        <v>40</v>
      </c>
      <c r="S130" s="3" t="str">
        <f t="shared" ref="S130:S193" si="12">IF(OR(ISNUMBER(SEARCH("Guest", F130)), ISNUMBER(SEARCH("Hands-on", F130)), ISNUMBER(SEARCH("Project", F130)), B130="Friday"), "Yes", "No")</f>
        <v>No</v>
      </c>
      <c r="T130" s="3" t="s">
        <v>34</v>
      </c>
      <c r="U130" s="3" t="str">
        <f t="shared" ref="U130:U193" si="13">IF(MONTH(A130)=6, IF(DAY(A130)&lt;20, "Sunny", "Cloudy"), IF(OR(MONTH(A130)=7, MONTH(A130)=8), "Rainy", "Sunny"))</f>
        <v>Rainy</v>
      </c>
      <c r="V130" s="3" t="s">
        <v>40</v>
      </c>
      <c r="W130" s="3" cm="1">
        <f t="array" ref="W130">_xlfn.IFS(
OR(F130="Selenium (Hands-on)",F130="Guest Lecture: HR Interview"),6,
OR(F130="Soft Skill",F130="Soft Skill (Examination)",F130="AWS Training",F130="AWS Session"),7,
OR(ISNUMBER(SEARCH("MAD",F130)),ISNUMBER(SEARCH("STQA",F130)),F130="CI/CD Session"),8,
OR(ISNUMBER(SEARCH("Cloud",F130)),F130="Industry Readiness Program",ISNUMBER(SEARCH("Talenlio",F130))),9,
OR(ISNUMBER(SEARCH("Innovation",F130)),F130="Mini Project"),10,
OR(ISNUMBER(SEARCH("Data Science",F130)),ISNUMBER(SEARCH("DS",F130))),11,
ISNUMBER(SEARCH("Generative AI",F130)),12
=_xlfn.IFS(
OR(F130="Selenium (Hands-on)",F130="Guest Lecture: HR Interview"),6,
OR(F130="Soft Skill",F130="Soft Skill (Examination)",F130="AWS Training",F130="AWS Session"),7,
OR(ISNUMBER(SEARCH("MAD",F130)),ISNUMBER(SEARCH("STQA",F130)),F130="CI/CD Session"),8,
OR(ISNUMBER(SEARCH("Cloud",F130)),F130="Industry Readiness Program",ISNUMBER(SEARCH("Talenlio",F130))),9,
OR(ISNUMBER(SEARCH("Innovation",F130)),F130="Mini Project"),10,
OR(ISNUMBER(SEARCH("Data Science",F130)),ISNUMBER(SEARCH("DS",F130))),11,
ISNUMBER(SEARCH("Generative AI",F130)),12
=_xlfn.IFS(
OR(F130="Selenium (Hands-on)",F130="Guest Lecture: HR Interview"),6,
OR(F130="Soft Skill",F130="Soft Skill (Examination)",F130="AWS Training",F130="AWS Session"),7,
OR(ISNUMBER(SEARCH("MAD",F130)),ISNUMBER(SEARCH("STQA",F130)),F130="CI/CD Session"),8,
OR(ISNUMBER(SEARCH("Cloud",F130)),F130="Industry Readiness Program",ISNUMBER(SEARCH("Talenlio",F130))),9,
OR(ISNUMBER(SEARCH("Innovation",F130)),F130="Mini Project"),10,
OR(ISNUMBER(SEARCH("Data Science",F130)),ISNUMBER(SEARCH("DS",F130))),11,
ISNUMBER(SEARCH("Generative AI",F130)),12
=_xlfn.IFS(
OR(F130="Selenium (Hands-on)",F130="Guest Lecture: HR Interview"),6,
OR(F130="Soft Skill",F130="Soft Skill (Examination)",F130="AWS Training",F130="AWS Session"),7,
OR(ISNUMBER(SEARCH("MAD",F130)),ISNUMBER(SEARCH("STQA",F130)),F130="CI/CD Session"),8,
OR(ISNUMBER(SEARCH("Cloud",F130)),F130="Industry Readiness Program",ISNUMBER(SEARCH("Talenlio",F130))),9,
OR(ISNUMBER(SEARCH("Innovation",F130)),F130="Mini Project"),10,
OR(ISNUMBER(SEARCH("Data Science",F130)),ISNUMBER(SEARCH("DS",F130))),11,
ISNUMBER(SEARCH("Generative AI",F130)),12
))))</f>
        <v>8</v>
      </c>
      <c r="X130" s="3">
        <v>5</v>
      </c>
      <c r="Y130" s="3">
        <v>29</v>
      </c>
      <c r="Z130" s="3" t="s">
        <v>38</v>
      </c>
    </row>
    <row r="131" spans="1:26" x14ac:dyDescent="0.3">
      <c r="A131" s="2">
        <v>46217</v>
      </c>
      <c r="B131" s="3" t="s">
        <v>39</v>
      </c>
      <c r="C131" s="3">
        <v>1</v>
      </c>
      <c r="D131" s="4">
        <v>0.35416666666666702</v>
      </c>
      <c r="E131" s="4">
        <v>0.38541666666666702</v>
      </c>
      <c r="F131" s="3" t="s">
        <v>50</v>
      </c>
      <c r="G131" s="3" t="s">
        <v>51</v>
      </c>
      <c r="H131" s="3" t="s">
        <v>29</v>
      </c>
      <c r="I131" s="3" t="s">
        <v>30</v>
      </c>
      <c r="J131" s="3" t="s">
        <v>31</v>
      </c>
      <c r="K131" s="3" t="s">
        <v>52</v>
      </c>
      <c r="L131" s="5">
        <v>103</v>
      </c>
      <c r="M131" s="5">
        <f t="shared" ca="1" si="10"/>
        <v>65</v>
      </c>
      <c r="N131" s="6">
        <f t="shared" ca="1" si="11"/>
        <v>63.10679611650486</v>
      </c>
      <c r="O131" s="3" cm="1">
        <f t="array" aca="1" ref="O131" ca="1">IFERROR(LOOKUP(2, 1/((F$1:F130=F131)*(J$1:J130=J131)*(ROW(F$1:F130)&lt;ROW(F131))), N$1:N130), "")</f>
        <v>72.815533980582529</v>
      </c>
      <c r="P131" s="3">
        <f t="shared" ref="P131:P194" si="14">IF(C131=1, 0, IF(AND(A131=A130, J131=J130), ROUND(MAX(0, (D131-E130)*24), 2), 0))</f>
        <v>0</v>
      </c>
      <c r="Q131" s="3" t="s">
        <v>43</v>
      </c>
      <c r="R131" s="3" t="s">
        <v>40</v>
      </c>
      <c r="S131" s="3" t="str">
        <f t="shared" si="12"/>
        <v>No</v>
      </c>
      <c r="T131" s="3" t="s">
        <v>40</v>
      </c>
      <c r="U131" s="3" t="str">
        <f t="shared" si="13"/>
        <v>Rainy</v>
      </c>
      <c r="V131" s="3" t="s">
        <v>40</v>
      </c>
      <c r="W131" s="3" cm="1">
        <f t="array" ref="W131">_xlfn.IFS(
OR(F131="Selenium (Hands-on)",F131="Guest Lecture: HR Interview"),6,
OR(F131="Soft Skill",F131="Soft Skill (Examination)",F131="AWS Training",F131="AWS Session"),7,
OR(ISNUMBER(SEARCH("MAD",F131)),ISNUMBER(SEARCH("STQA",F131)),F131="CI/CD Session"),8,
OR(ISNUMBER(SEARCH("Cloud",F131)),F131="Industry Readiness Program",ISNUMBER(SEARCH("Talenlio",F131))),9,
OR(ISNUMBER(SEARCH("Innovation",F131)),F131="Mini Project"),10,
OR(ISNUMBER(SEARCH("Data Science",F131)),ISNUMBER(SEARCH("DS",F131))),11,
ISNUMBER(SEARCH("Generative AI",F131)),12
=_xlfn.IFS(
OR(F131="Selenium (Hands-on)",F131="Guest Lecture: HR Interview"),6,
OR(F131="Soft Skill",F131="Soft Skill (Examination)",F131="AWS Training",F131="AWS Session"),7,
OR(ISNUMBER(SEARCH("MAD",F131)),ISNUMBER(SEARCH("STQA",F131)),F131="CI/CD Session"),8,
OR(ISNUMBER(SEARCH("Cloud",F131)),F131="Industry Readiness Program",ISNUMBER(SEARCH("Talenlio",F131))),9,
OR(ISNUMBER(SEARCH("Innovation",F131)),F131="Mini Project"),10,
OR(ISNUMBER(SEARCH("Data Science",F131)),ISNUMBER(SEARCH("DS",F131))),11,
ISNUMBER(SEARCH("Generative AI",F131)),12
=_xlfn.IFS(
OR(F131="Selenium (Hands-on)",F131="Guest Lecture: HR Interview"),6,
OR(F131="Soft Skill",F131="Soft Skill (Examination)",F131="AWS Training",F131="AWS Session"),7,
OR(ISNUMBER(SEARCH("MAD",F131)),ISNUMBER(SEARCH("STQA",F131)),F131="CI/CD Session"),8,
OR(ISNUMBER(SEARCH("Cloud",F131)),F131="Industry Readiness Program",ISNUMBER(SEARCH("Talenlio",F131))),9,
OR(ISNUMBER(SEARCH("Innovation",F131)),F131="Mini Project"),10,
OR(ISNUMBER(SEARCH("Data Science",F131)),ISNUMBER(SEARCH("DS",F131))),11,
ISNUMBER(SEARCH("Generative AI",F131)),12
=_xlfn.IFS(
OR(F131="Selenium (Hands-on)",F131="Guest Lecture: HR Interview"),6,
OR(F131="Soft Skill",F131="Soft Skill (Examination)",F131="AWS Training",F131="AWS Session"),7,
OR(ISNUMBER(SEARCH("MAD",F131)),ISNUMBER(SEARCH("STQA",F131)),F131="CI/CD Session"),8,
OR(ISNUMBER(SEARCH("Cloud",F131)),F131="Industry Readiness Program",ISNUMBER(SEARCH("Talenlio",F131))),9,
OR(ISNUMBER(SEARCH("Innovation",F131)),F131="Mini Project"),10,
OR(ISNUMBER(SEARCH("Data Science",F131)),ISNUMBER(SEARCH("DS",F131))),11,
ISNUMBER(SEARCH("Generative AI",F131)),12
))))</f>
        <v>8</v>
      </c>
      <c r="X131" s="3">
        <v>5</v>
      </c>
      <c r="Y131" s="3">
        <v>30</v>
      </c>
      <c r="Z131" s="3" t="s">
        <v>35</v>
      </c>
    </row>
    <row r="132" spans="1:26" x14ac:dyDescent="0.3">
      <c r="A132" s="2">
        <v>46217</v>
      </c>
      <c r="B132" s="3" t="s">
        <v>39</v>
      </c>
      <c r="C132" s="3">
        <v>2</v>
      </c>
      <c r="D132" s="4">
        <v>0.39583333333333298</v>
      </c>
      <c r="E132" s="4">
        <v>0.4375</v>
      </c>
      <c r="F132" s="3" t="s">
        <v>50</v>
      </c>
      <c r="G132" s="3" t="s">
        <v>51</v>
      </c>
      <c r="H132" s="3" t="s">
        <v>29</v>
      </c>
      <c r="I132" s="3" t="s">
        <v>30</v>
      </c>
      <c r="J132" s="3" t="s">
        <v>31</v>
      </c>
      <c r="K132" s="3" t="s">
        <v>52</v>
      </c>
      <c r="L132" s="5">
        <v>103</v>
      </c>
      <c r="M132" s="5">
        <f t="shared" ca="1" si="10"/>
        <v>78</v>
      </c>
      <c r="N132" s="6">
        <f t="shared" ca="1" si="11"/>
        <v>75.728155339805824</v>
      </c>
      <c r="O132" s="3" cm="1">
        <f t="array" aca="1" ref="O132" ca="1">IFERROR(LOOKUP(2, 1/((F$1:F131=F132)*(J$1:J131=J132)*(ROW(F$1:F131)&lt;ROW(F132))), N$1:N131), "")</f>
        <v>63.10679611650486</v>
      </c>
      <c r="P132" s="3">
        <f t="shared" si="14"/>
        <v>0.25</v>
      </c>
      <c r="Q132" s="3" t="s">
        <v>43</v>
      </c>
      <c r="R132" s="3" t="s">
        <v>40</v>
      </c>
      <c r="S132" s="3" t="str">
        <f t="shared" si="12"/>
        <v>No</v>
      </c>
      <c r="T132" s="3" t="s">
        <v>40</v>
      </c>
      <c r="U132" s="3" t="str">
        <f t="shared" si="13"/>
        <v>Rainy</v>
      </c>
      <c r="V132" s="3" t="s">
        <v>40</v>
      </c>
      <c r="W132" s="3" cm="1">
        <f t="array" ref="W132">_xlfn.IFS(
OR(F132="Selenium (Hands-on)",F132="Guest Lecture: HR Interview"),6,
OR(F132="Soft Skill",F132="Soft Skill (Examination)",F132="AWS Training",F132="AWS Session"),7,
OR(ISNUMBER(SEARCH("MAD",F132)),ISNUMBER(SEARCH("STQA",F132)),F132="CI/CD Session"),8,
OR(ISNUMBER(SEARCH("Cloud",F132)),F132="Industry Readiness Program",ISNUMBER(SEARCH("Talenlio",F132))),9,
OR(ISNUMBER(SEARCH("Innovation",F132)),F132="Mini Project"),10,
OR(ISNUMBER(SEARCH("Data Science",F132)),ISNUMBER(SEARCH("DS",F132))),11,
ISNUMBER(SEARCH("Generative AI",F132)),12
=_xlfn.IFS(
OR(F132="Selenium (Hands-on)",F132="Guest Lecture: HR Interview"),6,
OR(F132="Soft Skill",F132="Soft Skill (Examination)",F132="AWS Training",F132="AWS Session"),7,
OR(ISNUMBER(SEARCH("MAD",F132)),ISNUMBER(SEARCH("STQA",F132)),F132="CI/CD Session"),8,
OR(ISNUMBER(SEARCH("Cloud",F132)),F132="Industry Readiness Program",ISNUMBER(SEARCH("Talenlio",F132))),9,
OR(ISNUMBER(SEARCH("Innovation",F132)),F132="Mini Project"),10,
OR(ISNUMBER(SEARCH("Data Science",F132)),ISNUMBER(SEARCH("DS",F132))),11,
ISNUMBER(SEARCH("Generative AI",F132)),12
=_xlfn.IFS(
OR(F132="Selenium (Hands-on)",F132="Guest Lecture: HR Interview"),6,
OR(F132="Soft Skill",F132="Soft Skill (Examination)",F132="AWS Training",F132="AWS Session"),7,
OR(ISNUMBER(SEARCH("MAD",F132)),ISNUMBER(SEARCH("STQA",F132)),F132="CI/CD Session"),8,
OR(ISNUMBER(SEARCH("Cloud",F132)),F132="Industry Readiness Program",ISNUMBER(SEARCH("Talenlio",F132))),9,
OR(ISNUMBER(SEARCH("Innovation",F132)),F132="Mini Project"),10,
OR(ISNUMBER(SEARCH("Data Science",F132)),ISNUMBER(SEARCH("DS",F132))),11,
ISNUMBER(SEARCH("Generative AI",F132)),12
=_xlfn.IFS(
OR(F132="Selenium (Hands-on)",F132="Guest Lecture: HR Interview"),6,
OR(F132="Soft Skill",F132="Soft Skill (Examination)",F132="AWS Training",F132="AWS Session"),7,
OR(ISNUMBER(SEARCH("MAD",F132)),ISNUMBER(SEARCH("STQA",F132)),F132="CI/CD Session"),8,
OR(ISNUMBER(SEARCH("Cloud",F132)),F132="Industry Readiness Program",ISNUMBER(SEARCH("Talenlio",F132))),9,
OR(ISNUMBER(SEARCH("Innovation",F132)),F132="Mini Project"),10,
OR(ISNUMBER(SEARCH("Data Science",F132)),ISNUMBER(SEARCH("DS",F132))),11,
ISNUMBER(SEARCH("Generative AI",F132)),12
))))</f>
        <v>8</v>
      </c>
      <c r="X132" s="3">
        <v>5</v>
      </c>
      <c r="Y132" s="3">
        <v>30</v>
      </c>
      <c r="Z132" s="3" t="s">
        <v>35</v>
      </c>
    </row>
    <row r="133" spans="1:26" x14ac:dyDescent="0.3">
      <c r="A133" s="2">
        <v>46217</v>
      </c>
      <c r="B133" s="3" t="s">
        <v>39</v>
      </c>
      <c r="C133" s="3">
        <v>3</v>
      </c>
      <c r="D133" s="4">
        <v>0.4375</v>
      </c>
      <c r="E133" s="4">
        <v>0.47916666666666702</v>
      </c>
      <c r="F133" s="3" t="s">
        <v>57</v>
      </c>
      <c r="G133" s="3" t="s">
        <v>58</v>
      </c>
      <c r="H133" s="3" t="s">
        <v>29</v>
      </c>
      <c r="I133" s="3" t="s">
        <v>30</v>
      </c>
      <c r="J133" s="3" t="s">
        <v>31</v>
      </c>
      <c r="K133" s="3" t="s">
        <v>52</v>
      </c>
      <c r="L133" s="5">
        <v>103</v>
      </c>
      <c r="M133" s="5">
        <f t="shared" ca="1" si="10"/>
        <v>80</v>
      </c>
      <c r="N133" s="6">
        <f t="shared" ca="1" si="11"/>
        <v>77.669902912621353</v>
      </c>
      <c r="O133" s="3" cm="1">
        <f t="array" aca="1" ref="O133" ca="1">IFERROR(LOOKUP(2, 1/((F$1:F132=F133)*(J$1:J132=J133)*(ROW(F$1:F132)&lt;ROW(F133))), N$1:N132), "")</f>
        <v>81.553398058252426</v>
      </c>
      <c r="P133" s="3">
        <f t="shared" si="14"/>
        <v>0</v>
      </c>
      <c r="Q133" s="3" t="s">
        <v>33</v>
      </c>
      <c r="R133" s="3" t="s">
        <v>40</v>
      </c>
      <c r="S133" s="3" t="str">
        <f t="shared" si="12"/>
        <v>No</v>
      </c>
      <c r="T133" s="3" t="s">
        <v>40</v>
      </c>
      <c r="U133" s="3" t="str">
        <f t="shared" si="13"/>
        <v>Rainy</v>
      </c>
      <c r="V133" s="3" t="s">
        <v>40</v>
      </c>
      <c r="W133" s="3" cm="1">
        <f t="array" ref="W133">_xlfn.IFS(
OR(F133="Selenium (Hands-on)",F133="Guest Lecture: HR Interview"),6,
OR(F133="Soft Skill",F133="Soft Skill (Examination)",F133="AWS Training",F133="AWS Session"),7,
OR(ISNUMBER(SEARCH("MAD",F133)),ISNUMBER(SEARCH("STQA",F133)),F133="CI/CD Session"),8,
OR(ISNUMBER(SEARCH("Cloud",F133)),F133="Industry Readiness Program",ISNUMBER(SEARCH("Talenlio",F133))),9,
OR(ISNUMBER(SEARCH("Innovation",F133)),F133="Mini Project"),10,
OR(ISNUMBER(SEARCH("Data Science",F133)),ISNUMBER(SEARCH("DS",F133))),11,
ISNUMBER(SEARCH("Generative AI",F133)),12
=_xlfn.IFS(
OR(F133="Selenium (Hands-on)",F133="Guest Lecture: HR Interview"),6,
OR(F133="Soft Skill",F133="Soft Skill (Examination)",F133="AWS Training",F133="AWS Session"),7,
OR(ISNUMBER(SEARCH("MAD",F133)),ISNUMBER(SEARCH("STQA",F133)),F133="CI/CD Session"),8,
OR(ISNUMBER(SEARCH("Cloud",F133)),F133="Industry Readiness Program",ISNUMBER(SEARCH("Talenlio",F133))),9,
OR(ISNUMBER(SEARCH("Innovation",F133)),F133="Mini Project"),10,
OR(ISNUMBER(SEARCH("Data Science",F133)),ISNUMBER(SEARCH("DS",F133))),11,
ISNUMBER(SEARCH("Generative AI",F133)),12
=_xlfn.IFS(
OR(F133="Selenium (Hands-on)",F133="Guest Lecture: HR Interview"),6,
OR(F133="Soft Skill",F133="Soft Skill (Examination)",F133="AWS Training",F133="AWS Session"),7,
OR(ISNUMBER(SEARCH("MAD",F133)),ISNUMBER(SEARCH("STQA",F133)),F133="CI/CD Session"),8,
OR(ISNUMBER(SEARCH("Cloud",F133)),F133="Industry Readiness Program",ISNUMBER(SEARCH("Talenlio",F133))),9,
OR(ISNUMBER(SEARCH("Innovation",F133)),F133="Mini Project"),10,
OR(ISNUMBER(SEARCH("Data Science",F133)),ISNUMBER(SEARCH("DS",F133))),11,
ISNUMBER(SEARCH("Generative AI",F133)),12
=_xlfn.IFS(
OR(F133="Selenium (Hands-on)",F133="Guest Lecture: HR Interview"),6,
OR(F133="Soft Skill",F133="Soft Skill (Examination)",F133="AWS Training",F133="AWS Session"),7,
OR(ISNUMBER(SEARCH("MAD",F133)),ISNUMBER(SEARCH("STQA",F133)),F133="CI/CD Session"),8,
OR(ISNUMBER(SEARCH("Cloud",F133)),F133="Industry Readiness Program",ISNUMBER(SEARCH("Talenlio",F133))),9,
OR(ISNUMBER(SEARCH("Innovation",F133)),F133="Mini Project"),10,
OR(ISNUMBER(SEARCH("Data Science",F133)),ISNUMBER(SEARCH("DS",F133))),11,
ISNUMBER(SEARCH("Generative AI",F133)),12
))))</f>
        <v>9</v>
      </c>
      <c r="X133" s="3">
        <v>5</v>
      </c>
      <c r="Y133" s="3">
        <v>30</v>
      </c>
      <c r="Z133" s="3" t="s">
        <v>35</v>
      </c>
    </row>
    <row r="134" spans="1:26" x14ac:dyDescent="0.3">
      <c r="A134" s="2">
        <v>46217</v>
      </c>
      <c r="B134" s="3" t="s">
        <v>39</v>
      </c>
      <c r="C134" s="3">
        <v>4</v>
      </c>
      <c r="D134" s="4">
        <v>0.5625</v>
      </c>
      <c r="E134" s="4">
        <v>0.60416666666666696</v>
      </c>
      <c r="F134" s="3" t="s">
        <v>61</v>
      </c>
      <c r="G134" s="3" t="s">
        <v>60</v>
      </c>
      <c r="H134" s="3" t="s">
        <v>29</v>
      </c>
      <c r="I134" s="3" t="s">
        <v>30</v>
      </c>
      <c r="J134" s="3" t="s">
        <v>31</v>
      </c>
      <c r="K134" s="3" t="s">
        <v>52</v>
      </c>
      <c r="L134" s="5">
        <v>103</v>
      </c>
      <c r="M134" s="5">
        <f t="shared" ca="1" si="10"/>
        <v>77</v>
      </c>
      <c r="N134" s="6">
        <f t="shared" ca="1" si="11"/>
        <v>74.757281553398059</v>
      </c>
      <c r="O134" s="3" cm="1">
        <f t="array" aca="1" ref="O134" ca="1">IFERROR(LOOKUP(2, 1/((F$1:F133=F134)*(J$1:J133=J134)*(ROW(F$1:F133)&lt;ROW(F134))), N$1:N133), "")</f>
        <v>69.902912621359221</v>
      </c>
      <c r="P134" s="3">
        <f t="shared" si="14"/>
        <v>2</v>
      </c>
      <c r="Q134" s="3" t="s">
        <v>43</v>
      </c>
      <c r="R134" s="3" t="s">
        <v>40</v>
      </c>
      <c r="S134" s="3" t="str">
        <f t="shared" si="12"/>
        <v>No</v>
      </c>
      <c r="T134" s="3" t="s">
        <v>40</v>
      </c>
      <c r="U134" s="3" t="str">
        <f t="shared" si="13"/>
        <v>Rainy</v>
      </c>
      <c r="V134" s="3" t="s">
        <v>40</v>
      </c>
      <c r="W134" s="3" cm="1">
        <f t="array" ref="W134">_xlfn.IFS(
OR(F134="Selenium (Hands-on)",F134="Guest Lecture: HR Interview"),6,
OR(F134="Soft Skill",F134="Soft Skill (Examination)",F134="AWS Training",F134="AWS Session"),7,
OR(ISNUMBER(SEARCH("MAD",F134)),ISNUMBER(SEARCH("STQA",F134)),F134="CI/CD Session"),8,
OR(ISNUMBER(SEARCH("Cloud",F134)),F134="Industry Readiness Program",ISNUMBER(SEARCH("Talenlio",F134))),9,
OR(ISNUMBER(SEARCH("Innovation",F134)),F134="Mini Project"),10,
OR(ISNUMBER(SEARCH("Data Science",F134)),ISNUMBER(SEARCH("DS",F134))),11,
ISNUMBER(SEARCH("Generative AI",F134)),12
=_xlfn.IFS(
OR(F134="Selenium (Hands-on)",F134="Guest Lecture: HR Interview"),6,
OR(F134="Soft Skill",F134="Soft Skill (Examination)",F134="AWS Training",F134="AWS Session"),7,
OR(ISNUMBER(SEARCH("MAD",F134)),ISNUMBER(SEARCH("STQA",F134)),F134="CI/CD Session"),8,
OR(ISNUMBER(SEARCH("Cloud",F134)),F134="Industry Readiness Program",ISNUMBER(SEARCH("Talenlio",F134))),9,
OR(ISNUMBER(SEARCH("Innovation",F134)),F134="Mini Project"),10,
OR(ISNUMBER(SEARCH("Data Science",F134)),ISNUMBER(SEARCH("DS",F134))),11,
ISNUMBER(SEARCH("Generative AI",F134)),12
=_xlfn.IFS(
OR(F134="Selenium (Hands-on)",F134="Guest Lecture: HR Interview"),6,
OR(F134="Soft Skill",F134="Soft Skill (Examination)",F134="AWS Training",F134="AWS Session"),7,
OR(ISNUMBER(SEARCH("MAD",F134)),ISNUMBER(SEARCH("STQA",F134)),F134="CI/CD Session"),8,
OR(ISNUMBER(SEARCH("Cloud",F134)),F134="Industry Readiness Program",ISNUMBER(SEARCH("Talenlio",F134))),9,
OR(ISNUMBER(SEARCH("Innovation",F134)),F134="Mini Project"),10,
OR(ISNUMBER(SEARCH("Data Science",F134)),ISNUMBER(SEARCH("DS",F134))),11,
ISNUMBER(SEARCH("Generative AI",F134)),12
=_xlfn.IFS(
OR(F134="Selenium (Hands-on)",F134="Guest Lecture: HR Interview"),6,
OR(F134="Soft Skill",F134="Soft Skill (Examination)",F134="AWS Training",F134="AWS Session"),7,
OR(ISNUMBER(SEARCH("MAD",F134)),ISNUMBER(SEARCH("STQA",F134)),F134="CI/CD Session"),8,
OR(ISNUMBER(SEARCH("Cloud",F134)),F134="Industry Readiness Program",ISNUMBER(SEARCH("Talenlio",F134))),9,
OR(ISNUMBER(SEARCH("Innovation",F134)),F134="Mini Project"),10,
OR(ISNUMBER(SEARCH("Data Science",F134)),ISNUMBER(SEARCH("DS",F134))),11,
ISNUMBER(SEARCH("Generative AI",F134)),12
))))</f>
        <v>11</v>
      </c>
      <c r="X134" s="3">
        <v>5</v>
      </c>
      <c r="Y134" s="3">
        <v>30</v>
      </c>
      <c r="Z134" s="3" t="s">
        <v>38</v>
      </c>
    </row>
    <row r="135" spans="1:26" x14ac:dyDescent="0.3">
      <c r="A135" s="2">
        <v>46217</v>
      </c>
      <c r="B135" s="3" t="s">
        <v>39</v>
      </c>
      <c r="C135" s="3">
        <v>5</v>
      </c>
      <c r="D135" s="4">
        <v>0.60416666666666696</v>
      </c>
      <c r="E135" s="4">
        <v>0.64583333333333304</v>
      </c>
      <c r="F135" s="3" t="s">
        <v>61</v>
      </c>
      <c r="G135" s="3" t="s">
        <v>60</v>
      </c>
      <c r="H135" s="3" t="s">
        <v>29</v>
      </c>
      <c r="I135" s="3" t="s">
        <v>30</v>
      </c>
      <c r="J135" s="3" t="s">
        <v>31</v>
      </c>
      <c r="K135" s="3" t="s">
        <v>52</v>
      </c>
      <c r="L135" s="5">
        <v>103</v>
      </c>
      <c r="M135" s="5">
        <f t="shared" ca="1" si="10"/>
        <v>90</v>
      </c>
      <c r="N135" s="6">
        <f t="shared" ca="1" si="11"/>
        <v>87.378640776699029</v>
      </c>
      <c r="O135" s="3" cm="1">
        <f t="array" aca="1" ref="O135" ca="1">IFERROR(LOOKUP(2, 1/((F$1:F134=F135)*(J$1:J134=J135)*(ROW(F$1:F134)&lt;ROW(F135))), N$1:N134), "")</f>
        <v>74.757281553398059</v>
      </c>
      <c r="P135" s="3">
        <f t="shared" si="14"/>
        <v>0</v>
      </c>
      <c r="Q135" s="3" t="s">
        <v>43</v>
      </c>
      <c r="R135" s="3" t="s">
        <v>40</v>
      </c>
      <c r="S135" s="3" t="str">
        <f t="shared" si="12"/>
        <v>No</v>
      </c>
      <c r="T135" s="3" t="s">
        <v>40</v>
      </c>
      <c r="U135" s="3" t="str">
        <f t="shared" si="13"/>
        <v>Rainy</v>
      </c>
      <c r="V135" s="3" t="s">
        <v>40</v>
      </c>
      <c r="W135" s="3" cm="1">
        <f t="array" ref="W135">_xlfn.IFS(
OR(F135="Selenium (Hands-on)",F135="Guest Lecture: HR Interview"),6,
OR(F135="Soft Skill",F135="Soft Skill (Examination)",F135="AWS Training",F135="AWS Session"),7,
OR(ISNUMBER(SEARCH("MAD",F135)),ISNUMBER(SEARCH("STQA",F135)),F135="CI/CD Session"),8,
OR(ISNUMBER(SEARCH("Cloud",F135)),F135="Industry Readiness Program",ISNUMBER(SEARCH("Talenlio",F135))),9,
OR(ISNUMBER(SEARCH("Innovation",F135)),F135="Mini Project"),10,
OR(ISNUMBER(SEARCH("Data Science",F135)),ISNUMBER(SEARCH("DS",F135))),11,
ISNUMBER(SEARCH("Generative AI",F135)),12
=_xlfn.IFS(
OR(F135="Selenium (Hands-on)",F135="Guest Lecture: HR Interview"),6,
OR(F135="Soft Skill",F135="Soft Skill (Examination)",F135="AWS Training",F135="AWS Session"),7,
OR(ISNUMBER(SEARCH("MAD",F135)),ISNUMBER(SEARCH("STQA",F135)),F135="CI/CD Session"),8,
OR(ISNUMBER(SEARCH("Cloud",F135)),F135="Industry Readiness Program",ISNUMBER(SEARCH("Talenlio",F135))),9,
OR(ISNUMBER(SEARCH("Innovation",F135)),F135="Mini Project"),10,
OR(ISNUMBER(SEARCH("Data Science",F135)),ISNUMBER(SEARCH("DS",F135))),11,
ISNUMBER(SEARCH("Generative AI",F135)),12
=_xlfn.IFS(
OR(F135="Selenium (Hands-on)",F135="Guest Lecture: HR Interview"),6,
OR(F135="Soft Skill",F135="Soft Skill (Examination)",F135="AWS Training",F135="AWS Session"),7,
OR(ISNUMBER(SEARCH("MAD",F135)),ISNUMBER(SEARCH("STQA",F135)),F135="CI/CD Session"),8,
OR(ISNUMBER(SEARCH("Cloud",F135)),F135="Industry Readiness Program",ISNUMBER(SEARCH("Talenlio",F135))),9,
OR(ISNUMBER(SEARCH("Innovation",F135)),F135="Mini Project"),10,
OR(ISNUMBER(SEARCH("Data Science",F135)),ISNUMBER(SEARCH("DS",F135))),11,
ISNUMBER(SEARCH("Generative AI",F135)),12
=_xlfn.IFS(
OR(F135="Selenium (Hands-on)",F135="Guest Lecture: HR Interview"),6,
OR(F135="Soft Skill",F135="Soft Skill (Examination)",F135="AWS Training",F135="AWS Session"),7,
OR(ISNUMBER(SEARCH("MAD",F135)),ISNUMBER(SEARCH("STQA",F135)),F135="CI/CD Session"),8,
OR(ISNUMBER(SEARCH("Cloud",F135)),F135="Industry Readiness Program",ISNUMBER(SEARCH("Talenlio",F135))),9,
OR(ISNUMBER(SEARCH("Innovation",F135)),F135="Mini Project"),10,
OR(ISNUMBER(SEARCH("Data Science",F135)),ISNUMBER(SEARCH("DS",F135))),11,
ISNUMBER(SEARCH("Generative AI",F135)),12
))))</f>
        <v>11</v>
      </c>
      <c r="X135" s="3">
        <v>5</v>
      </c>
      <c r="Y135" s="3">
        <v>30</v>
      </c>
      <c r="Z135" s="3" t="s">
        <v>38</v>
      </c>
    </row>
    <row r="136" spans="1:26" x14ac:dyDescent="0.3">
      <c r="A136" s="2">
        <v>46218</v>
      </c>
      <c r="B136" s="3" t="s">
        <v>44</v>
      </c>
      <c r="C136" s="3">
        <v>1</v>
      </c>
      <c r="D136" s="4">
        <v>0.35416666666666702</v>
      </c>
      <c r="E136" s="4">
        <v>0.38541666666666702</v>
      </c>
      <c r="F136" s="3" t="s">
        <v>50</v>
      </c>
      <c r="G136" s="3" t="s">
        <v>51</v>
      </c>
      <c r="H136" s="3" t="s">
        <v>29</v>
      </c>
      <c r="I136" s="3" t="s">
        <v>30</v>
      </c>
      <c r="J136" s="3" t="s">
        <v>31</v>
      </c>
      <c r="K136" s="3" t="s">
        <v>52</v>
      </c>
      <c r="L136" s="5">
        <v>103</v>
      </c>
      <c r="M136" s="5">
        <f t="shared" ca="1" si="10"/>
        <v>78</v>
      </c>
      <c r="N136" s="6">
        <f t="shared" ca="1" si="11"/>
        <v>75.728155339805824</v>
      </c>
      <c r="O136" s="3" cm="1">
        <f t="array" aca="1" ref="O136" ca="1">IFERROR(LOOKUP(2, 1/((F$1:F135=F136)*(J$1:J135=J136)*(ROW(F$1:F135)&lt;ROW(F136))), N$1:N135), "")</f>
        <v>75.728155339805824</v>
      </c>
      <c r="P136" s="3">
        <f t="shared" si="14"/>
        <v>0</v>
      </c>
      <c r="Q136" s="3" t="s">
        <v>43</v>
      </c>
      <c r="R136" s="3" t="s">
        <v>40</v>
      </c>
      <c r="S136" s="3" t="str">
        <f t="shared" si="12"/>
        <v>No</v>
      </c>
      <c r="T136" s="3" t="s">
        <v>40</v>
      </c>
      <c r="U136" s="3" t="str">
        <f t="shared" si="13"/>
        <v>Rainy</v>
      </c>
      <c r="V136" s="3" t="s">
        <v>40</v>
      </c>
      <c r="W136" s="3" cm="1">
        <f t="array" ref="W136">_xlfn.IFS(
OR(F136="Selenium (Hands-on)",F136="Guest Lecture: HR Interview"),6,
OR(F136="Soft Skill",F136="Soft Skill (Examination)",F136="AWS Training",F136="AWS Session"),7,
OR(ISNUMBER(SEARCH("MAD",F136)),ISNUMBER(SEARCH("STQA",F136)),F136="CI/CD Session"),8,
OR(ISNUMBER(SEARCH("Cloud",F136)),F136="Industry Readiness Program",ISNUMBER(SEARCH("Talenlio",F136))),9,
OR(ISNUMBER(SEARCH("Innovation",F136)),F136="Mini Project"),10,
OR(ISNUMBER(SEARCH("Data Science",F136)),ISNUMBER(SEARCH("DS",F136))),11,
ISNUMBER(SEARCH("Generative AI",F136)),12
=_xlfn.IFS(
OR(F136="Selenium (Hands-on)",F136="Guest Lecture: HR Interview"),6,
OR(F136="Soft Skill",F136="Soft Skill (Examination)",F136="AWS Training",F136="AWS Session"),7,
OR(ISNUMBER(SEARCH("MAD",F136)),ISNUMBER(SEARCH("STQA",F136)),F136="CI/CD Session"),8,
OR(ISNUMBER(SEARCH("Cloud",F136)),F136="Industry Readiness Program",ISNUMBER(SEARCH("Talenlio",F136))),9,
OR(ISNUMBER(SEARCH("Innovation",F136)),F136="Mini Project"),10,
OR(ISNUMBER(SEARCH("Data Science",F136)),ISNUMBER(SEARCH("DS",F136))),11,
ISNUMBER(SEARCH("Generative AI",F136)),12
=_xlfn.IFS(
OR(F136="Selenium (Hands-on)",F136="Guest Lecture: HR Interview"),6,
OR(F136="Soft Skill",F136="Soft Skill (Examination)",F136="AWS Training",F136="AWS Session"),7,
OR(ISNUMBER(SEARCH("MAD",F136)),ISNUMBER(SEARCH("STQA",F136)),F136="CI/CD Session"),8,
OR(ISNUMBER(SEARCH("Cloud",F136)),F136="Industry Readiness Program",ISNUMBER(SEARCH("Talenlio",F136))),9,
OR(ISNUMBER(SEARCH("Innovation",F136)),F136="Mini Project"),10,
OR(ISNUMBER(SEARCH("Data Science",F136)),ISNUMBER(SEARCH("DS",F136))),11,
ISNUMBER(SEARCH("Generative AI",F136)),12
=_xlfn.IFS(
OR(F136="Selenium (Hands-on)",F136="Guest Lecture: HR Interview"),6,
OR(F136="Soft Skill",F136="Soft Skill (Examination)",F136="AWS Training",F136="AWS Session"),7,
OR(ISNUMBER(SEARCH("MAD",F136)),ISNUMBER(SEARCH("STQA",F136)),F136="CI/CD Session"),8,
OR(ISNUMBER(SEARCH("Cloud",F136)),F136="Industry Readiness Program",ISNUMBER(SEARCH("Talenlio",F136))),9,
OR(ISNUMBER(SEARCH("Innovation",F136)),F136="Mini Project"),10,
OR(ISNUMBER(SEARCH("Data Science",F136)),ISNUMBER(SEARCH("DS",F136))),11,
ISNUMBER(SEARCH("Generative AI",F136)),12
))))</f>
        <v>8</v>
      </c>
      <c r="X136" s="3">
        <v>5</v>
      </c>
      <c r="Y136" s="3">
        <v>31</v>
      </c>
      <c r="Z136" s="3" t="s">
        <v>35</v>
      </c>
    </row>
    <row r="137" spans="1:26" x14ac:dyDescent="0.3">
      <c r="A137" s="2">
        <v>46218</v>
      </c>
      <c r="B137" s="3" t="s">
        <v>44</v>
      </c>
      <c r="C137" s="3">
        <v>2</v>
      </c>
      <c r="D137" s="4">
        <v>0.39583333333333298</v>
      </c>
      <c r="E137" s="4">
        <v>0.4375</v>
      </c>
      <c r="F137" s="3" t="s">
        <v>50</v>
      </c>
      <c r="G137" s="3" t="s">
        <v>51</v>
      </c>
      <c r="H137" s="3" t="s">
        <v>29</v>
      </c>
      <c r="I137" s="3" t="s">
        <v>30</v>
      </c>
      <c r="J137" s="3" t="s">
        <v>31</v>
      </c>
      <c r="K137" s="3" t="s">
        <v>52</v>
      </c>
      <c r="L137" s="5">
        <v>103</v>
      </c>
      <c r="M137" s="5">
        <f t="shared" ca="1" si="10"/>
        <v>78</v>
      </c>
      <c r="N137" s="6">
        <f t="shared" ca="1" si="11"/>
        <v>75.728155339805824</v>
      </c>
      <c r="O137" s="3" cm="1">
        <f t="array" aca="1" ref="O137" ca="1">IFERROR(LOOKUP(2, 1/((F$1:F136=F137)*(J$1:J136=J137)*(ROW(F$1:F136)&lt;ROW(F137))), N$1:N136), "")</f>
        <v>75.728155339805824</v>
      </c>
      <c r="P137" s="3">
        <f t="shared" si="14"/>
        <v>0.25</v>
      </c>
      <c r="Q137" s="3" t="s">
        <v>43</v>
      </c>
      <c r="R137" s="3" t="s">
        <v>40</v>
      </c>
      <c r="S137" s="3" t="str">
        <f t="shared" si="12"/>
        <v>No</v>
      </c>
      <c r="T137" s="3" t="s">
        <v>40</v>
      </c>
      <c r="U137" s="3" t="str">
        <f t="shared" si="13"/>
        <v>Rainy</v>
      </c>
      <c r="V137" s="3" t="s">
        <v>40</v>
      </c>
      <c r="W137" s="3" cm="1">
        <f t="array" ref="W137">_xlfn.IFS(
OR(F137="Selenium (Hands-on)",F137="Guest Lecture: HR Interview"),6,
OR(F137="Soft Skill",F137="Soft Skill (Examination)",F137="AWS Training",F137="AWS Session"),7,
OR(ISNUMBER(SEARCH("MAD",F137)),ISNUMBER(SEARCH("STQA",F137)),F137="CI/CD Session"),8,
OR(ISNUMBER(SEARCH("Cloud",F137)),F137="Industry Readiness Program",ISNUMBER(SEARCH("Talenlio",F137))),9,
OR(ISNUMBER(SEARCH("Innovation",F137)),F137="Mini Project"),10,
OR(ISNUMBER(SEARCH("Data Science",F137)),ISNUMBER(SEARCH("DS",F137))),11,
ISNUMBER(SEARCH("Generative AI",F137)),12
=_xlfn.IFS(
OR(F137="Selenium (Hands-on)",F137="Guest Lecture: HR Interview"),6,
OR(F137="Soft Skill",F137="Soft Skill (Examination)",F137="AWS Training",F137="AWS Session"),7,
OR(ISNUMBER(SEARCH("MAD",F137)),ISNUMBER(SEARCH("STQA",F137)),F137="CI/CD Session"),8,
OR(ISNUMBER(SEARCH("Cloud",F137)),F137="Industry Readiness Program",ISNUMBER(SEARCH("Talenlio",F137))),9,
OR(ISNUMBER(SEARCH("Innovation",F137)),F137="Mini Project"),10,
OR(ISNUMBER(SEARCH("Data Science",F137)),ISNUMBER(SEARCH("DS",F137))),11,
ISNUMBER(SEARCH("Generative AI",F137)),12
=_xlfn.IFS(
OR(F137="Selenium (Hands-on)",F137="Guest Lecture: HR Interview"),6,
OR(F137="Soft Skill",F137="Soft Skill (Examination)",F137="AWS Training",F137="AWS Session"),7,
OR(ISNUMBER(SEARCH("MAD",F137)),ISNUMBER(SEARCH("STQA",F137)),F137="CI/CD Session"),8,
OR(ISNUMBER(SEARCH("Cloud",F137)),F137="Industry Readiness Program",ISNUMBER(SEARCH("Talenlio",F137))),9,
OR(ISNUMBER(SEARCH("Innovation",F137)),F137="Mini Project"),10,
OR(ISNUMBER(SEARCH("Data Science",F137)),ISNUMBER(SEARCH("DS",F137))),11,
ISNUMBER(SEARCH("Generative AI",F137)),12
=_xlfn.IFS(
OR(F137="Selenium (Hands-on)",F137="Guest Lecture: HR Interview"),6,
OR(F137="Soft Skill",F137="Soft Skill (Examination)",F137="AWS Training",F137="AWS Session"),7,
OR(ISNUMBER(SEARCH("MAD",F137)),ISNUMBER(SEARCH("STQA",F137)),F137="CI/CD Session"),8,
OR(ISNUMBER(SEARCH("Cloud",F137)),F137="Industry Readiness Program",ISNUMBER(SEARCH("Talenlio",F137))),9,
OR(ISNUMBER(SEARCH("Innovation",F137)),F137="Mini Project"),10,
OR(ISNUMBER(SEARCH("Data Science",F137)),ISNUMBER(SEARCH("DS",F137))),11,
ISNUMBER(SEARCH("Generative AI",F137)),12
))))</f>
        <v>8</v>
      </c>
      <c r="X137" s="3">
        <v>5</v>
      </c>
      <c r="Y137" s="3">
        <v>31</v>
      </c>
      <c r="Z137" s="3" t="s">
        <v>35</v>
      </c>
    </row>
    <row r="138" spans="1:26" x14ac:dyDescent="0.3">
      <c r="A138" s="2">
        <v>46218</v>
      </c>
      <c r="B138" s="3" t="s">
        <v>44</v>
      </c>
      <c r="C138" s="3">
        <v>3</v>
      </c>
      <c r="D138" s="4">
        <v>0.4375</v>
      </c>
      <c r="E138" s="4">
        <v>0.47916666666666702</v>
      </c>
      <c r="F138" s="3" t="s">
        <v>62</v>
      </c>
      <c r="G138" s="3" t="s">
        <v>56</v>
      </c>
      <c r="H138" s="3" t="s">
        <v>29</v>
      </c>
      <c r="I138" s="3" t="s">
        <v>30</v>
      </c>
      <c r="J138" s="3" t="s">
        <v>31</v>
      </c>
      <c r="K138" s="3" t="s">
        <v>52</v>
      </c>
      <c r="L138" s="5">
        <v>103</v>
      </c>
      <c r="M138" s="5">
        <f t="shared" ca="1" si="10"/>
        <v>88</v>
      </c>
      <c r="N138" s="6">
        <f t="shared" ca="1" si="11"/>
        <v>85.436893203883486</v>
      </c>
      <c r="O138" s="3" cm="1">
        <f t="array" aca="1" ref="O138" ca="1">IFERROR(LOOKUP(2, 1/((F$1:F137=F138)*(J$1:J137=J138)*(ROW(F$1:F137)&lt;ROW(F138))), N$1:N137), "")</f>
        <v>92.233009708737868</v>
      </c>
      <c r="P138" s="3">
        <f t="shared" si="14"/>
        <v>0</v>
      </c>
      <c r="Q138" s="3" t="s">
        <v>33</v>
      </c>
      <c r="R138" s="3" t="s">
        <v>40</v>
      </c>
      <c r="S138" s="3" t="str">
        <f t="shared" si="12"/>
        <v>No</v>
      </c>
      <c r="T138" s="3" t="s">
        <v>40</v>
      </c>
      <c r="U138" s="3" t="str">
        <f t="shared" si="13"/>
        <v>Rainy</v>
      </c>
      <c r="V138" s="3" t="s">
        <v>40</v>
      </c>
      <c r="W138" s="3">
        <v>7</v>
      </c>
      <c r="X138" s="3">
        <v>5</v>
      </c>
      <c r="Y138" s="3">
        <v>31</v>
      </c>
      <c r="Z138" s="3" t="s">
        <v>35</v>
      </c>
    </row>
    <row r="139" spans="1:26" x14ac:dyDescent="0.3">
      <c r="A139" s="2">
        <v>46218</v>
      </c>
      <c r="B139" s="3" t="s">
        <v>44</v>
      </c>
      <c r="C139" s="3">
        <v>4</v>
      </c>
      <c r="D139" s="4">
        <v>0.5625</v>
      </c>
      <c r="E139" s="4">
        <v>0.60416666666666696</v>
      </c>
      <c r="F139" s="3" t="s">
        <v>53</v>
      </c>
      <c r="G139" s="3" t="s">
        <v>54</v>
      </c>
      <c r="H139" s="3" t="s">
        <v>29</v>
      </c>
      <c r="I139" s="3" t="s">
        <v>30</v>
      </c>
      <c r="J139" s="3" t="s">
        <v>31</v>
      </c>
      <c r="K139" s="3" t="s">
        <v>52</v>
      </c>
      <c r="L139" s="5">
        <v>103</v>
      </c>
      <c r="M139" s="5">
        <f t="shared" ca="1" si="10"/>
        <v>47</v>
      </c>
      <c r="N139" s="6">
        <f t="shared" ca="1" si="11"/>
        <v>45.631067961165051</v>
      </c>
      <c r="O139" s="3" cm="1">
        <f t="array" aca="1" ref="O139" ca="1">IFERROR(LOOKUP(2, 1/((F$1:F138=F139)*(J$1:J138=J139)*(ROW(F$1:F138)&lt;ROW(F139))), N$1:N138), "")</f>
        <v>45.631067961165051</v>
      </c>
      <c r="P139" s="3">
        <f t="shared" si="14"/>
        <v>2</v>
      </c>
      <c r="Q139" s="3" t="s">
        <v>33</v>
      </c>
      <c r="R139" s="3" t="s">
        <v>40</v>
      </c>
      <c r="S139" s="3" t="str">
        <f t="shared" si="12"/>
        <v>No</v>
      </c>
      <c r="T139" s="3" t="s">
        <v>40</v>
      </c>
      <c r="U139" s="3" t="str">
        <f t="shared" si="13"/>
        <v>Rainy</v>
      </c>
      <c r="V139" s="3" t="s">
        <v>40</v>
      </c>
      <c r="W139" s="3" cm="1">
        <f t="array" ref="W139">_xlfn.IFS(
OR(F139="Selenium (Hands-on)",F139="Guest Lecture: HR Interview"),6,
OR(F139="Soft Skill",F139="Soft Skill (Examination)",F139="AWS Training",F139="AWS Session"),7,
OR(ISNUMBER(SEARCH("MAD",F139)),ISNUMBER(SEARCH("STQA",F139)),F139="CI/CD Session"),8,
OR(ISNUMBER(SEARCH("Cloud",F139)),F139="Industry Readiness Program",ISNUMBER(SEARCH("Talenlio",F139))),9,
OR(ISNUMBER(SEARCH("Innovation",F139)),F139="Mini Project"),10,
OR(ISNUMBER(SEARCH("Data Science",F139)),ISNUMBER(SEARCH("DS",F139))),11,
ISNUMBER(SEARCH("Generative AI",F139)),12
=_xlfn.IFS(
OR(F139="Selenium (Hands-on)",F139="Guest Lecture: HR Interview"),6,
OR(F139="Soft Skill",F139="Soft Skill (Examination)",F139="AWS Training",F139="AWS Session"),7,
OR(ISNUMBER(SEARCH("MAD",F139)),ISNUMBER(SEARCH("STQA",F139)),F139="CI/CD Session"),8,
OR(ISNUMBER(SEARCH("Cloud",F139)),F139="Industry Readiness Program",ISNUMBER(SEARCH("Talenlio",F139))),9,
OR(ISNUMBER(SEARCH("Innovation",F139)),F139="Mini Project"),10,
OR(ISNUMBER(SEARCH("Data Science",F139)),ISNUMBER(SEARCH("DS",F139))),11,
ISNUMBER(SEARCH("Generative AI",F139)),12
=_xlfn.IFS(
OR(F139="Selenium (Hands-on)",F139="Guest Lecture: HR Interview"),6,
OR(F139="Soft Skill",F139="Soft Skill (Examination)",F139="AWS Training",F139="AWS Session"),7,
OR(ISNUMBER(SEARCH("MAD",F139)),ISNUMBER(SEARCH("STQA",F139)),F139="CI/CD Session"),8,
OR(ISNUMBER(SEARCH("Cloud",F139)),F139="Industry Readiness Program",ISNUMBER(SEARCH("Talenlio",F139))),9,
OR(ISNUMBER(SEARCH("Innovation",F139)),F139="Mini Project"),10,
OR(ISNUMBER(SEARCH("Data Science",F139)),ISNUMBER(SEARCH("DS",F139))),11,
ISNUMBER(SEARCH("Generative AI",F139)),12
=_xlfn.IFS(
OR(F139="Selenium (Hands-on)",F139="Guest Lecture: HR Interview"),6,
OR(F139="Soft Skill",F139="Soft Skill (Examination)",F139="AWS Training",F139="AWS Session"),7,
OR(ISNUMBER(SEARCH("MAD",F139)),ISNUMBER(SEARCH("STQA",F139)),F139="CI/CD Session"),8,
OR(ISNUMBER(SEARCH("Cloud",F139)),F139="Industry Readiness Program",ISNUMBER(SEARCH("Talenlio",F139))),9,
OR(ISNUMBER(SEARCH("Innovation",F139)),F139="Mini Project"),10,
OR(ISNUMBER(SEARCH("Data Science",F139)),ISNUMBER(SEARCH("DS",F139))),11,
ISNUMBER(SEARCH("Generative AI",F139)),12
))))</f>
        <v>10</v>
      </c>
      <c r="X139" s="3">
        <v>5</v>
      </c>
      <c r="Y139" s="3">
        <v>31</v>
      </c>
      <c r="Z139" s="3" t="s">
        <v>38</v>
      </c>
    </row>
    <row r="140" spans="1:26" x14ac:dyDescent="0.3">
      <c r="A140" s="2">
        <v>46218</v>
      </c>
      <c r="B140" s="3" t="s">
        <v>44</v>
      </c>
      <c r="C140" s="3">
        <v>5</v>
      </c>
      <c r="D140" s="4">
        <v>0.60416666666666696</v>
      </c>
      <c r="E140" s="4">
        <v>0.64583333333333304</v>
      </c>
      <c r="F140" s="3" t="s">
        <v>53</v>
      </c>
      <c r="G140" s="3" t="s">
        <v>54</v>
      </c>
      <c r="H140" s="3" t="s">
        <v>29</v>
      </c>
      <c r="I140" s="3" t="s">
        <v>30</v>
      </c>
      <c r="J140" s="3" t="s">
        <v>31</v>
      </c>
      <c r="K140" s="3" t="s">
        <v>52</v>
      </c>
      <c r="L140" s="5">
        <v>103</v>
      </c>
      <c r="M140" s="5">
        <f t="shared" ca="1" si="10"/>
        <v>96</v>
      </c>
      <c r="N140" s="6">
        <f t="shared" ca="1" si="11"/>
        <v>93.203883495145632</v>
      </c>
      <c r="O140" s="3" cm="1">
        <f t="array" aca="1" ref="O140" ca="1">IFERROR(LOOKUP(2, 1/((F$1:F139=F140)*(J$1:J139=J140)*(ROW(F$1:F139)&lt;ROW(F140))), N$1:N139), "")</f>
        <v>45.631067961165051</v>
      </c>
      <c r="P140" s="3">
        <f t="shared" si="14"/>
        <v>0</v>
      </c>
      <c r="Q140" s="3" t="s">
        <v>33</v>
      </c>
      <c r="R140" s="3" t="s">
        <v>40</v>
      </c>
      <c r="S140" s="3" t="str">
        <f t="shared" si="12"/>
        <v>No</v>
      </c>
      <c r="T140" s="3" t="s">
        <v>40</v>
      </c>
      <c r="U140" s="3" t="str">
        <f t="shared" si="13"/>
        <v>Rainy</v>
      </c>
      <c r="V140" s="3" t="s">
        <v>40</v>
      </c>
      <c r="W140" s="3" cm="1">
        <f t="array" ref="W140">_xlfn.IFS(
OR(F140="Selenium (Hands-on)",F140="Guest Lecture: HR Interview"),6,
OR(F140="Soft Skill",F140="Soft Skill (Examination)",F140="AWS Training",F140="AWS Session"),7,
OR(ISNUMBER(SEARCH("MAD",F140)),ISNUMBER(SEARCH("STQA",F140)),F140="CI/CD Session"),8,
OR(ISNUMBER(SEARCH("Cloud",F140)),F140="Industry Readiness Program",ISNUMBER(SEARCH("Talenlio",F140))),9,
OR(ISNUMBER(SEARCH("Innovation",F140)),F140="Mini Project"),10,
OR(ISNUMBER(SEARCH("Data Science",F140)),ISNUMBER(SEARCH("DS",F140))),11,
ISNUMBER(SEARCH("Generative AI",F140)),12
=_xlfn.IFS(
OR(F140="Selenium (Hands-on)",F140="Guest Lecture: HR Interview"),6,
OR(F140="Soft Skill",F140="Soft Skill (Examination)",F140="AWS Training",F140="AWS Session"),7,
OR(ISNUMBER(SEARCH("MAD",F140)),ISNUMBER(SEARCH("STQA",F140)),F140="CI/CD Session"),8,
OR(ISNUMBER(SEARCH("Cloud",F140)),F140="Industry Readiness Program",ISNUMBER(SEARCH("Talenlio",F140))),9,
OR(ISNUMBER(SEARCH("Innovation",F140)),F140="Mini Project"),10,
OR(ISNUMBER(SEARCH("Data Science",F140)),ISNUMBER(SEARCH("DS",F140))),11,
ISNUMBER(SEARCH("Generative AI",F140)),12
=_xlfn.IFS(
OR(F140="Selenium (Hands-on)",F140="Guest Lecture: HR Interview"),6,
OR(F140="Soft Skill",F140="Soft Skill (Examination)",F140="AWS Training",F140="AWS Session"),7,
OR(ISNUMBER(SEARCH("MAD",F140)),ISNUMBER(SEARCH("STQA",F140)),F140="CI/CD Session"),8,
OR(ISNUMBER(SEARCH("Cloud",F140)),F140="Industry Readiness Program",ISNUMBER(SEARCH("Talenlio",F140))),9,
OR(ISNUMBER(SEARCH("Innovation",F140)),F140="Mini Project"),10,
OR(ISNUMBER(SEARCH("Data Science",F140)),ISNUMBER(SEARCH("DS",F140))),11,
ISNUMBER(SEARCH("Generative AI",F140)),12
=_xlfn.IFS(
OR(F140="Selenium (Hands-on)",F140="Guest Lecture: HR Interview"),6,
OR(F140="Soft Skill",F140="Soft Skill (Examination)",F140="AWS Training",F140="AWS Session"),7,
OR(ISNUMBER(SEARCH("MAD",F140)),ISNUMBER(SEARCH("STQA",F140)),F140="CI/CD Session"),8,
OR(ISNUMBER(SEARCH("Cloud",F140)),F140="Industry Readiness Program",ISNUMBER(SEARCH("Talenlio",F140))),9,
OR(ISNUMBER(SEARCH("Innovation",F140)),F140="Mini Project"),10,
OR(ISNUMBER(SEARCH("Data Science",F140)),ISNUMBER(SEARCH("DS",F140))),11,
ISNUMBER(SEARCH("Generative AI",F140)),12
))))</f>
        <v>10</v>
      </c>
      <c r="X140" s="3">
        <v>5</v>
      </c>
      <c r="Y140" s="3">
        <v>31</v>
      </c>
      <c r="Z140" s="3" t="s">
        <v>38</v>
      </c>
    </row>
    <row r="141" spans="1:26" x14ac:dyDescent="0.3">
      <c r="A141" s="2">
        <v>46219</v>
      </c>
      <c r="B141" s="3" t="s">
        <v>45</v>
      </c>
      <c r="C141" s="3">
        <v>1</v>
      </c>
      <c r="D141" s="4">
        <v>0.35416666666666702</v>
      </c>
      <c r="E141" s="4">
        <v>0.38541666666666702</v>
      </c>
      <c r="F141" s="3" t="s">
        <v>50</v>
      </c>
      <c r="G141" s="3" t="s">
        <v>51</v>
      </c>
      <c r="H141" s="3" t="s">
        <v>29</v>
      </c>
      <c r="I141" s="3" t="s">
        <v>30</v>
      </c>
      <c r="J141" s="3" t="s">
        <v>31</v>
      </c>
      <c r="K141" s="3" t="s">
        <v>52</v>
      </c>
      <c r="L141" s="5">
        <v>103</v>
      </c>
      <c r="M141" s="5">
        <f t="shared" ca="1" si="10"/>
        <v>48</v>
      </c>
      <c r="N141" s="6">
        <f t="shared" ca="1" si="11"/>
        <v>46.601941747572816</v>
      </c>
      <c r="O141" s="3" cm="1">
        <f t="array" aca="1" ref="O141" ca="1">IFERROR(LOOKUP(2, 1/((F$1:F140=F141)*(J$1:J140=J141)*(ROW(F$1:F140)&lt;ROW(F141))), N$1:N140), "")</f>
        <v>75.728155339805824</v>
      </c>
      <c r="P141" s="3">
        <f t="shared" si="14"/>
        <v>0</v>
      </c>
      <c r="Q141" s="3" t="s">
        <v>43</v>
      </c>
      <c r="R141" s="3" t="s">
        <v>40</v>
      </c>
      <c r="S141" s="3" t="str">
        <f t="shared" si="12"/>
        <v>No</v>
      </c>
      <c r="T141" s="3" t="s">
        <v>40</v>
      </c>
      <c r="U141" s="3" t="str">
        <f t="shared" si="13"/>
        <v>Rainy</v>
      </c>
      <c r="V141" s="3" t="s">
        <v>40</v>
      </c>
      <c r="W141" s="3" cm="1">
        <f t="array" ref="W141">_xlfn.IFS(
OR(F141="Selenium (Hands-on)",F141="Guest Lecture: HR Interview"),6,
OR(F141="Soft Skill",F141="Soft Skill (Examination)",F141="AWS Training",F141="AWS Session"),7,
OR(ISNUMBER(SEARCH("MAD",F141)),ISNUMBER(SEARCH("STQA",F141)),F141="CI/CD Session"),8,
OR(ISNUMBER(SEARCH("Cloud",F141)),F141="Industry Readiness Program",ISNUMBER(SEARCH("Talenlio",F141))),9,
OR(ISNUMBER(SEARCH("Innovation",F141)),F141="Mini Project"),10,
OR(ISNUMBER(SEARCH("Data Science",F141)),ISNUMBER(SEARCH("DS",F141))),11,
ISNUMBER(SEARCH("Generative AI",F141)),12
=_xlfn.IFS(
OR(F141="Selenium (Hands-on)",F141="Guest Lecture: HR Interview"),6,
OR(F141="Soft Skill",F141="Soft Skill (Examination)",F141="AWS Training",F141="AWS Session"),7,
OR(ISNUMBER(SEARCH("MAD",F141)),ISNUMBER(SEARCH("STQA",F141)),F141="CI/CD Session"),8,
OR(ISNUMBER(SEARCH("Cloud",F141)),F141="Industry Readiness Program",ISNUMBER(SEARCH("Talenlio",F141))),9,
OR(ISNUMBER(SEARCH("Innovation",F141)),F141="Mini Project"),10,
OR(ISNUMBER(SEARCH("Data Science",F141)),ISNUMBER(SEARCH("DS",F141))),11,
ISNUMBER(SEARCH("Generative AI",F141)),12
=_xlfn.IFS(
OR(F141="Selenium (Hands-on)",F141="Guest Lecture: HR Interview"),6,
OR(F141="Soft Skill",F141="Soft Skill (Examination)",F141="AWS Training",F141="AWS Session"),7,
OR(ISNUMBER(SEARCH("MAD",F141)),ISNUMBER(SEARCH("STQA",F141)),F141="CI/CD Session"),8,
OR(ISNUMBER(SEARCH("Cloud",F141)),F141="Industry Readiness Program",ISNUMBER(SEARCH("Talenlio",F141))),9,
OR(ISNUMBER(SEARCH("Innovation",F141)),F141="Mini Project"),10,
OR(ISNUMBER(SEARCH("Data Science",F141)),ISNUMBER(SEARCH("DS",F141))),11,
ISNUMBER(SEARCH("Generative AI",F141)),12
=_xlfn.IFS(
OR(F141="Selenium (Hands-on)",F141="Guest Lecture: HR Interview"),6,
OR(F141="Soft Skill",F141="Soft Skill (Examination)",F141="AWS Training",F141="AWS Session"),7,
OR(ISNUMBER(SEARCH("MAD",F141)),ISNUMBER(SEARCH("STQA",F141)),F141="CI/CD Session"),8,
OR(ISNUMBER(SEARCH("Cloud",F141)),F141="Industry Readiness Program",ISNUMBER(SEARCH("Talenlio",F141))),9,
OR(ISNUMBER(SEARCH("Innovation",F141)),F141="Mini Project"),10,
OR(ISNUMBER(SEARCH("Data Science",F141)),ISNUMBER(SEARCH("DS",F141))),11,
ISNUMBER(SEARCH("Generative AI",F141)),12
))))</f>
        <v>8</v>
      </c>
      <c r="X141" s="3">
        <v>5</v>
      </c>
      <c r="Y141" s="3">
        <v>32</v>
      </c>
      <c r="Z141" s="3" t="s">
        <v>35</v>
      </c>
    </row>
    <row r="142" spans="1:26" x14ac:dyDescent="0.3">
      <c r="A142" s="2">
        <v>46219</v>
      </c>
      <c r="B142" s="3" t="s">
        <v>45</v>
      </c>
      <c r="C142" s="3">
        <v>2</v>
      </c>
      <c r="D142" s="4">
        <v>0.39583333333333298</v>
      </c>
      <c r="E142" s="4">
        <v>0.4375</v>
      </c>
      <c r="F142" s="3" t="s">
        <v>50</v>
      </c>
      <c r="G142" s="3" t="s">
        <v>51</v>
      </c>
      <c r="H142" s="3" t="s">
        <v>29</v>
      </c>
      <c r="I142" s="3" t="s">
        <v>30</v>
      </c>
      <c r="J142" s="3" t="s">
        <v>31</v>
      </c>
      <c r="K142" s="3" t="s">
        <v>52</v>
      </c>
      <c r="L142" s="5">
        <v>103</v>
      </c>
      <c r="M142" s="5">
        <f t="shared" ca="1" si="10"/>
        <v>89</v>
      </c>
      <c r="N142" s="6">
        <f t="shared" ca="1" si="11"/>
        <v>86.40776699029125</v>
      </c>
      <c r="O142" s="3" cm="1">
        <f t="array" aca="1" ref="O142" ca="1">IFERROR(LOOKUP(2, 1/((F$1:F141=F142)*(J$1:J141=J142)*(ROW(F$1:F141)&lt;ROW(F142))), N$1:N141), "")</f>
        <v>46.601941747572816</v>
      </c>
      <c r="P142" s="3">
        <f t="shared" si="14"/>
        <v>0.25</v>
      </c>
      <c r="Q142" s="3" t="s">
        <v>43</v>
      </c>
      <c r="R142" s="3" t="s">
        <v>40</v>
      </c>
      <c r="S142" s="3" t="str">
        <f t="shared" si="12"/>
        <v>No</v>
      </c>
      <c r="T142" s="3" t="s">
        <v>40</v>
      </c>
      <c r="U142" s="3" t="str">
        <f t="shared" si="13"/>
        <v>Rainy</v>
      </c>
      <c r="V142" s="3" t="s">
        <v>40</v>
      </c>
      <c r="W142" s="3" cm="1">
        <f t="array" ref="W142">_xlfn.IFS(
OR(F142="Selenium (Hands-on)",F142="Guest Lecture: HR Interview"),6,
OR(F142="Soft Skill",F142="Soft Skill (Examination)",F142="AWS Training",F142="AWS Session"),7,
OR(ISNUMBER(SEARCH("MAD",F142)),ISNUMBER(SEARCH("STQA",F142)),F142="CI/CD Session"),8,
OR(ISNUMBER(SEARCH("Cloud",F142)),F142="Industry Readiness Program",ISNUMBER(SEARCH("Talenlio",F142))),9,
OR(ISNUMBER(SEARCH("Innovation",F142)),F142="Mini Project"),10,
OR(ISNUMBER(SEARCH("Data Science",F142)),ISNUMBER(SEARCH("DS",F142))),11,
ISNUMBER(SEARCH("Generative AI",F142)),12
=_xlfn.IFS(
OR(F142="Selenium (Hands-on)",F142="Guest Lecture: HR Interview"),6,
OR(F142="Soft Skill",F142="Soft Skill (Examination)",F142="AWS Training",F142="AWS Session"),7,
OR(ISNUMBER(SEARCH("MAD",F142)),ISNUMBER(SEARCH("STQA",F142)),F142="CI/CD Session"),8,
OR(ISNUMBER(SEARCH("Cloud",F142)),F142="Industry Readiness Program",ISNUMBER(SEARCH("Talenlio",F142))),9,
OR(ISNUMBER(SEARCH("Innovation",F142)),F142="Mini Project"),10,
OR(ISNUMBER(SEARCH("Data Science",F142)),ISNUMBER(SEARCH("DS",F142))),11,
ISNUMBER(SEARCH("Generative AI",F142)),12
=_xlfn.IFS(
OR(F142="Selenium (Hands-on)",F142="Guest Lecture: HR Interview"),6,
OR(F142="Soft Skill",F142="Soft Skill (Examination)",F142="AWS Training",F142="AWS Session"),7,
OR(ISNUMBER(SEARCH("MAD",F142)),ISNUMBER(SEARCH("STQA",F142)),F142="CI/CD Session"),8,
OR(ISNUMBER(SEARCH("Cloud",F142)),F142="Industry Readiness Program",ISNUMBER(SEARCH("Talenlio",F142))),9,
OR(ISNUMBER(SEARCH("Innovation",F142)),F142="Mini Project"),10,
OR(ISNUMBER(SEARCH("Data Science",F142)),ISNUMBER(SEARCH("DS",F142))),11,
ISNUMBER(SEARCH("Generative AI",F142)),12
=_xlfn.IFS(
OR(F142="Selenium (Hands-on)",F142="Guest Lecture: HR Interview"),6,
OR(F142="Soft Skill",F142="Soft Skill (Examination)",F142="AWS Training",F142="AWS Session"),7,
OR(ISNUMBER(SEARCH("MAD",F142)),ISNUMBER(SEARCH("STQA",F142)),F142="CI/CD Session"),8,
OR(ISNUMBER(SEARCH("Cloud",F142)),F142="Industry Readiness Program",ISNUMBER(SEARCH("Talenlio",F142))),9,
OR(ISNUMBER(SEARCH("Innovation",F142)),F142="Mini Project"),10,
OR(ISNUMBER(SEARCH("Data Science",F142)),ISNUMBER(SEARCH("DS",F142))),11,
ISNUMBER(SEARCH("Generative AI",F142)),12
))))</f>
        <v>8</v>
      </c>
      <c r="X142" s="3">
        <v>5</v>
      </c>
      <c r="Y142" s="3">
        <v>32</v>
      </c>
      <c r="Z142" s="3" t="s">
        <v>35</v>
      </c>
    </row>
    <row r="143" spans="1:26" x14ac:dyDescent="0.3">
      <c r="A143" s="2">
        <v>46219</v>
      </c>
      <c r="B143" s="3" t="s">
        <v>45</v>
      </c>
      <c r="C143" s="3">
        <v>3</v>
      </c>
      <c r="D143" s="4">
        <v>0.4375</v>
      </c>
      <c r="E143" s="4">
        <v>0.47916666666666702</v>
      </c>
      <c r="F143" s="3" t="s">
        <v>59</v>
      </c>
      <c r="G143" s="3" t="s">
        <v>60</v>
      </c>
      <c r="H143" s="3" t="s">
        <v>29</v>
      </c>
      <c r="I143" s="3" t="s">
        <v>30</v>
      </c>
      <c r="J143" s="3" t="s">
        <v>31</v>
      </c>
      <c r="K143" s="3" t="s">
        <v>52</v>
      </c>
      <c r="L143" s="5">
        <v>103</v>
      </c>
      <c r="M143" s="5">
        <f t="shared" ca="1" si="10"/>
        <v>78</v>
      </c>
      <c r="N143" s="6">
        <f t="shared" ca="1" si="11"/>
        <v>75.728155339805824</v>
      </c>
      <c r="O143" s="3" cm="1">
        <f t="array" aca="1" ref="O143" ca="1">IFERROR(LOOKUP(2, 1/((F$1:F142=F143)*(J$1:J142=J143)*(ROW(F$1:F142)&lt;ROW(F143))), N$1:N142), "")</f>
        <v>91.262135922330103</v>
      </c>
      <c r="P143" s="3">
        <f t="shared" si="14"/>
        <v>0</v>
      </c>
      <c r="Q143" s="3" t="s">
        <v>33</v>
      </c>
      <c r="R143" s="3" t="s">
        <v>40</v>
      </c>
      <c r="S143" s="3" t="str">
        <f t="shared" si="12"/>
        <v>No</v>
      </c>
      <c r="T143" s="3" t="s">
        <v>40</v>
      </c>
      <c r="U143" s="3" t="str">
        <f t="shared" si="13"/>
        <v>Rainy</v>
      </c>
      <c r="V143" s="3" t="s">
        <v>40</v>
      </c>
      <c r="W143" s="3" cm="1">
        <f t="array" ref="W143">_xlfn.IFS(
OR(F143="Selenium (Hands-on)",F143="Guest Lecture: HR Interview"),6,
OR(F143="Soft Skill",F143="Soft Skill (Examination)",F143="AWS Training",F143="AWS Session"),7,
OR(ISNUMBER(SEARCH("MAD",F143)),ISNUMBER(SEARCH("STQA",F143)),F143="CI/CD Session"),8,
OR(ISNUMBER(SEARCH("Cloud",F143)),F143="Industry Readiness Program",ISNUMBER(SEARCH("Talenlio",F143))),9,
OR(ISNUMBER(SEARCH("Innovation",F143)),F143="Mini Project"),10,
OR(ISNUMBER(SEARCH("Data Science",F143)),ISNUMBER(SEARCH("DS",F143))),11,
ISNUMBER(SEARCH("Generative AI",F143)),12
=_xlfn.IFS(
OR(F143="Selenium (Hands-on)",F143="Guest Lecture: HR Interview"),6,
OR(F143="Soft Skill",F143="Soft Skill (Examination)",F143="AWS Training",F143="AWS Session"),7,
OR(ISNUMBER(SEARCH("MAD",F143)),ISNUMBER(SEARCH("STQA",F143)),F143="CI/CD Session"),8,
OR(ISNUMBER(SEARCH("Cloud",F143)),F143="Industry Readiness Program",ISNUMBER(SEARCH("Talenlio",F143))),9,
OR(ISNUMBER(SEARCH("Innovation",F143)),F143="Mini Project"),10,
OR(ISNUMBER(SEARCH("Data Science",F143)),ISNUMBER(SEARCH("DS",F143))),11,
ISNUMBER(SEARCH("Generative AI",F143)),12
=_xlfn.IFS(
OR(F143="Selenium (Hands-on)",F143="Guest Lecture: HR Interview"),6,
OR(F143="Soft Skill",F143="Soft Skill (Examination)",F143="AWS Training",F143="AWS Session"),7,
OR(ISNUMBER(SEARCH("MAD",F143)),ISNUMBER(SEARCH("STQA",F143)),F143="CI/CD Session"),8,
OR(ISNUMBER(SEARCH("Cloud",F143)),F143="Industry Readiness Program",ISNUMBER(SEARCH("Talenlio",F143))),9,
OR(ISNUMBER(SEARCH("Innovation",F143)),F143="Mini Project"),10,
OR(ISNUMBER(SEARCH("Data Science",F143)),ISNUMBER(SEARCH("DS",F143))),11,
ISNUMBER(SEARCH("Generative AI",F143)),12
=_xlfn.IFS(
OR(F143="Selenium (Hands-on)",F143="Guest Lecture: HR Interview"),6,
OR(F143="Soft Skill",F143="Soft Skill (Examination)",F143="AWS Training",F143="AWS Session"),7,
OR(ISNUMBER(SEARCH("MAD",F143)),ISNUMBER(SEARCH("STQA",F143)),F143="CI/CD Session"),8,
OR(ISNUMBER(SEARCH("Cloud",F143)),F143="Industry Readiness Program",ISNUMBER(SEARCH("Talenlio",F143))),9,
OR(ISNUMBER(SEARCH("Innovation",F143)),F143="Mini Project"),10,
OR(ISNUMBER(SEARCH("Data Science",F143)),ISNUMBER(SEARCH("DS",F143))),11,
ISNUMBER(SEARCH("Generative AI",F143)),12
))))</f>
        <v>11</v>
      </c>
      <c r="X143" s="3">
        <v>5</v>
      </c>
      <c r="Y143" s="3">
        <v>32</v>
      </c>
      <c r="Z143" s="3" t="s">
        <v>35</v>
      </c>
    </row>
    <row r="144" spans="1:26" x14ac:dyDescent="0.3">
      <c r="A144" s="2">
        <v>46219</v>
      </c>
      <c r="B144" s="3" t="s">
        <v>45</v>
      </c>
      <c r="C144" s="3">
        <v>4</v>
      </c>
      <c r="D144" s="4">
        <v>0.5625</v>
      </c>
      <c r="E144" s="4">
        <v>0.60416666666666696</v>
      </c>
      <c r="F144" s="3" t="s">
        <v>63</v>
      </c>
      <c r="G144" s="3" t="s">
        <v>64</v>
      </c>
      <c r="H144" s="3" t="s">
        <v>29</v>
      </c>
      <c r="I144" s="3" t="s">
        <v>30</v>
      </c>
      <c r="J144" s="3" t="s">
        <v>31</v>
      </c>
      <c r="K144" s="3" t="s">
        <v>52</v>
      </c>
      <c r="L144" s="5">
        <v>103</v>
      </c>
      <c r="M144" s="5">
        <f t="shared" ca="1" si="10"/>
        <v>94</v>
      </c>
      <c r="N144" s="6">
        <f t="shared" ca="1" si="11"/>
        <v>91.262135922330103</v>
      </c>
      <c r="O144" s="3" cm="1">
        <f t="array" aca="1" ref="O144" ca="1">IFERROR(LOOKUP(2, 1/((F$1:F143=F144)*(J$1:J143=J144)*(ROW(F$1:F143)&lt;ROW(F144))), N$1:N143), "")</f>
        <v>38.834951456310677</v>
      </c>
      <c r="P144" s="3">
        <f t="shared" si="14"/>
        <v>2</v>
      </c>
      <c r="Q144" s="3" t="s">
        <v>33</v>
      </c>
      <c r="R144" s="3" t="s">
        <v>40</v>
      </c>
      <c r="S144" s="3" t="str">
        <f t="shared" si="12"/>
        <v>No</v>
      </c>
      <c r="T144" s="3" t="s">
        <v>40</v>
      </c>
      <c r="U144" s="3" t="str">
        <f t="shared" si="13"/>
        <v>Rainy</v>
      </c>
      <c r="V144" s="3" t="s">
        <v>40</v>
      </c>
      <c r="W144" s="3" cm="1">
        <f t="array" ref="W144">_xlfn.IFS(
OR(F144="Selenium (Hands-on)",F144="Guest Lecture: HR Interview"),6,
OR(F144="Soft Skill",F144="Soft Skill (Examination)",F144="AWS Training",F144="AWS Session"),7,
OR(ISNUMBER(SEARCH("MAD",F144)),ISNUMBER(SEARCH("STQA",F144)),F144="CI/CD Session"),8,
OR(ISNUMBER(SEARCH("Cloud",F144)),F144="Industry Readiness Program",ISNUMBER(SEARCH("Talenlio",F144))),9,
OR(ISNUMBER(SEARCH("Innovation",F144)),F144="Mini Project"),10,
OR(ISNUMBER(SEARCH("Data Science",F144)),ISNUMBER(SEARCH("DS",F144))),11,
ISNUMBER(SEARCH("Generative AI",F144)),12
=_xlfn.IFS(
OR(F144="Selenium (Hands-on)",F144="Guest Lecture: HR Interview"),6,
OR(F144="Soft Skill",F144="Soft Skill (Examination)",F144="AWS Training",F144="AWS Session"),7,
OR(ISNUMBER(SEARCH("MAD",F144)),ISNUMBER(SEARCH("STQA",F144)),F144="CI/CD Session"),8,
OR(ISNUMBER(SEARCH("Cloud",F144)),F144="Industry Readiness Program",ISNUMBER(SEARCH("Talenlio",F144))),9,
OR(ISNUMBER(SEARCH("Innovation",F144)),F144="Mini Project"),10,
OR(ISNUMBER(SEARCH("Data Science",F144)),ISNUMBER(SEARCH("DS",F144))),11,
ISNUMBER(SEARCH("Generative AI",F144)),12
=_xlfn.IFS(
OR(F144="Selenium (Hands-on)",F144="Guest Lecture: HR Interview"),6,
OR(F144="Soft Skill",F144="Soft Skill (Examination)",F144="AWS Training",F144="AWS Session"),7,
OR(ISNUMBER(SEARCH("MAD",F144)),ISNUMBER(SEARCH("STQA",F144)),F144="CI/CD Session"),8,
OR(ISNUMBER(SEARCH("Cloud",F144)),F144="Industry Readiness Program",ISNUMBER(SEARCH("Talenlio",F144))),9,
OR(ISNUMBER(SEARCH("Innovation",F144)),F144="Mini Project"),10,
OR(ISNUMBER(SEARCH("Data Science",F144)),ISNUMBER(SEARCH("DS",F144))),11,
ISNUMBER(SEARCH("Generative AI",F144)),12
=_xlfn.IFS(
OR(F144="Selenium (Hands-on)",F144="Guest Lecture: HR Interview"),6,
OR(F144="Soft Skill",F144="Soft Skill (Examination)",F144="AWS Training",F144="AWS Session"),7,
OR(ISNUMBER(SEARCH("MAD",F144)),ISNUMBER(SEARCH("STQA",F144)),F144="CI/CD Session"),8,
OR(ISNUMBER(SEARCH("Cloud",F144)),F144="Industry Readiness Program",ISNUMBER(SEARCH("Talenlio",F144))),9,
OR(ISNUMBER(SEARCH("Innovation",F144)),F144="Mini Project"),10,
OR(ISNUMBER(SEARCH("Data Science",F144)),ISNUMBER(SEARCH("DS",F144))),11,
ISNUMBER(SEARCH("Generative AI",F144)),12
))))</f>
        <v>9</v>
      </c>
      <c r="X144" s="3">
        <v>5</v>
      </c>
      <c r="Y144" s="3">
        <v>32</v>
      </c>
      <c r="Z144" s="3" t="s">
        <v>38</v>
      </c>
    </row>
    <row r="145" spans="1:26" x14ac:dyDescent="0.3">
      <c r="A145" s="2">
        <v>46219</v>
      </c>
      <c r="B145" s="3" t="s">
        <v>45</v>
      </c>
      <c r="C145" s="3">
        <v>5</v>
      </c>
      <c r="D145" s="4">
        <v>0.60416666666666696</v>
      </c>
      <c r="E145" s="4">
        <v>0.64583333333333304</v>
      </c>
      <c r="F145" s="3" t="s">
        <v>63</v>
      </c>
      <c r="G145" s="3" t="s">
        <v>64</v>
      </c>
      <c r="H145" s="3" t="s">
        <v>29</v>
      </c>
      <c r="I145" s="3" t="s">
        <v>30</v>
      </c>
      <c r="J145" s="3" t="s">
        <v>31</v>
      </c>
      <c r="K145" s="3" t="s">
        <v>52</v>
      </c>
      <c r="L145" s="5">
        <v>103</v>
      </c>
      <c r="M145" s="5">
        <f t="shared" ca="1" si="10"/>
        <v>66</v>
      </c>
      <c r="N145" s="6">
        <f t="shared" ca="1" si="11"/>
        <v>64.077669902912632</v>
      </c>
      <c r="O145" s="3" cm="1">
        <f t="array" aca="1" ref="O145" ca="1">IFERROR(LOOKUP(2, 1/((F$1:F144=F145)*(J$1:J144=J145)*(ROW(F$1:F144)&lt;ROW(F145))), N$1:N144), "")</f>
        <v>91.262135922330103</v>
      </c>
      <c r="P145" s="3">
        <f t="shared" si="14"/>
        <v>0</v>
      </c>
      <c r="Q145" s="3" t="s">
        <v>33</v>
      </c>
      <c r="R145" s="3" t="s">
        <v>40</v>
      </c>
      <c r="S145" s="3" t="str">
        <f t="shared" si="12"/>
        <v>No</v>
      </c>
      <c r="T145" s="3" t="s">
        <v>40</v>
      </c>
      <c r="U145" s="3" t="str">
        <f t="shared" si="13"/>
        <v>Rainy</v>
      </c>
      <c r="V145" s="3" t="s">
        <v>40</v>
      </c>
      <c r="W145" s="3" cm="1">
        <f t="array" ref="W145">_xlfn.IFS(
OR(F145="Selenium (Hands-on)",F145="Guest Lecture: HR Interview"),6,
OR(F145="Soft Skill",F145="Soft Skill (Examination)",F145="AWS Training",F145="AWS Session"),7,
OR(ISNUMBER(SEARCH("MAD",F145)),ISNUMBER(SEARCH("STQA",F145)),F145="CI/CD Session"),8,
OR(ISNUMBER(SEARCH("Cloud",F145)),F145="Industry Readiness Program",ISNUMBER(SEARCH("Talenlio",F145))),9,
OR(ISNUMBER(SEARCH("Innovation",F145)),F145="Mini Project"),10,
OR(ISNUMBER(SEARCH("Data Science",F145)),ISNUMBER(SEARCH("DS",F145))),11,
ISNUMBER(SEARCH("Generative AI",F145)),12
=_xlfn.IFS(
OR(F145="Selenium (Hands-on)",F145="Guest Lecture: HR Interview"),6,
OR(F145="Soft Skill",F145="Soft Skill (Examination)",F145="AWS Training",F145="AWS Session"),7,
OR(ISNUMBER(SEARCH("MAD",F145)),ISNUMBER(SEARCH("STQA",F145)),F145="CI/CD Session"),8,
OR(ISNUMBER(SEARCH("Cloud",F145)),F145="Industry Readiness Program",ISNUMBER(SEARCH("Talenlio",F145))),9,
OR(ISNUMBER(SEARCH("Innovation",F145)),F145="Mini Project"),10,
OR(ISNUMBER(SEARCH("Data Science",F145)),ISNUMBER(SEARCH("DS",F145))),11,
ISNUMBER(SEARCH("Generative AI",F145)),12
=_xlfn.IFS(
OR(F145="Selenium (Hands-on)",F145="Guest Lecture: HR Interview"),6,
OR(F145="Soft Skill",F145="Soft Skill (Examination)",F145="AWS Training",F145="AWS Session"),7,
OR(ISNUMBER(SEARCH("MAD",F145)),ISNUMBER(SEARCH("STQA",F145)),F145="CI/CD Session"),8,
OR(ISNUMBER(SEARCH("Cloud",F145)),F145="Industry Readiness Program",ISNUMBER(SEARCH("Talenlio",F145))),9,
OR(ISNUMBER(SEARCH("Innovation",F145)),F145="Mini Project"),10,
OR(ISNUMBER(SEARCH("Data Science",F145)),ISNUMBER(SEARCH("DS",F145))),11,
ISNUMBER(SEARCH("Generative AI",F145)),12
=_xlfn.IFS(
OR(F145="Selenium (Hands-on)",F145="Guest Lecture: HR Interview"),6,
OR(F145="Soft Skill",F145="Soft Skill (Examination)",F145="AWS Training",F145="AWS Session"),7,
OR(ISNUMBER(SEARCH("MAD",F145)),ISNUMBER(SEARCH("STQA",F145)),F145="CI/CD Session"),8,
OR(ISNUMBER(SEARCH("Cloud",F145)),F145="Industry Readiness Program",ISNUMBER(SEARCH("Talenlio",F145))),9,
OR(ISNUMBER(SEARCH("Innovation",F145)),F145="Mini Project"),10,
OR(ISNUMBER(SEARCH("Data Science",F145)),ISNUMBER(SEARCH("DS",F145))),11,
ISNUMBER(SEARCH("Generative AI",F145)),12
))))</f>
        <v>9</v>
      </c>
      <c r="X145" s="3">
        <v>5</v>
      </c>
      <c r="Y145" s="3">
        <v>32</v>
      </c>
      <c r="Z145" s="3" t="s">
        <v>38</v>
      </c>
    </row>
    <row r="146" spans="1:26" x14ac:dyDescent="0.3">
      <c r="A146" s="2">
        <v>46220</v>
      </c>
      <c r="B146" s="3" t="s">
        <v>46</v>
      </c>
      <c r="C146" s="3">
        <v>1</v>
      </c>
      <c r="D146" s="4">
        <v>0.35416666666666702</v>
      </c>
      <c r="E146" s="4">
        <v>0.38541666666666702</v>
      </c>
      <c r="F146" s="3" t="s">
        <v>50</v>
      </c>
      <c r="G146" s="3" t="s">
        <v>51</v>
      </c>
      <c r="H146" s="3" t="s">
        <v>29</v>
      </c>
      <c r="I146" s="3" t="s">
        <v>30</v>
      </c>
      <c r="J146" s="3" t="s">
        <v>31</v>
      </c>
      <c r="K146" s="3" t="s">
        <v>52</v>
      </c>
      <c r="L146" s="5">
        <v>103</v>
      </c>
      <c r="M146" s="5">
        <f t="shared" ca="1" si="10"/>
        <v>73</v>
      </c>
      <c r="N146" s="6">
        <f t="shared" ca="1" si="11"/>
        <v>70.873786407766985</v>
      </c>
      <c r="O146" s="3" cm="1">
        <f t="array" aca="1" ref="O146" ca="1">IFERROR(LOOKUP(2, 1/((F$1:F145=F146)*(J$1:J145=J146)*(ROW(F$1:F145)&lt;ROW(F146))), N$1:N145), "")</f>
        <v>86.40776699029125</v>
      </c>
      <c r="P146" s="3">
        <f t="shared" si="14"/>
        <v>0</v>
      </c>
      <c r="Q146" s="3" t="s">
        <v>43</v>
      </c>
      <c r="R146" s="3" t="s">
        <v>40</v>
      </c>
      <c r="S146" s="3" t="str">
        <f t="shared" si="12"/>
        <v>Yes</v>
      </c>
      <c r="T146" s="3" t="s">
        <v>40</v>
      </c>
      <c r="U146" s="3" t="str">
        <f t="shared" si="13"/>
        <v>Rainy</v>
      </c>
      <c r="V146" s="3" t="s">
        <v>40</v>
      </c>
      <c r="W146" s="3" cm="1">
        <f t="array" ref="W146">_xlfn.IFS(
OR(F146="Selenium (Hands-on)",F146="Guest Lecture: HR Interview"),6,
OR(F146="Soft Skill",F146="Soft Skill (Examination)",F146="AWS Training",F146="AWS Session"),7,
OR(ISNUMBER(SEARCH("MAD",F146)),ISNUMBER(SEARCH("STQA",F146)),F146="CI/CD Session"),8,
OR(ISNUMBER(SEARCH("Cloud",F146)),F146="Industry Readiness Program",ISNUMBER(SEARCH("Talenlio",F146))),9,
OR(ISNUMBER(SEARCH("Innovation",F146)),F146="Mini Project"),10,
OR(ISNUMBER(SEARCH("Data Science",F146)),ISNUMBER(SEARCH("DS",F146))),11,
ISNUMBER(SEARCH("Generative AI",F146)),12
=_xlfn.IFS(
OR(F146="Selenium (Hands-on)",F146="Guest Lecture: HR Interview"),6,
OR(F146="Soft Skill",F146="Soft Skill (Examination)",F146="AWS Training",F146="AWS Session"),7,
OR(ISNUMBER(SEARCH("MAD",F146)),ISNUMBER(SEARCH("STQA",F146)),F146="CI/CD Session"),8,
OR(ISNUMBER(SEARCH("Cloud",F146)),F146="Industry Readiness Program",ISNUMBER(SEARCH("Talenlio",F146))),9,
OR(ISNUMBER(SEARCH("Innovation",F146)),F146="Mini Project"),10,
OR(ISNUMBER(SEARCH("Data Science",F146)),ISNUMBER(SEARCH("DS",F146))),11,
ISNUMBER(SEARCH("Generative AI",F146)),12
=_xlfn.IFS(
OR(F146="Selenium (Hands-on)",F146="Guest Lecture: HR Interview"),6,
OR(F146="Soft Skill",F146="Soft Skill (Examination)",F146="AWS Training",F146="AWS Session"),7,
OR(ISNUMBER(SEARCH("MAD",F146)),ISNUMBER(SEARCH("STQA",F146)),F146="CI/CD Session"),8,
OR(ISNUMBER(SEARCH("Cloud",F146)),F146="Industry Readiness Program",ISNUMBER(SEARCH("Talenlio",F146))),9,
OR(ISNUMBER(SEARCH("Innovation",F146)),F146="Mini Project"),10,
OR(ISNUMBER(SEARCH("Data Science",F146)),ISNUMBER(SEARCH("DS",F146))),11,
ISNUMBER(SEARCH("Generative AI",F146)),12
=_xlfn.IFS(
OR(F146="Selenium (Hands-on)",F146="Guest Lecture: HR Interview"),6,
OR(F146="Soft Skill",F146="Soft Skill (Examination)",F146="AWS Training",F146="AWS Session"),7,
OR(ISNUMBER(SEARCH("MAD",F146)),ISNUMBER(SEARCH("STQA",F146)),F146="CI/CD Session"),8,
OR(ISNUMBER(SEARCH("Cloud",F146)),F146="Industry Readiness Program",ISNUMBER(SEARCH("Talenlio",F146))),9,
OR(ISNUMBER(SEARCH("Innovation",F146)),F146="Mini Project"),10,
OR(ISNUMBER(SEARCH("Data Science",F146)),ISNUMBER(SEARCH("DS",F146))),11,
ISNUMBER(SEARCH("Generative AI",F146)),12
))))</f>
        <v>8</v>
      </c>
      <c r="X146" s="3">
        <v>5</v>
      </c>
      <c r="Y146" s="3">
        <v>33</v>
      </c>
      <c r="Z146" s="3" t="s">
        <v>35</v>
      </c>
    </row>
    <row r="147" spans="1:26" x14ac:dyDescent="0.3">
      <c r="A147" s="2">
        <v>46220</v>
      </c>
      <c r="B147" s="3" t="s">
        <v>46</v>
      </c>
      <c r="C147" s="3">
        <v>2</v>
      </c>
      <c r="D147" s="4">
        <v>0.39583333333333298</v>
      </c>
      <c r="E147" s="4">
        <v>0.4375</v>
      </c>
      <c r="F147" s="3" t="s">
        <v>50</v>
      </c>
      <c r="G147" s="3" t="s">
        <v>51</v>
      </c>
      <c r="H147" s="3" t="s">
        <v>29</v>
      </c>
      <c r="I147" s="3" t="s">
        <v>30</v>
      </c>
      <c r="J147" s="3" t="s">
        <v>31</v>
      </c>
      <c r="K147" s="3" t="s">
        <v>52</v>
      </c>
      <c r="L147" s="5">
        <v>103</v>
      </c>
      <c r="M147" s="5">
        <f t="shared" ca="1" si="10"/>
        <v>90</v>
      </c>
      <c r="N147" s="6">
        <f t="shared" ca="1" si="11"/>
        <v>87.378640776699029</v>
      </c>
      <c r="O147" s="3" cm="1">
        <f t="array" aca="1" ref="O147" ca="1">IFERROR(LOOKUP(2, 1/((F$1:F146=F147)*(J$1:J146=J147)*(ROW(F$1:F146)&lt;ROW(F147))), N$1:N146), "")</f>
        <v>70.873786407766985</v>
      </c>
      <c r="P147" s="3">
        <f t="shared" si="14"/>
        <v>0.25</v>
      </c>
      <c r="Q147" s="3" t="s">
        <v>43</v>
      </c>
      <c r="R147" s="3" t="s">
        <v>40</v>
      </c>
      <c r="S147" s="3" t="str">
        <f t="shared" si="12"/>
        <v>Yes</v>
      </c>
      <c r="T147" s="3" t="s">
        <v>40</v>
      </c>
      <c r="U147" s="3" t="str">
        <f t="shared" si="13"/>
        <v>Rainy</v>
      </c>
      <c r="V147" s="3" t="s">
        <v>40</v>
      </c>
      <c r="W147" s="3" cm="1">
        <f t="array" ref="W147">_xlfn.IFS(
OR(F147="Selenium (Hands-on)",F147="Guest Lecture: HR Interview"),6,
OR(F147="Soft Skill",F147="Soft Skill (Examination)",F147="AWS Training",F147="AWS Session"),7,
OR(ISNUMBER(SEARCH("MAD",F147)),ISNUMBER(SEARCH("STQA",F147)),F147="CI/CD Session"),8,
OR(ISNUMBER(SEARCH("Cloud",F147)),F147="Industry Readiness Program",ISNUMBER(SEARCH("Talenlio",F147))),9,
OR(ISNUMBER(SEARCH("Innovation",F147)),F147="Mini Project"),10,
OR(ISNUMBER(SEARCH("Data Science",F147)),ISNUMBER(SEARCH("DS",F147))),11,
ISNUMBER(SEARCH("Generative AI",F147)),12
=_xlfn.IFS(
OR(F147="Selenium (Hands-on)",F147="Guest Lecture: HR Interview"),6,
OR(F147="Soft Skill",F147="Soft Skill (Examination)",F147="AWS Training",F147="AWS Session"),7,
OR(ISNUMBER(SEARCH("MAD",F147)),ISNUMBER(SEARCH("STQA",F147)),F147="CI/CD Session"),8,
OR(ISNUMBER(SEARCH("Cloud",F147)),F147="Industry Readiness Program",ISNUMBER(SEARCH("Talenlio",F147))),9,
OR(ISNUMBER(SEARCH("Innovation",F147)),F147="Mini Project"),10,
OR(ISNUMBER(SEARCH("Data Science",F147)),ISNUMBER(SEARCH("DS",F147))),11,
ISNUMBER(SEARCH("Generative AI",F147)),12
=_xlfn.IFS(
OR(F147="Selenium (Hands-on)",F147="Guest Lecture: HR Interview"),6,
OR(F147="Soft Skill",F147="Soft Skill (Examination)",F147="AWS Training",F147="AWS Session"),7,
OR(ISNUMBER(SEARCH("MAD",F147)),ISNUMBER(SEARCH("STQA",F147)),F147="CI/CD Session"),8,
OR(ISNUMBER(SEARCH("Cloud",F147)),F147="Industry Readiness Program",ISNUMBER(SEARCH("Talenlio",F147))),9,
OR(ISNUMBER(SEARCH("Innovation",F147)),F147="Mini Project"),10,
OR(ISNUMBER(SEARCH("Data Science",F147)),ISNUMBER(SEARCH("DS",F147))),11,
ISNUMBER(SEARCH("Generative AI",F147)),12
=_xlfn.IFS(
OR(F147="Selenium (Hands-on)",F147="Guest Lecture: HR Interview"),6,
OR(F147="Soft Skill",F147="Soft Skill (Examination)",F147="AWS Training",F147="AWS Session"),7,
OR(ISNUMBER(SEARCH("MAD",F147)),ISNUMBER(SEARCH("STQA",F147)),F147="CI/CD Session"),8,
OR(ISNUMBER(SEARCH("Cloud",F147)),F147="Industry Readiness Program",ISNUMBER(SEARCH("Talenlio",F147))),9,
OR(ISNUMBER(SEARCH("Innovation",F147)),F147="Mini Project"),10,
OR(ISNUMBER(SEARCH("Data Science",F147)),ISNUMBER(SEARCH("DS",F147))),11,
ISNUMBER(SEARCH("Generative AI",F147)),12
))))</f>
        <v>8</v>
      </c>
      <c r="X147" s="3">
        <v>5</v>
      </c>
      <c r="Y147" s="3">
        <v>33</v>
      </c>
      <c r="Z147" s="3" t="s">
        <v>35</v>
      </c>
    </row>
    <row r="148" spans="1:26" x14ac:dyDescent="0.3">
      <c r="A148" s="2">
        <v>46220</v>
      </c>
      <c r="B148" s="3" t="s">
        <v>46</v>
      </c>
      <c r="C148" s="3">
        <v>3</v>
      </c>
      <c r="D148" s="4">
        <v>0.4375</v>
      </c>
      <c r="E148" s="4">
        <v>0.47916666666666702</v>
      </c>
      <c r="F148" s="3" t="s">
        <v>59</v>
      </c>
      <c r="G148" s="3" t="s">
        <v>60</v>
      </c>
      <c r="H148" s="3" t="s">
        <v>29</v>
      </c>
      <c r="I148" s="3" t="s">
        <v>30</v>
      </c>
      <c r="J148" s="3" t="s">
        <v>31</v>
      </c>
      <c r="K148" s="3" t="s">
        <v>52</v>
      </c>
      <c r="L148" s="5">
        <v>103</v>
      </c>
      <c r="M148" s="5">
        <f t="shared" ca="1" si="10"/>
        <v>68</v>
      </c>
      <c r="N148" s="6">
        <f t="shared" ca="1" si="11"/>
        <v>66.019417475728162</v>
      </c>
      <c r="O148" s="3" cm="1">
        <f t="array" aca="1" ref="O148" ca="1">IFERROR(LOOKUP(2, 1/((F$1:F147=F148)*(J$1:J147=J148)*(ROW(F$1:F147)&lt;ROW(F148))), N$1:N147), "")</f>
        <v>75.728155339805824</v>
      </c>
      <c r="P148" s="3">
        <f t="shared" si="14"/>
        <v>0</v>
      </c>
      <c r="Q148" s="3" t="s">
        <v>33</v>
      </c>
      <c r="R148" s="3" t="s">
        <v>40</v>
      </c>
      <c r="S148" s="3" t="str">
        <f t="shared" si="12"/>
        <v>Yes</v>
      </c>
      <c r="T148" s="3" t="s">
        <v>40</v>
      </c>
      <c r="U148" s="3" t="str">
        <f t="shared" si="13"/>
        <v>Rainy</v>
      </c>
      <c r="V148" s="3" t="s">
        <v>40</v>
      </c>
      <c r="W148" s="3" cm="1">
        <f t="array" ref="W148">_xlfn.IFS(
OR(F148="Selenium (Hands-on)",F148="Guest Lecture: HR Interview"),6,
OR(F148="Soft Skill",F148="Soft Skill (Examination)",F148="AWS Training",F148="AWS Session"),7,
OR(ISNUMBER(SEARCH("MAD",F148)),ISNUMBER(SEARCH("STQA",F148)),F148="CI/CD Session"),8,
OR(ISNUMBER(SEARCH("Cloud",F148)),F148="Industry Readiness Program",ISNUMBER(SEARCH("Talenlio",F148))),9,
OR(ISNUMBER(SEARCH("Innovation",F148)),F148="Mini Project"),10,
OR(ISNUMBER(SEARCH("Data Science",F148)),ISNUMBER(SEARCH("DS",F148))),11,
ISNUMBER(SEARCH("Generative AI",F148)),12
=_xlfn.IFS(
OR(F148="Selenium (Hands-on)",F148="Guest Lecture: HR Interview"),6,
OR(F148="Soft Skill",F148="Soft Skill (Examination)",F148="AWS Training",F148="AWS Session"),7,
OR(ISNUMBER(SEARCH("MAD",F148)),ISNUMBER(SEARCH("STQA",F148)),F148="CI/CD Session"),8,
OR(ISNUMBER(SEARCH("Cloud",F148)),F148="Industry Readiness Program",ISNUMBER(SEARCH("Talenlio",F148))),9,
OR(ISNUMBER(SEARCH("Innovation",F148)),F148="Mini Project"),10,
OR(ISNUMBER(SEARCH("Data Science",F148)),ISNUMBER(SEARCH("DS",F148))),11,
ISNUMBER(SEARCH("Generative AI",F148)),12
=_xlfn.IFS(
OR(F148="Selenium (Hands-on)",F148="Guest Lecture: HR Interview"),6,
OR(F148="Soft Skill",F148="Soft Skill (Examination)",F148="AWS Training",F148="AWS Session"),7,
OR(ISNUMBER(SEARCH("MAD",F148)),ISNUMBER(SEARCH("STQA",F148)),F148="CI/CD Session"),8,
OR(ISNUMBER(SEARCH("Cloud",F148)),F148="Industry Readiness Program",ISNUMBER(SEARCH("Talenlio",F148))),9,
OR(ISNUMBER(SEARCH("Innovation",F148)),F148="Mini Project"),10,
OR(ISNUMBER(SEARCH("Data Science",F148)),ISNUMBER(SEARCH("DS",F148))),11,
ISNUMBER(SEARCH("Generative AI",F148)),12
=_xlfn.IFS(
OR(F148="Selenium (Hands-on)",F148="Guest Lecture: HR Interview"),6,
OR(F148="Soft Skill",F148="Soft Skill (Examination)",F148="AWS Training",F148="AWS Session"),7,
OR(ISNUMBER(SEARCH("MAD",F148)),ISNUMBER(SEARCH("STQA",F148)),F148="CI/CD Session"),8,
OR(ISNUMBER(SEARCH("Cloud",F148)),F148="Industry Readiness Program",ISNUMBER(SEARCH("Talenlio",F148))),9,
OR(ISNUMBER(SEARCH("Innovation",F148)),F148="Mini Project"),10,
OR(ISNUMBER(SEARCH("Data Science",F148)),ISNUMBER(SEARCH("DS",F148))),11,
ISNUMBER(SEARCH("Generative AI",F148)),12
))))</f>
        <v>11</v>
      </c>
      <c r="X148" s="3">
        <v>5</v>
      </c>
      <c r="Y148" s="3">
        <v>33</v>
      </c>
      <c r="Z148" s="3" t="s">
        <v>35</v>
      </c>
    </row>
    <row r="149" spans="1:26" x14ac:dyDescent="0.3">
      <c r="A149" s="2">
        <v>46220</v>
      </c>
      <c r="B149" s="3" t="s">
        <v>46</v>
      </c>
      <c r="C149" s="3">
        <v>4</v>
      </c>
      <c r="D149" s="4">
        <v>0.5625</v>
      </c>
      <c r="E149" s="4">
        <v>0.60416666666666696</v>
      </c>
      <c r="F149" s="3" t="s">
        <v>62</v>
      </c>
      <c r="G149" s="3" t="s">
        <v>56</v>
      </c>
      <c r="H149" s="3" t="s">
        <v>29</v>
      </c>
      <c r="I149" s="3" t="s">
        <v>30</v>
      </c>
      <c r="J149" s="3" t="s">
        <v>31</v>
      </c>
      <c r="K149" s="3" t="s">
        <v>52</v>
      </c>
      <c r="L149" s="5">
        <v>103</v>
      </c>
      <c r="M149" s="5">
        <f t="shared" ca="1" si="10"/>
        <v>82</v>
      </c>
      <c r="N149" s="6">
        <f t="shared" ca="1" si="11"/>
        <v>79.611650485436897</v>
      </c>
      <c r="O149" s="3" cm="1">
        <f t="array" aca="1" ref="O149" ca="1">IFERROR(LOOKUP(2, 1/((F$1:F148=F149)*(J$1:J148=J149)*(ROW(F$1:F148)&lt;ROW(F149))), N$1:N148), "")</f>
        <v>85.436893203883486</v>
      </c>
      <c r="P149" s="3">
        <f t="shared" si="14"/>
        <v>2</v>
      </c>
      <c r="Q149" s="3" t="s">
        <v>33</v>
      </c>
      <c r="R149" s="3" t="s">
        <v>40</v>
      </c>
      <c r="S149" s="3" t="str">
        <f t="shared" si="12"/>
        <v>Yes</v>
      </c>
      <c r="T149" s="3" t="s">
        <v>40</v>
      </c>
      <c r="U149" s="3" t="str">
        <f t="shared" si="13"/>
        <v>Rainy</v>
      </c>
      <c r="V149" s="3" t="s">
        <v>40</v>
      </c>
      <c r="W149" s="3">
        <v>7</v>
      </c>
      <c r="X149" s="3">
        <v>5</v>
      </c>
      <c r="Y149" s="3">
        <v>33</v>
      </c>
      <c r="Z149" s="3" t="s">
        <v>38</v>
      </c>
    </row>
    <row r="150" spans="1:26" x14ac:dyDescent="0.3">
      <c r="A150" s="2">
        <v>46220</v>
      </c>
      <c r="B150" s="3" t="s">
        <v>46</v>
      </c>
      <c r="C150" s="3">
        <v>5</v>
      </c>
      <c r="D150" s="4">
        <v>0.60416666666666696</v>
      </c>
      <c r="E150" s="4">
        <v>0.64583333333333304</v>
      </c>
      <c r="F150" s="3" t="s">
        <v>62</v>
      </c>
      <c r="G150" s="3" t="s">
        <v>56</v>
      </c>
      <c r="H150" s="3" t="s">
        <v>29</v>
      </c>
      <c r="I150" s="3" t="s">
        <v>30</v>
      </c>
      <c r="J150" s="3" t="s">
        <v>31</v>
      </c>
      <c r="K150" s="3" t="s">
        <v>52</v>
      </c>
      <c r="L150" s="5">
        <v>103</v>
      </c>
      <c r="M150" s="5">
        <f t="shared" ca="1" si="10"/>
        <v>53</v>
      </c>
      <c r="N150" s="6">
        <f t="shared" ca="1" si="11"/>
        <v>51.456310679611647</v>
      </c>
      <c r="O150" s="3" cm="1">
        <f t="array" aca="1" ref="O150" ca="1">IFERROR(LOOKUP(2, 1/((F$1:F149=F150)*(J$1:J149=J150)*(ROW(F$1:F149)&lt;ROW(F150))), N$1:N149), "")</f>
        <v>79.611650485436897</v>
      </c>
      <c r="P150" s="3">
        <f t="shared" si="14"/>
        <v>0</v>
      </c>
      <c r="Q150" s="3" t="s">
        <v>33</v>
      </c>
      <c r="R150" s="3" t="s">
        <v>40</v>
      </c>
      <c r="S150" s="3" t="str">
        <f t="shared" si="12"/>
        <v>Yes</v>
      </c>
      <c r="T150" s="3" t="s">
        <v>40</v>
      </c>
      <c r="U150" s="3" t="str">
        <f t="shared" si="13"/>
        <v>Rainy</v>
      </c>
      <c r="V150" s="3" t="s">
        <v>40</v>
      </c>
      <c r="W150" s="3">
        <v>7</v>
      </c>
      <c r="X150" s="3">
        <v>5</v>
      </c>
      <c r="Y150" s="3">
        <v>33</v>
      </c>
      <c r="Z150" s="3" t="s">
        <v>38</v>
      </c>
    </row>
    <row r="151" spans="1:26" x14ac:dyDescent="0.3">
      <c r="A151" s="2">
        <v>46221</v>
      </c>
      <c r="B151" s="3" t="s">
        <v>47</v>
      </c>
      <c r="C151" s="3">
        <v>1</v>
      </c>
      <c r="D151" s="4">
        <v>0.35416666666666702</v>
      </c>
      <c r="E151" s="4">
        <v>0.38541666666666702</v>
      </c>
      <c r="F151" s="3" t="s">
        <v>65</v>
      </c>
      <c r="G151" s="3" t="s">
        <v>51</v>
      </c>
      <c r="H151" s="3" t="s">
        <v>29</v>
      </c>
      <c r="I151" s="3" t="s">
        <v>30</v>
      </c>
      <c r="J151" s="3" t="s">
        <v>31</v>
      </c>
      <c r="K151" s="3" t="s">
        <v>52</v>
      </c>
      <c r="L151" s="5">
        <v>103</v>
      </c>
      <c r="M151" s="5">
        <f t="shared" ca="1" si="10"/>
        <v>51</v>
      </c>
      <c r="N151" s="6">
        <f t="shared" ca="1" si="11"/>
        <v>49.514563106796118</v>
      </c>
      <c r="O151" s="3" cm="1">
        <f t="array" aca="1" ref="O151" ca="1">IFERROR(LOOKUP(2, 1/((F$1:F150=F151)*(J$1:J150=J151)*(ROW(F$1:F150)&lt;ROW(F151))), N$1:N150), "")</f>
        <v>71.844660194174764</v>
      </c>
      <c r="P151" s="3">
        <f t="shared" si="14"/>
        <v>0</v>
      </c>
      <c r="Q151" s="3" t="s">
        <v>43</v>
      </c>
      <c r="R151" s="3" t="s">
        <v>40</v>
      </c>
      <c r="S151" s="3" t="str">
        <f t="shared" si="12"/>
        <v>No</v>
      </c>
      <c r="T151" s="3" t="s">
        <v>34</v>
      </c>
      <c r="U151" s="3" t="str">
        <f t="shared" si="13"/>
        <v>Rainy</v>
      </c>
      <c r="V151" s="3" t="s">
        <v>40</v>
      </c>
      <c r="W151" s="3" cm="1">
        <f t="array" ref="W151">_xlfn.IFS(
OR(F151="Selenium (Hands-on)",F151="Guest Lecture: HR Interview"),6,
OR(F151="Soft Skill",F151="Soft Skill (Examination)",F151="AWS Training",F151="AWS Session"),7,
OR(ISNUMBER(SEARCH("MAD",F151)),ISNUMBER(SEARCH("STQA",F151)),F151="CI/CD Session"),8,
OR(ISNUMBER(SEARCH("Cloud",F151)),F151="Industry Readiness Program",ISNUMBER(SEARCH("Talenlio",F151))),9,
OR(ISNUMBER(SEARCH("Innovation",F151)),F151="Mini Project"),10,
OR(ISNUMBER(SEARCH("Data Science",F151)),ISNUMBER(SEARCH("DS",F151))),11,
ISNUMBER(SEARCH("Generative AI",F151)),12
=_xlfn.IFS(
OR(F151="Selenium (Hands-on)",F151="Guest Lecture: HR Interview"),6,
OR(F151="Soft Skill",F151="Soft Skill (Examination)",F151="AWS Training",F151="AWS Session"),7,
OR(ISNUMBER(SEARCH("MAD",F151)),ISNUMBER(SEARCH("STQA",F151)),F151="CI/CD Session"),8,
OR(ISNUMBER(SEARCH("Cloud",F151)),F151="Industry Readiness Program",ISNUMBER(SEARCH("Talenlio",F151))),9,
OR(ISNUMBER(SEARCH("Innovation",F151)),F151="Mini Project"),10,
OR(ISNUMBER(SEARCH("Data Science",F151)),ISNUMBER(SEARCH("DS",F151))),11,
ISNUMBER(SEARCH("Generative AI",F151)),12
=_xlfn.IFS(
OR(F151="Selenium (Hands-on)",F151="Guest Lecture: HR Interview"),6,
OR(F151="Soft Skill",F151="Soft Skill (Examination)",F151="AWS Training",F151="AWS Session"),7,
OR(ISNUMBER(SEARCH("MAD",F151)),ISNUMBER(SEARCH("STQA",F151)),F151="CI/CD Session"),8,
OR(ISNUMBER(SEARCH("Cloud",F151)),F151="Industry Readiness Program",ISNUMBER(SEARCH("Talenlio",F151))),9,
OR(ISNUMBER(SEARCH("Innovation",F151)),F151="Mini Project"),10,
OR(ISNUMBER(SEARCH("Data Science",F151)),ISNUMBER(SEARCH("DS",F151))),11,
ISNUMBER(SEARCH("Generative AI",F151)),12
=_xlfn.IFS(
OR(F151="Selenium (Hands-on)",F151="Guest Lecture: HR Interview"),6,
OR(F151="Soft Skill",F151="Soft Skill (Examination)",F151="AWS Training",F151="AWS Session"),7,
OR(ISNUMBER(SEARCH("MAD",F151)),ISNUMBER(SEARCH("STQA",F151)),F151="CI/CD Session"),8,
OR(ISNUMBER(SEARCH("Cloud",F151)),F151="Industry Readiness Program",ISNUMBER(SEARCH("Talenlio",F151))),9,
OR(ISNUMBER(SEARCH("Innovation",F151)),F151="Mini Project"),10,
OR(ISNUMBER(SEARCH("Data Science",F151)),ISNUMBER(SEARCH("DS",F151))),11,
ISNUMBER(SEARCH("Generative AI",F151)),12
))))</f>
        <v>8</v>
      </c>
      <c r="X151" s="3">
        <v>5</v>
      </c>
      <c r="Y151" s="3">
        <v>34</v>
      </c>
      <c r="Z151" s="3" t="s">
        <v>35</v>
      </c>
    </row>
    <row r="152" spans="1:26" x14ac:dyDescent="0.3">
      <c r="A152" s="2">
        <v>46221</v>
      </c>
      <c r="B152" s="3" t="s">
        <v>47</v>
      </c>
      <c r="C152" s="3">
        <v>2</v>
      </c>
      <c r="D152" s="4">
        <v>0.38541666666666702</v>
      </c>
      <c r="E152" s="4">
        <v>0.42708333333333298</v>
      </c>
      <c r="F152" s="3" t="s">
        <v>65</v>
      </c>
      <c r="G152" s="3" t="s">
        <v>51</v>
      </c>
      <c r="H152" s="3" t="s">
        <v>29</v>
      </c>
      <c r="I152" s="3" t="s">
        <v>30</v>
      </c>
      <c r="J152" s="3" t="s">
        <v>31</v>
      </c>
      <c r="K152" s="3" t="s">
        <v>52</v>
      </c>
      <c r="L152" s="5">
        <v>103</v>
      </c>
      <c r="M152" s="5">
        <f t="shared" ca="1" si="10"/>
        <v>52</v>
      </c>
      <c r="N152" s="6">
        <f t="shared" ca="1" si="11"/>
        <v>50.485436893203882</v>
      </c>
      <c r="O152" s="3" cm="1">
        <f t="array" aca="1" ref="O152" ca="1">IFERROR(LOOKUP(2, 1/((F$1:F151=F152)*(J$1:J151=J152)*(ROW(F$1:F151)&lt;ROW(F152))), N$1:N151), "")</f>
        <v>49.514563106796118</v>
      </c>
      <c r="P152" s="3">
        <f t="shared" si="14"/>
        <v>0</v>
      </c>
      <c r="Q152" s="3" t="s">
        <v>43</v>
      </c>
      <c r="R152" s="3" t="s">
        <v>40</v>
      </c>
      <c r="S152" s="3" t="str">
        <f t="shared" si="12"/>
        <v>No</v>
      </c>
      <c r="T152" s="3" t="s">
        <v>34</v>
      </c>
      <c r="U152" s="3" t="str">
        <f t="shared" si="13"/>
        <v>Rainy</v>
      </c>
      <c r="V152" s="3" t="s">
        <v>40</v>
      </c>
      <c r="W152" s="3" cm="1">
        <f t="array" ref="W152">_xlfn.IFS(
OR(F152="Selenium (Hands-on)",F152="Guest Lecture: HR Interview"),6,
OR(F152="Soft Skill",F152="Soft Skill (Examination)",F152="AWS Training",F152="AWS Session"),7,
OR(ISNUMBER(SEARCH("MAD",F152)),ISNUMBER(SEARCH("STQA",F152)),F152="CI/CD Session"),8,
OR(ISNUMBER(SEARCH("Cloud",F152)),F152="Industry Readiness Program",ISNUMBER(SEARCH("Talenlio",F152))),9,
OR(ISNUMBER(SEARCH("Innovation",F152)),F152="Mini Project"),10,
OR(ISNUMBER(SEARCH("Data Science",F152)),ISNUMBER(SEARCH("DS",F152))),11,
ISNUMBER(SEARCH("Generative AI",F152)),12
=_xlfn.IFS(
OR(F152="Selenium (Hands-on)",F152="Guest Lecture: HR Interview"),6,
OR(F152="Soft Skill",F152="Soft Skill (Examination)",F152="AWS Training",F152="AWS Session"),7,
OR(ISNUMBER(SEARCH("MAD",F152)),ISNUMBER(SEARCH("STQA",F152)),F152="CI/CD Session"),8,
OR(ISNUMBER(SEARCH("Cloud",F152)),F152="Industry Readiness Program",ISNUMBER(SEARCH("Talenlio",F152))),9,
OR(ISNUMBER(SEARCH("Innovation",F152)),F152="Mini Project"),10,
OR(ISNUMBER(SEARCH("Data Science",F152)),ISNUMBER(SEARCH("DS",F152))),11,
ISNUMBER(SEARCH("Generative AI",F152)),12
=_xlfn.IFS(
OR(F152="Selenium (Hands-on)",F152="Guest Lecture: HR Interview"),6,
OR(F152="Soft Skill",F152="Soft Skill (Examination)",F152="AWS Training",F152="AWS Session"),7,
OR(ISNUMBER(SEARCH("MAD",F152)),ISNUMBER(SEARCH("STQA",F152)),F152="CI/CD Session"),8,
OR(ISNUMBER(SEARCH("Cloud",F152)),F152="Industry Readiness Program",ISNUMBER(SEARCH("Talenlio",F152))),9,
OR(ISNUMBER(SEARCH("Innovation",F152)),F152="Mini Project"),10,
OR(ISNUMBER(SEARCH("Data Science",F152)),ISNUMBER(SEARCH("DS",F152))),11,
ISNUMBER(SEARCH("Generative AI",F152)),12
=_xlfn.IFS(
OR(F152="Selenium (Hands-on)",F152="Guest Lecture: HR Interview"),6,
OR(F152="Soft Skill",F152="Soft Skill (Examination)",F152="AWS Training",F152="AWS Session"),7,
OR(ISNUMBER(SEARCH("MAD",F152)),ISNUMBER(SEARCH("STQA",F152)),F152="CI/CD Session"),8,
OR(ISNUMBER(SEARCH("Cloud",F152)),F152="Industry Readiness Program",ISNUMBER(SEARCH("Talenlio",F152))),9,
OR(ISNUMBER(SEARCH("Innovation",F152)),F152="Mini Project"),10,
OR(ISNUMBER(SEARCH("Data Science",F152)),ISNUMBER(SEARCH("DS",F152))),11,
ISNUMBER(SEARCH("Generative AI",F152)),12
))))</f>
        <v>8</v>
      </c>
      <c r="X152" s="3">
        <v>5</v>
      </c>
      <c r="Y152" s="3">
        <v>34</v>
      </c>
      <c r="Z152" s="3" t="s">
        <v>35</v>
      </c>
    </row>
    <row r="153" spans="1:26" x14ac:dyDescent="0.3">
      <c r="A153" s="2">
        <v>46221</v>
      </c>
      <c r="B153" s="3" t="s">
        <v>47</v>
      </c>
      <c r="C153" s="3">
        <v>3</v>
      </c>
      <c r="D153" s="4">
        <v>0.42708333333333298</v>
      </c>
      <c r="E153" s="4">
        <v>0.46875</v>
      </c>
      <c r="F153" s="3" t="s">
        <v>66</v>
      </c>
      <c r="G153" s="3" t="s">
        <v>67</v>
      </c>
      <c r="H153" s="3" t="s">
        <v>29</v>
      </c>
      <c r="I153" s="3" t="s">
        <v>30</v>
      </c>
      <c r="J153" s="3" t="s">
        <v>31</v>
      </c>
      <c r="K153" s="3" t="s">
        <v>52</v>
      </c>
      <c r="L153" s="5">
        <v>103</v>
      </c>
      <c r="M153" s="5">
        <f t="shared" ca="1" si="10"/>
        <v>51</v>
      </c>
      <c r="N153" s="6">
        <f t="shared" ca="1" si="11"/>
        <v>49.514563106796118</v>
      </c>
      <c r="O153" s="3" cm="1">
        <f t="array" aca="1" ref="O153" ca="1">IFERROR(LOOKUP(2, 1/((F$1:F152=F153)*(J$1:J152=J153)*(ROW(F$1:F152)&lt;ROW(F153))), N$1:N152), "")</f>
        <v>69.902912621359221</v>
      </c>
      <c r="P153" s="3">
        <f t="shared" si="14"/>
        <v>0</v>
      </c>
      <c r="Q153" s="3" t="s">
        <v>43</v>
      </c>
      <c r="R153" s="3" t="s">
        <v>40</v>
      </c>
      <c r="S153" s="3" t="str">
        <f t="shared" si="12"/>
        <v>Yes</v>
      </c>
      <c r="T153" s="3" t="s">
        <v>34</v>
      </c>
      <c r="U153" s="3" t="str">
        <f t="shared" si="13"/>
        <v>Rainy</v>
      </c>
      <c r="V153" s="3" t="s">
        <v>40</v>
      </c>
      <c r="W153" s="3" cm="1">
        <f t="array" ref="W153">_xlfn.IFS(
OR(F153="Selenium (Hands-on)",F153="Guest Lecture: HR Interview"),6,
OR(F153="Soft Skill",F153="Soft Skill (Examination)",F153="AWS Training",F153="AWS Session"),7,
OR(ISNUMBER(SEARCH("MAD",F153)),ISNUMBER(SEARCH("STQA",F153)),F153="CI/CD Session"),8,
OR(ISNUMBER(SEARCH("Cloud",F153)),F153="Industry Readiness Program",ISNUMBER(SEARCH("Talenlio",F153))),9,
OR(ISNUMBER(SEARCH("Innovation",F153)),F153="Mini Project"),10,
OR(ISNUMBER(SEARCH("Data Science",F153)),ISNUMBER(SEARCH("DS",F153))),11,
ISNUMBER(SEARCH("Generative AI",F153)),12
=_xlfn.IFS(
OR(F153="Selenium (Hands-on)",F153="Guest Lecture: HR Interview"),6,
OR(F153="Soft Skill",F153="Soft Skill (Examination)",F153="AWS Training",F153="AWS Session"),7,
OR(ISNUMBER(SEARCH("MAD",F153)),ISNUMBER(SEARCH("STQA",F153)),F153="CI/CD Session"),8,
OR(ISNUMBER(SEARCH("Cloud",F153)),F153="Industry Readiness Program",ISNUMBER(SEARCH("Talenlio",F153))),9,
OR(ISNUMBER(SEARCH("Innovation",F153)),F153="Mini Project"),10,
OR(ISNUMBER(SEARCH("Data Science",F153)),ISNUMBER(SEARCH("DS",F153))),11,
ISNUMBER(SEARCH("Generative AI",F153)),12
=_xlfn.IFS(
OR(F153="Selenium (Hands-on)",F153="Guest Lecture: HR Interview"),6,
OR(F153="Soft Skill",F153="Soft Skill (Examination)",F153="AWS Training",F153="AWS Session"),7,
OR(ISNUMBER(SEARCH("MAD",F153)),ISNUMBER(SEARCH("STQA",F153)),F153="CI/CD Session"),8,
OR(ISNUMBER(SEARCH("Cloud",F153)),F153="Industry Readiness Program",ISNUMBER(SEARCH("Talenlio",F153))),9,
OR(ISNUMBER(SEARCH("Innovation",F153)),F153="Mini Project"),10,
OR(ISNUMBER(SEARCH("Data Science",F153)),ISNUMBER(SEARCH("DS",F153))),11,
ISNUMBER(SEARCH("Generative AI",F153)),12
=_xlfn.IFS(
OR(F153="Selenium (Hands-on)",F153="Guest Lecture: HR Interview"),6,
OR(F153="Soft Skill",F153="Soft Skill (Examination)",F153="AWS Training",F153="AWS Session"),7,
OR(ISNUMBER(SEARCH("MAD",F153)),ISNUMBER(SEARCH("STQA",F153)),F153="CI/CD Session"),8,
OR(ISNUMBER(SEARCH("Cloud",F153)),F153="Industry Readiness Program",ISNUMBER(SEARCH("Talenlio",F153))),9,
OR(ISNUMBER(SEARCH("Innovation",F153)),F153="Mini Project"),10,
OR(ISNUMBER(SEARCH("Data Science",F153)),ISNUMBER(SEARCH("DS",F153))),11,
ISNUMBER(SEARCH("Generative AI",F153)),12
))))</f>
        <v>10</v>
      </c>
      <c r="X153" s="3">
        <v>5</v>
      </c>
      <c r="Y153" s="3">
        <v>34</v>
      </c>
      <c r="Z153" s="3" t="s">
        <v>35</v>
      </c>
    </row>
    <row r="154" spans="1:26" x14ac:dyDescent="0.3">
      <c r="A154" s="2">
        <v>46221</v>
      </c>
      <c r="B154" s="3" t="s">
        <v>47</v>
      </c>
      <c r="C154" s="3">
        <v>4</v>
      </c>
      <c r="D154" s="4">
        <v>0.46875</v>
      </c>
      <c r="E154" s="4">
        <v>0.51041666666666696</v>
      </c>
      <c r="F154" s="3" t="s">
        <v>66</v>
      </c>
      <c r="G154" s="3" t="s">
        <v>67</v>
      </c>
      <c r="H154" s="3" t="s">
        <v>29</v>
      </c>
      <c r="I154" s="3" t="s">
        <v>30</v>
      </c>
      <c r="J154" s="3" t="s">
        <v>31</v>
      </c>
      <c r="K154" s="3" t="s">
        <v>52</v>
      </c>
      <c r="L154" s="5">
        <v>103</v>
      </c>
      <c r="M154" s="5">
        <f t="shared" ca="1" si="10"/>
        <v>40</v>
      </c>
      <c r="N154" s="6">
        <f t="shared" ca="1" si="11"/>
        <v>38.834951456310677</v>
      </c>
      <c r="O154" s="3" cm="1">
        <f t="array" aca="1" ref="O154" ca="1">IFERROR(LOOKUP(2, 1/((F$1:F153=F154)*(J$1:J153=J154)*(ROW(F$1:F153)&lt;ROW(F154))), N$1:N153), "")</f>
        <v>49.514563106796118</v>
      </c>
      <c r="P154" s="3">
        <f t="shared" si="14"/>
        <v>0</v>
      </c>
      <c r="Q154" s="3" t="s">
        <v>43</v>
      </c>
      <c r="R154" s="3" t="s">
        <v>40</v>
      </c>
      <c r="S154" s="3" t="str">
        <f t="shared" si="12"/>
        <v>Yes</v>
      </c>
      <c r="T154" s="3" t="s">
        <v>34</v>
      </c>
      <c r="U154" s="3" t="str">
        <f t="shared" si="13"/>
        <v>Rainy</v>
      </c>
      <c r="V154" s="3" t="s">
        <v>40</v>
      </c>
      <c r="W154" s="3" cm="1">
        <f t="array" ref="W154">_xlfn.IFS(
OR(F154="Selenium (Hands-on)",F154="Guest Lecture: HR Interview"),6,
OR(F154="Soft Skill",F154="Soft Skill (Examination)",F154="AWS Training",F154="AWS Session"),7,
OR(ISNUMBER(SEARCH("MAD",F154)),ISNUMBER(SEARCH("STQA",F154)),F154="CI/CD Session"),8,
OR(ISNUMBER(SEARCH("Cloud",F154)),F154="Industry Readiness Program",ISNUMBER(SEARCH("Talenlio",F154))),9,
OR(ISNUMBER(SEARCH("Innovation",F154)),F154="Mini Project"),10,
OR(ISNUMBER(SEARCH("Data Science",F154)),ISNUMBER(SEARCH("DS",F154))),11,
ISNUMBER(SEARCH("Generative AI",F154)),12
=_xlfn.IFS(
OR(F154="Selenium (Hands-on)",F154="Guest Lecture: HR Interview"),6,
OR(F154="Soft Skill",F154="Soft Skill (Examination)",F154="AWS Training",F154="AWS Session"),7,
OR(ISNUMBER(SEARCH("MAD",F154)),ISNUMBER(SEARCH("STQA",F154)),F154="CI/CD Session"),8,
OR(ISNUMBER(SEARCH("Cloud",F154)),F154="Industry Readiness Program",ISNUMBER(SEARCH("Talenlio",F154))),9,
OR(ISNUMBER(SEARCH("Innovation",F154)),F154="Mini Project"),10,
OR(ISNUMBER(SEARCH("Data Science",F154)),ISNUMBER(SEARCH("DS",F154))),11,
ISNUMBER(SEARCH("Generative AI",F154)),12
=_xlfn.IFS(
OR(F154="Selenium (Hands-on)",F154="Guest Lecture: HR Interview"),6,
OR(F154="Soft Skill",F154="Soft Skill (Examination)",F154="AWS Training",F154="AWS Session"),7,
OR(ISNUMBER(SEARCH("MAD",F154)),ISNUMBER(SEARCH("STQA",F154)),F154="CI/CD Session"),8,
OR(ISNUMBER(SEARCH("Cloud",F154)),F154="Industry Readiness Program",ISNUMBER(SEARCH("Talenlio",F154))),9,
OR(ISNUMBER(SEARCH("Innovation",F154)),F154="Mini Project"),10,
OR(ISNUMBER(SEARCH("Data Science",F154)),ISNUMBER(SEARCH("DS",F154))),11,
ISNUMBER(SEARCH("Generative AI",F154)),12
=_xlfn.IFS(
OR(F154="Selenium (Hands-on)",F154="Guest Lecture: HR Interview"),6,
OR(F154="Soft Skill",F154="Soft Skill (Examination)",F154="AWS Training",F154="AWS Session"),7,
OR(ISNUMBER(SEARCH("MAD",F154)),ISNUMBER(SEARCH("STQA",F154)),F154="CI/CD Session"),8,
OR(ISNUMBER(SEARCH("Cloud",F154)),F154="Industry Readiness Program",ISNUMBER(SEARCH("Talenlio",F154))),9,
OR(ISNUMBER(SEARCH("Innovation",F154)),F154="Mini Project"),10,
OR(ISNUMBER(SEARCH("Data Science",F154)),ISNUMBER(SEARCH("DS",F154))),11,
ISNUMBER(SEARCH("Generative AI",F154)),12
))))</f>
        <v>10</v>
      </c>
      <c r="X154" s="3">
        <v>5</v>
      </c>
      <c r="Y154" s="3">
        <v>34</v>
      </c>
      <c r="Z154" s="3" t="s">
        <v>35</v>
      </c>
    </row>
    <row r="155" spans="1:26" x14ac:dyDescent="0.3">
      <c r="A155" s="2">
        <v>46221</v>
      </c>
      <c r="B155" s="3" t="s">
        <v>47</v>
      </c>
      <c r="C155" s="3">
        <v>5</v>
      </c>
      <c r="D155" s="4">
        <v>0.5625</v>
      </c>
      <c r="E155" s="4">
        <v>0.60416666666666696</v>
      </c>
      <c r="F155" s="3" t="s">
        <v>66</v>
      </c>
      <c r="G155" s="3" t="s">
        <v>67</v>
      </c>
      <c r="H155" s="3" t="s">
        <v>29</v>
      </c>
      <c r="I155" s="3" t="s">
        <v>30</v>
      </c>
      <c r="J155" s="3" t="s">
        <v>31</v>
      </c>
      <c r="K155" s="3" t="s">
        <v>52</v>
      </c>
      <c r="L155" s="5">
        <v>103</v>
      </c>
      <c r="M155" s="5">
        <f t="shared" ca="1" si="10"/>
        <v>40</v>
      </c>
      <c r="N155" s="6">
        <f t="shared" ca="1" si="11"/>
        <v>38.834951456310677</v>
      </c>
      <c r="O155" s="3" cm="1">
        <f t="array" aca="1" ref="O155" ca="1">IFERROR(LOOKUP(2, 1/((F$1:F154=F155)*(J$1:J154=J155)*(ROW(F$1:F154)&lt;ROW(F155))), N$1:N154), "")</f>
        <v>38.834951456310677</v>
      </c>
      <c r="P155" s="3">
        <f t="shared" si="14"/>
        <v>1.25</v>
      </c>
      <c r="Q155" s="3" t="s">
        <v>43</v>
      </c>
      <c r="R155" s="3" t="s">
        <v>40</v>
      </c>
      <c r="S155" s="3" t="str">
        <f t="shared" si="12"/>
        <v>Yes</v>
      </c>
      <c r="T155" s="3" t="s">
        <v>34</v>
      </c>
      <c r="U155" s="3" t="str">
        <f t="shared" si="13"/>
        <v>Rainy</v>
      </c>
      <c r="V155" s="3" t="s">
        <v>40</v>
      </c>
      <c r="W155" s="3" cm="1">
        <f t="array" ref="W155">_xlfn.IFS(
OR(F155="Selenium (Hands-on)",F155="Guest Lecture: HR Interview"),6,
OR(F155="Soft Skill",F155="Soft Skill (Examination)",F155="AWS Training",F155="AWS Session"),7,
OR(ISNUMBER(SEARCH("MAD",F155)),ISNUMBER(SEARCH("STQA",F155)),F155="CI/CD Session"),8,
OR(ISNUMBER(SEARCH("Cloud",F155)),F155="Industry Readiness Program",ISNUMBER(SEARCH("Talenlio",F155))),9,
OR(ISNUMBER(SEARCH("Innovation",F155)),F155="Mini Project"),10,
OR(ISNUMBER(SEARCH("Data Science",F155)),ISNUMBER(SEARCH("DS",F155))),11,
ISNUMBER(SEARCH("Generative AI",F155)),12
=_xlfn.IFS(
OR(F155="Selenium (Hands-on)",F155="Guest Lecture: HR Interview"),6,
OR(F155="Soft Skill",F155="Soft Skill (Examination)",F155="AWS Training",F155="AWS Session"),7,
OR(ISNUMBER(SEARCH("MAD",F155)),ISNUMBER(SEARCH("STQA",F155)),F155="CI/CD Session"),8,
OR(ISNUMBER(SEARCH("Cloud",F155)),F155="Industry Readiness Program",ISNUMBER(SEARCH("Talenlio",F155))),9,
OR(ISNUMBER(SEARCH("Innovation",F155)),F155="Mini Project"),10,
OR(ISNUMBER(SEARCH("Data Science",F155)),ISNUMBER(SEARCH("DS",F155))),11,
ISNUMBER(SEARCH("Generative AI",F155)),12
=_xlfn.IFS(
OR(F155="Selenium (Hands-on)",F155="Guest Lecture: HR Interview"),6,
OR(F155="Soft Skill",F155="Soft Skill (Examination)",F155="AWS Training",F155="AWS Session"),7,
OR(ISNUMBER(SEARCH("MAD",F155)),ISNUMBER(SEARCH("STQA",F155)),F155="CI/CD Session"),8,
OR(ISNUMBER(SEARCH("Cloud",F155)),F155="Industry Readiness Program",ISNUMBER(SEARCH("Talenlio",F155))),9,
OR(ISNUMBER(SEARCH("Innovation",F155)),F155="Mini Project"),10,
OR(ISNUMBER(SEARCH("Data Science",F155)),ISNUMBER(SEARCH("DS",F155))),11,
ISNUMBER(SEARCH("Generative AI",F155)),12
=_xlfn.IFS(
OR(F155="Selenium (Hands-on)",F155="Guest Lecture: HR Interview"),6,
OR(F155="Soft Skill",F155="Soft Skill (Examination)",F155="AWS Training",F155="AWS Session"),7,
OR(ISNUMBER(SEARCH("MAD",F155)),ISNUMBER(SEARCH("STQA",F155)),F155="CI/CD Session"),8,
OR(ISNUMBER(SEARCH("Cloud",F155)),F155="Industry Readiness Program",ISNUMBER(SEARCH("Talenlio",F155))),9,
OR(ISNUMBER(SEARCH("Innovation",F155)),F155="Mini Project"),10,
OR(ISNUMBER(SEARCH("Data Science",F155)),ISNUMBER(SEARCH("DS",F155))),11,
ISNUMBER(SEARCH("Generative AI",F155)),12
))))</f>
        <v>10</v>
      </c>
      <c r="X155" s="3">
        <v>5</v>
      </c>
      <c r="Y155" s="3">
        <v>34</v>
      </c>
      <c r="Z155" s="3" t="s">
        <v>38</v>
      </c>
    </row>
    <row r="156" spans="1:26" x14ac:dyDescent="0.3">
      <c r="A156" s="2">
        <v>46221</v>
      </c>
      <c r="B156" s="3" t="s">
        <v>47</v>
      </c>
      <c r="C156" s="3">
        <v>6</v>
      </c>
      <c r="D156" s="4">
        <v>0.60416666666666696</v>
      </c>
      <c r="E156" s="4">
        <v>0.64583333333333304</v>
      </c>
      <c r="F156" s="3" t="s">
        <v>66</v>
      </c>
      <c r="G156" s="3" t="s">
        <v>67</v>
      </c>
      <c r="H156" s="3" t="s">
        <v>29</v>
      </c>
      <c r="I156" s="3" t="s">
        <v>30</v>
      </c>
      <c r="J156" s="3" t="s">
        <v>31</v>
      </c>
      <c r="K156" s="3" t="s">
        <v>52</v>
      </c>
      <c r="L156" s="5">
        <v>103</v>
      </c>
      <c r="M156" s="5">
        <f t="shared" ca="1" si="10"/>
        <v>46</v>
      </c>
      <c r="N156" s="6">
        <f t="shared" ca="1" si="11"/>
        <v>44.660194174757287</v>
      </c>
      <c r="O156" s="3" cm="1">
        <f t="array" aca="1" ref="O156" ca="1">IFERROR(LOOKUP(2, 1/((F$1:F155=F156)*(J$1:J155=J156)*(ROW(F$1:F155)&lt;ROW(F156))), N$1:N155), "")</f>
        <v>38.834951456310677</v>
      </c>
      <c r="P156" s="3">
        <f t="shared" si="14"/>
        <v>0</v>
      </c>
      <c r="Q156" s="3" t="s">
        <v>43</v>
      </c>
      <c r="R156" s="3" t="s">
        <v>40</v>
      </c>
      <c r="S156" s="3" t="str">
        <f t="shared" si="12"/>
        <v>Yes</v>
      </c>
      <c r="T156" s="3" t="s">
        <v>34</v>
      </c>
      <c r="U156" s="3" t="str">
        <f t="shared" si="13"/>
        <v>Rainy</v>
      </c>
      <c r="V156" s="3" t="s">
        <v>40</v>
      </c>
      <c r="W156" s="3" cm="1">
        <f t="array" ref="W156">_xlfn.IFS(
OR(F156="Selenium (Hands-on)",F156="Guest Lecture: HR Interview"),6,
OR(F156="Soft Skill",F156="Soft Skill (Examination)",F156="AWS Training",F156="AWS Session"),7,
OR(ISNUMBER(SEARCH("MAD",F156)),ISNUMBER(SEARCH("STQA",F156)),F156="CI/CD Session"),8,
OR(ISNUMBER(SEARCH("Cloud",F156)),F156="Industry Readiness Program",ISNUMBER(SEARCH("Talenlio",F156))),9,
OR(ISNUMBER(SEARCH("Innovation",F156)),F156="Mini Project"),10,
OR(ISNUMBER(SEARCH("Data Science",F156)),ISNUMBER(SEARCH("DS",F156))),11,
ISNUMBER(SEARCH("Generative AI",F156)),12
=_xlfn.IFS(
OR(F156="Selenium (Hands-on)",F156="Guest Lecture: HR Interview"),6,
OR(F156="Soft Skill",F156="Soft Skill (Examination)",F156="AWS Training",F156="AWS Session"),7,
OR(ISNUMBER(SEARCH("MAD",F156)),ISNUMBER(SEARCH("STQA",F156)),F156="CI/CD Session"),8,
OR(ISNUMBER(SEARCH("Cloud",F156)),F156="Industry Readiness Program",ISNUMBER(SEARCH("Talenlio",F156))),9,
OR(ISNUMBER(SEARCH("Innovation",F156)),F156="Mini Project"),10,
OR(ISNUMBER(SEARCH("Data Science",F156)),ISNUMBER(SEARCH("DS",F156))),11,
ISNUMBER(SEARCH("Generative AI",F156)),12
=_xlfn.IFS(
OR(F156="Selenium (Hands-on)",F156="Guest Lecture: HR Interview"),6,
OR(F156="Soft Skill",F156="Soft Skill (Examination)",F156="AWS Training",F156="AWS Session"),7,
OR(ISNUMBER(SEARCH("MAD",F156)),ISNUMBER(SEARCH("STQA",F156)),F156="CI/CD Session"),8,
OR(ISNUMBER(SEARCH("Cloud",F156)),F156="Industry Readiness Program",ISNUMBER(SEARCH("Talenlio",F156))),9,
OR(ISNUMBER(SEARCH("Innovation",F156)),F156="Mini Project"),10,
OR(ISNUMBER(SEARCH("Data Science",F156)),ISNUMBER(SEARCH("DS",F156))),11,
ISNUMBER(SEARCH("Generative AI",F156)),12
=_xlfn.IFS(
OR(F156="Selenium (Hands-on)",F156="Guest Lecture: HR Interview"),6,
OR(F156="Soft Skill",F156="Soft Skill (Examination)",F156="AWS Training",F156="AWS Session"),7,
OR(ISNUMBER(SEARCH("MAD",F156)),ISNUMBER(SEARCH("STQA",F156)),F156="CI/CD Session"),8,
OR(ISNUMBER(SEARCH("Cloud",F156)),F156="Industry Readiness Program",ISNUMBER(SEARCH("Talenlio",F156))),9,
OR(ISNUMBER(SEARCH("Innovation",F156)),F156="Mini Project"),10,
OR(ISNUMBER(SEARCH("Data Science",F156)),ISNUMBER(SEARCH("DS",F156))),11,
ISNUMBER(SEARCH("Generative AI",F156)),12
))))</f>
        <v>10</v>
      </c>
      <c r="X156" s="3">
        <v>5</v>
      </c>
      <c r="Y156" s="3">
        <v>34</v>
      </c>
      <c r="Z156" s="3" t="s">
        <v>38</v>
      </c>
    </row>
    <row r="157" spans="1:26" x14ac:dyDescent="0.3">
      <c r="A157" s="2">
        <v>46223</v>
      </c>
      <c r="B157" s="3" t="s">
        <v>26</v>
      </c>
      <c r="C157" s="3">
        <v>3</v>
      </c>
      <c r="D157" s="3"/>
      <c r="E157" s="3"/>
      <c r="F157" s="3" t="s">
        <v>69</v>
      </c>
      <c r="G157" s="3" t="s">
        <v>70</v>
      </c>
      <c r="H157" s="3" t="s">
        <v>29</v>
      </c>
      <c r="I157" s="3" t="s">
        <v>30</v>
      </c>
      <c r="J157" s="3" t="s">
        <v>31</v>
      </c>
      <c r="K157" s="3" t="s">
        <v>32</v>
      </c>
      <c r="L157" s="5">
        <v>103</v>
      </c>
      <c r="M157" s="5">
        <f t="shared" ca="1" si="10"/>
        <v>62</v>
      </c>
      <c r="N157" s="6">
        <f t="shared" ca="1" si="11"/>
        <v>60.194174757281552</v>
      </c>
      <c r="O157" s="3" t="str" cm="1">
        <f t="array" ref="O157">IFERROR(LOOKUP(2, 1/((F$1:F156=F157)*(J$1:J156=J157)*(ROW(F$1:F156)&lt;ROW(F157))), N$1:N156), "")</f>
        <v/>
      </c>
      <c r="P157" s="3">
        <f t="shared" si="14"/>
        <v>0</v>
      </c>
      <c r="Q157" s="3" t="s">
        <v>33</v>
      </c>
      <c r="R157" s="3" t="s">
        <v>40</v>
      </c>
      <c r="S157" s="3" t="str">
        <f t="shared" si="12"/>
        <v>Yes</v>
      </c>
      <c r="T157" s="3" t="s">
        <v>34</v>
      </c>
      <c r="U157" s="3" t="str">
        <f t="shared" si="13"/>
        <v>Rainy</v>
      </c>
      <c r="V157" s="3" t="s">
        <v>34</v>
      </c>
      <c r="W157" s="3" cm="1">
        <f t="array" ref="W157">_xlfn.IFS(
OR(F157="Selenium (Hands-on)",F157="Guest Lecture: HR Interview"),6,
OR(F157="Soft Skill",F157="Soft Skill (Examination)",F157="AWS Training",F157="AWS Session"),7,
OR(ISNUMBER(SEARCH("MAD",F157)),ISNUMBER(SEARCH("STQA",F157)),F157="CI/CD Session"),8,
OR(ISNUMBER(SEARCH("Cloud",F157)),F157="Industry Readiness Program",ISNUMBER(SEARCH("Talenlio",F157))),9,
OR(ISNUMBER(SEARCH("Innovation",F157)),F157="Mini Project"),10,
OR(ISNUMBER(SEARCH("Data Science",F157)),ISNUMBER(SEARCH("DS",F157))),11,
ISNUMBER(SEARCH("Generative AI",F157)),12
=_xlfn.IFS(
OR(F157="Selenium (Hands-on)",F157="Guest Lecture: HR Interview"),6,
OR(F157="Soft Skill",F157="Soft Skill (Examination)",F157="AWS Training",F157="AWS Session"),7,
OR(ISNUMBER(SEARCH("MAD",F157)),ISNUMBER(SEARCH("STQA",F157)),F157="CI/CD Session"),8,
OR(ISNUMBER(SEARCH("Cloud",F157)),F157="Industry Readiness Program",ISNUMBER(SEARCH("Talenlio",F157))),9,
OR(ISNUMBER(SEARCH("Innovation",F157)),F157="Mini Project"),10,
OR(ISNUMBER(SEARCH("Data Science",F157)),ISNUMBER(SEARCH("DS",F157))),11,
ISNUMBER(SEARCH("Generative AI",F157)),12
=_xlfn.IFS(
OR(F157="Selenium (Hands-on)",F157="Guest Lecture: HR Interview"),6,
OR(F157="Soft Skill",F157="Soft Skill (Examination)",F157="AWS Training",F157="AWS Session"),7,
OR(ISNUMBER(SEARCH("MAD",F157)),ISNUMBER(SEARCH("STQA",F157)),F157="CI/CD Session"),8,
OR(ISNUMBER(SEARCH("Cloud",F157)),F157="Industry Readiness Program",ISNUMBER(SEARCH("Talenlio",F157))),9,
OR(ISNUMBER(SEARCH("Innovation",F157)),F157="Mini Project"),10,
OR(ISNUMBER(SEARCH("Data Science",F157)),ISNUMBER(SEARCH("DS",F157))),11,
ISNUMBER(SEARCH("Generative AI",F157)),12
=_xlfn.IFS(
OR(F157="Selenium (Hands-on)",F157="Guest Lecture: HR Interview"),6,
OR(F157="Soft Skill",F157="Soft Skill (Examination)",F157="AWS Training",F157="AWS Session"),7,
OR(ISNUMBER(SEARCH("MAD",F157)),ISNUMBER(SEARCH("STQA",F157)),F157="CI/CD Session"),8,
OR(ISNUMBER(SEARCH("Cloud",F157)),F157="Industry Readiness Program",ISNUMBER(SEARCH("Talenlio",F157))),9,
OR(ISNUMBER(SEARCH("Innovation",F157)),F157="Mini Project"),10,
OR(ISNUMBER(SEARCH("Data Science",F157)),ISNUMBER(SEARCH("DS",F157))),11,
ISNUMBER(SEARCH("Generative AI",F157)),12
))))</f>
        <v>6</v>
      </c>
      <c r="X157" s="3">
        <v>6</v>
      </c>
      <c r="Y157" s="3">
        <v>36</v>
      </c>
      <c r="Z157" s="3"/>
    </row>
    <row r="158" spans="1:26" x14ac:dyDescent="0.3">
      <c r="A158" s="2">
        <v>46223</v>
      </c>
      <c r="B158" s="3" t="s">
        <v>26</v>
      </c>
      <c r="C158" s="3">
        <v>1</v>
      </c>
      <c r="D158" s="4">
        <v>0.375</v>
      </c>
      <c r="E158" s="4">
        <v>0.41666666666666702</v>
      </c>
      <c r="F158" s="3" t="s">
        <v>53</v>
      </c>
      <c r="G158" s="3" t="s">
        <v>68</v>
      </c>
      <c r="H158" s="3" t="s">
        <v>29</v>
      </c>
      <c r="I158" s="3" t="s">
        <v>30</v>
      </c>
      <c r="J158" s="3" t="s">
        <v>31</v>
      </c>
      <c r="K158" s="3" t="s">
        <v>32</v>
      </c>
      <c r="L158" s="5">
        <v>103</v>
      </c>
      <c r="M158" s="5">
        <f t="shared" ca="1" si="10"/>
        <v>62</v>
      </c>
      <c r="N158" s="6">
        <f t="shared" ca="1" si="11"/>
        <v>60.194174757281552</v>
      </c>
      <c r="O158" s="3" cm="1">
        <f t="array" aca="1" ref="O158" ca="1">IFERROR(LOOKUP(2, 1/((F$1:F157=F158)*(J$1:J157=J158)*(ROW(F$1:F157)&lt;ROW(F158))), N$1:N157), "")</f>
        <v>93.203883495145632</v>
      </c>
      <c r="P158" s="3">
        <f t="shared" si="14"/>
        <v>0</v>
      </c>
      <c r="Q158" s="3" t="s">
        <v>33</v>
      </c>
      <c r="R158" s="3" t="s">
        <v>40</v>
      </c>
      <c r="S158" s="3" t="str">
        <f t="shared" si="12"/>
        <v>No</v>
      </c>
      <c r="T158" s="3" t="s">
        <v>34</v>
      </c>
      <c r="U158" s="3" t="str">
        <f t="shared" si="13"/>
        <v>Rainy</v>
      </c>
      <c r="V158" s="3" t="s">
        <v>40</v>
      </c>
      <c r="W158" s="3" cm="1">
        <f t="array" ref="W158">_xlfn.IFS(
OR(F158="Selenium (Hands-on)",F158="Guest Lecture: HR Interview"),6,
OR(F158="Soft Skill",F158="Soft Skill (Examination)",F158="AWS Training",F158="AWS Session"),7,
OR(ISNUMBER(SEARCH("MAD",F158)),ISNUMBER(SEARCH("STQA",F158)),F158="CI/CD Session"),8,
OR(ISNUMBER(SEARCH("Cloud",F158)),F158="Industry Readiness Program",ISNUMBER(SEARCH("Talenlio",F158))),9,
OR(ISNUMBER(SEARCH("Innovation",F158)),F158="Mini Project"),10,
OR(ISNUMBER(SEARCH("Data Science",F158)),ISNUMBER(SEARCH("DS",F158))),11,
ISNUMBER(SEARCH("Generative AI",F158)),12
=_xlfn.IFS(
OR(F158="Selenium (Hands-on)",F158="Guest Lecture: HR Interview"),6,
OR(F158="Soft Skill",F158="Soft Skill (Examination)",F158="AWS Training",F158="AWS Session"),7,
OR(ISNUMBER(SEARCH("MAD",F158)),ISNUMBER(SEARCH("STQA",F158)),F158="CI/CD Session"),8,
OR(ISNUMBER(SEARCH("Cloud",F158)),F158="Industry Readiness Program",ISNUMBER(SEARCH("Talenlio",F158))),9,
OR(ISNUMBER(SEARCH("Innovation",F158)),F158="Mini Project"),10,
OR(ISNUMBER(SEARCH("Data Science",F158)),ISNUMBER(SEARCH("DS",F158))),11,
ISNUMBER(SEARCH("Generative AI",F158)),12
=_xlfn.IFS(
OR(F158="Selenium (Hands-on)",F158="Guest Lecture: HR Interview"),6,
OR(F158="Soft Skill",F158="Soft Skill (Examination)",F158="AWS Training",F158="AWS Session"),7,
OR(ISNUMBER(SEARCH("MAD",F158)),ISNUMBER(SEARCH("STQA",F158)),F158="CI/CD Session"),8,
OR(ISNUMBER(SEARCH("Cloud",F158)),F158="Industry Readiness Program",ISNUMBER(SEARCH("Talenlio",F158))),9,
OR(ISNUMBER(SEARCH("Innovation",F158)),F158="Mini Project"),10,
OR(ISNUMBER(SEARCH("Data Science",F158)),ISNUMBER(SEARCH("DS",F158))),11,
ISNUMBER(SEARCH("Generative AI",F158)),12
=_xlfn.IFS(
OR(F158="Selenium (Hands-on)",F158="Guest Lecture: HR Interview"),6,
OR(F158="Soft Skill",F158="Soft Skill (Examination)",F158="AWS Training",F158="AWS Session"),7,
OR(ISNUMBER(SEARCH("MAD",F158)),ISNUMBER(SEARCH("STQA",F158)),F158="CI/CD Session"),8,
OR(ISNUMBER(SEARCH("Cloud",F158)),F158="Industry Readiness Program",ISNUMBER(SEARCH("Talenlio",F158))),9,
OR(ISNUMBER(SEARCH("Innovation",F158)),F158="Mini Project"),10,
OR(ISNUMBER(SEARCH("Data Science",F158)),ISNUMBER(SEARCH("DS",F158))),11,
ISNUMBER(SEARCH("Generative AI",F158)),12
))))</f>
        <v>10</v>
      </c>
      <c r="X158" s="3">
        <v>6</v>
      </c>
      <c r="Y158" s="3">
        <v>36</v>
      </c>
      <c r="Z158" s="3" t="s">
        <v>35</v>
      </c>
    </row>
    <row r="159" spans="1:26" x14ac:dyDescent="0.3">
      <c r="A159" s="2">
        <v>46223</v>
      </c>
      <c r="B159" s="3" t="s">
        <v>26</v>
      </c>
      <c r="C159" s="3">
        <v>2</v>
      </c>
      <c r="D159" s="4">
        <v>0.41666666666666702</v>
      </c>
      <c r="E159" s="4">
        <v>0.45833333333333298</v>
      </c>
      <c r="F159" s="3" t="s">
        <v>53</v>
      </c>
      <c r="G159" s="3" t="s">
        <v>68</v>
      </c>
      <c r="H159" s="3" t="s">
        <v>29</v>
      </c>
      <c r="I159" s="3" t="s">
        <v>30</v>
      </c>
      <c r="J159" s="3" t="s">
        <v>31</v>
      </c>
      <c r="K159" s="3" t="s">
        <v>32</v>
      </c>
      <c r="L159" s="5">
        <v>103</v>
      </c>
      <c r="M159" s="5">
        <f t="shared" ca="1" si="10"/>
        <v>64</v>
      </c>
      <c r="N159" s="6">
        <f t="shared" ca="1" si="11"/>
        <v>62.135922330097081</v>
      </c>
      <c r="O159" s="3" cm="1">
        <f t="array" aca="1" ref="O159" ca="1">IFERROR(LOOKUP(2, 1/((F$1:F158=F159)*(J$1:J158=J159)*(ROW(F$1:F158)&lt;ROW(F159))), N$1:N158), "")</f>
        <v>60.194174757281552</v>
      </c>
      <c r="P159" s="3">
        <f t="shared" si="14"/>
        <v>0</v>
      </c>
      <c r="Q159" s="3" t="s">
        <v>33</v>
      </c>
      <c r="R159" s="3" t="s">
        <v>40</v>
      </c>
      <c r="S159" s="3" t="str">
        <f t="shared" si="12"/>
        <v>No</v>
      </c>
      <c r="T159" s="3" t="s">
        <v>34</v>
      </c>
      <c r="U159" s="3" t="str">
        <f t="shared" si="13"/>
        <v>Rainy</v>
      </c>
      <c r="V159" s="3" t="s">
        <v>40</v>
      </c>
      <c r="W159" s="3" cm="1">
        <f t="array" ref="W159">_xlfn.IFS(
OR(F159="Selenium (Hands-on)",F159="Guest Lecture: HR Interview"),6,
OR(F159="Soft Skill",F159="Soft Skill (Examination)",F159="AWS Training",F159="AWS Session"),7,
OR(ISNUMBER(SEARCH("MAD",F159)),ISNUMBER(SEARCH("STQA",F159)),F159="CI/CD Session"),8,
OR(ISNUMBER(SEARCH("Cloud",F159)),F159="Industry Readiness Program",ISNUMBER(SEARCH("Talenlio",F159))),9,
OR(ISNUMBER(SEARCH("Innovation",F159)),F159="Mini Project"),10,
OR(ISNUMBER(SEARCH("Data Science",F159)),ISNUMBER(SEARCH("DS",F159))),11,
ISNUMBER(SEARCH("Generative AI",F159)),12
=_xlfn.IFS(
OR(F159="Selenium (Hands-on)",F159="Guest Lecture: HR Interview"),6,
OR(F159="Soft Skill",F159="Soft Skill (Examination)",F159="AWS Training",F159="AWS Session"),7,
OR(ISNUMBER(SEARCH("MAD",F159)),ISNUMBER(SEARCH("STQA",F159)),F159="CI/CD Session"),8,
OR(ISNUMBER(SEARCH("Cloud",F159)),F159="Industry Readiness Program",ISNUMBER(SEARCH("Talenlio",F159))),9,
OR(ISNUMBER(SEARCH("Innovation",F159)),F159="Mini Project"),10,
OR(ISNUMBER(SEARCH("Data Science",F159)),ISNUMBER(SEARCH("DS",F159))),11,
ISNUMBER(SEARCH("Generative AI",F159)),12
=_xlfn.IFS(
OR(F159="Selenium (Hands-on)",F159="Guest Lecture: HR Interview"),6,
OR(F159="Soft Skill",F159="Soft Skill (Examination)",F159="AWS Training",F159="AWS Session"),7,
OR(ISNUMBER(SEARCH("MAD",F159)),ISNUMBER(SEARCH("STQA",F159)),F159="CI/CD Session"),8,
OR(ISNUMBER(SEARCH("Cloud",F159)),F159="Industry Readiness Program",ISNUMBER(SEARCH("Talenlio",F159))),9,
OR(ISNUMBER(SEARCH("Innovation",F159)),F159="Mini Project"),10,
OR(ISNUMBER(SEARCH("Data Science",F159)),ISNUMBER(SEARCH("DS",F159))),11,
ISNUMBER(SEARCH("Generative AI",F159)),12
=_xlfn.IFS(
OR(F159="Selenium (Hands-on)",F159="Guest Lecture: HR Interview"),6,
OR(F159="Soft Skill",F159="Soft Skill (Examination)",F159="AWS Training",F159="AWS Session"),7,
OR(ISNUMBER(SEARCH("MAD",F159)),ISNUMBER(SEARCH("STQA",F159)),F159="CI/CD Session"),8,
OR(ISNUMBER(SEARCH("Cloud",F159)),F159="Industry Readiness Program",ISNUMBER(SEARCH("Talenlio",F159))),9,
OR(ISNUMBER(SEARCH("Innovation",F159)),F159="Mini Project"),10,
OR(ISNUMBER(SEARCH("Data Science",F159)),ISNUMBER(SEARCH("DS",F159))),11,
ISNUMBER(SEARCH("Generative AI",F159)),12
))))</f>
        <v>10</v>
      </c>
      <c r="X159" s="3">
        <v>6</v>
      </c>
      <c r="Y159" s="3">
        <v>36</v>
      </c>
      <c r="Z159" s="3" t="s">
        <v>35</v>
      </c>
    </row>
    <row r="160" spans="1:26" x14ac:dyDescent="0.3">
      <c r="A160" s="2">
        <v>46225</v>
      </c>
      <c r="B160" s="3" t="s">
        <v>44</v>
      </c>
      <c r="C160" s="3">
        <v>1</v>
      </c>
      <c r="D160" s="4">
        <v>0.35416666666666702</v>
      </c>
      <c r="E160" s="4">
        <v>0.38541666666666702</v>
      </c>
      <c r="F160" s="3" t="s">
        <v>50</v>
      </c>
      <c r="G160" s="3" t="s">
        <v>51</v>
      </c>
      <c r="H160" s="3" t="s">
        <v>29</v>
      </c>
      <c r="I160" s="3" t="s">
        <v>30</v>
      </c>
      <c r="J160" s="3" t="s">
        <v>31</v>
      </c>
      <c r="K160" s="3" t="s">
        <v>52</v>
      </c>
      <c r="L160" s="5">
        <v>103</v>
      </c>
      <c r="M160" s="5">
        <f t="shared" ca="1" si="10"/>
        <v>82</v>
      </c>
      <c r="N160" s="6">
        <f t="shared" ca="1" si="11"/>
        <v>79.611650485436897</v>
      </c>
      <c r="O160" s="3" cm="1">
        <f t="array" aca="1" ref="O160" ca="1">IFERROR(LOOKUP(2, 1/((F$1:F159=F160)*(J$1:J159=J160)*(ROW(F$1:F159)&lt;ROW(F160))), N$1:N159), "")</f>
        <v>87.378640776699029</v>
      </c>
      <c r="P160" s="3">
        <f t="shared" si="14"/>
        <v>0</v>
      </c>
      <c r="Q160" s="3" t="s">
        <v>43</v>
      </c>
      <c r="R160" s="3" t="s">
        <v>40</v>
      </c>
      <c r="S160" s="3" t="str">
        <f t="shared" si="12"/>
        <v>No</v>
      </c>
      <c r="T160" s="3" t="s">
        <v>40</v>
      </c>
      <c r="U160" s="3" t="str">
        <f t="shared" si="13"/>
        <v>Rainy</v>
      </c>
      <c r="V160" s="3" t="s">
        <v>40</v>
      </c>
      <c r="W160" s="3" cm="1">
        <f t="array" ref="W160">_xlfn.IFS(
OR(F160="Selenium (Hands-on)",F160="Guest Lecture: HR Interview"),6,
OR(F160="Soft Skill",F160="Soft Skill (Examination)",F160="AWS Training",F160="AWS Session"),7,
OR(ISNUMBER(SEARCH("MAD",F160)),ISNUMBER(SEARCH("STQA",F160)),F160="CI/CD Session"),8,
OR(ISNUMBER(SEARCH("Cloud",F160)),F160="Industry Readiness Program",ISNUMBER(SEARCH("Talenlio",F160))),9,
OR(ISNUMBER(SEARCH("Innovation",F160)),F160="Mini Project"),10,
OR(ISNUMBER(SEARCH("Data Science",F160)),ISNUMBER(SEARCH("DS",F160))),11,
ISNUMBER(SEARCH("Generative AI",F160)),12
=_xlfn.IFS(
OR(F160="Selenium (Hands-on)",F160="Guest Lecture: HR Interview"),6,
OR(F160="Soft Skill",F160="Soft Skill (Examination)",F160="AWS Training",F160="AWS Session"),7,
OR(ISNUMBER(SEARCH("MAD",F160)),ISNUMBER(SEARCH("STQA",F160)),F160="CI/CD Session"),8,
OR(ISNUMBER(SEARCH("Cloud",F160)),F160="Industry Readiness Program",ISNUMBER(SEARCH("Talenlio",F160))),9,
OR(ISNUMBER(SEARCH("Innovation",F160)),F160="Mini Project"),10,
OR(ISNUMBER(SEARCH("Data Science",F160)),ISNUMBER(SEARCH("DS",F160))),11,
ISNUMBER(SEARCH("Generative AI",F160)),12
=_xlfn.IFS(
OR(F160="Selenium (Hands-on)",F160="Guest Lecture: HR Interview"),6,
OR(F160="Soft Skill",F160="Soft Skill (Examination)",F160="AWS Training",F160="AWS Session"),7,
OR(ISNUMBER(SEARCH("MAD",F160)),ISNUMBER(SEARCH("STQA",F160)),F160="CI/CD Session"),8,
OR(ISNUMBER(SEARCH("Cloud",F160)),F160="Industry Readiness Program",ISNUMBER(SEARCH("Talenlio",F160))),9,
OR(ISNUMBER(SEARCH("Innovation",F160)),F160="Mini Project"),10,
OR(ISNUMBER(SEARCH("Data Science",F160)),ISNUMBER(SEARCH("DS",F160))),11,
ISNUMBER(SEARCH("Generative AI",F160)),12
=_xlfn.IFS(
OR(F160="Selenium (Hands-on)",F160="Guest Lecture: HR Interview"),6,
OR(F160="Soft Skill",F160="Soft Skill (Examination)",F160="AWS Training",F160="AWS Session"),7,
OR(ISNUMBER(SEARCH("MAD",F160)),ISNUMBER(SEARCH("STQA",F160)),F160="CI/CD Session"),8,
OR(ISNUMBER(SEARCH("Cloud",F160)),F160="Industry Readiness Program",ISNUMBER(SEARCH("Talenlio",F160))),9,
OR(ISNUMBER(SEARCH("Innovation",F160)),F160="Mini Project"),10,
OR(ISNUMBER(SEARCH("Data Science",F160)),ISNUMBER(SEARCH("DS",F160))),11,
ISNUMBER(SEARCH("Generative AI",F160)),12
))))</f>
        <v>8</v>
      </c>
      <c r="X160" s="3">
        <v>6</v>
      </c>
      <c r="Y160" s="3">
        <v>38</v>
      </c>
      <c r="Z160" s="3" t="s">
        <v>35</v>
      </c>
    </row>
    <row r="161" spans="1:26" x14ac:dyDescent="0.3">
      <c r="A161" s="2">
        <v>46225</v>
      </c>
      <c r="B161" s="3" t="s">
        <v>44</v>
      </c>
      <c r="C161" s="3">
        <v>2</v>
      </c>
      <c r="D161" s="4">
        <v>0.38541666666666702</v>
      </c>
      <c r="E161" s="4">
        <v>0.42708333333333298</v>
      </c>
      <c r="F161" s="3" t="s">
        <v>50</v>
      </c>
      <c r="G161" s="3" t="s">
        <v>51</v>
      </c>
      <c r="H161" s="3" t="s">
        <v>29</v>
      </c>
      <c r="I161" s="3" t="s">
        <v>30</v>
      </c>
      <c r="J161" s="3" t="s">
        <v>31</v>
      </c>
      <c r="K161" s="3" t="s">
        <v>52</v>
      </c>
      <c r="L161" s="5">
        <v>103</v>
      </c>
      <c r="M161" s="5">
        <f t="shared" ca="1" si="10"/>
        <v>90</v>
      </c>
      <c r="N161" s="6">
        <f t="shared" ca="1" si="11"/>
        <v>87.378640776699029</v>
      </c>
      <c r="O161" s="3" cm="1">
        <f t="array" aca="1" ref="O161" ca="1">IFERROR(LOOKUP(2, 1/((F$1:F160=F161)*(J$1:J160=J161)*(ROW(F$1:F160)&lt;ROW(F161))), N$1:N160), "")</f>
        <v>79.611650485436897</v>
      </c>
      <c r="P161" s="3">
        <f t="shared" si="14"/>
        <v>0</v>
      </c>
      <c r="Q161" s="3" t="s">
        <v>43</v>
      </c>
      <c r="R161" s="3" t="s">
        <v>40</v>
      </c>
      <c r="S161" s="3" t="str">
        <f t="shared" si="12"/>
        <v>No</v>
      </c>
      <c r="T161" s="3" t="s">
        <v>40</v>
      </c>
      <c r="U161" s="3" t="str">
        <f t="shared" si="13"/>
        <v>Rainy</v>
      </c>
      <c r="V161" s="3" t="s">
        <v>40</v>
      </c>
      <c r="W161" s="3" cm="1">
        <f t="array" ref="W161">_xlfn.IFS(
OR(F161="Selenium (Hands-on)",F161="Guest Lecture: HR Interview"),6,
OR(F161="Soft Skill",F161="Soft Skill (Examination)",F161="AWS Training",F161="AWS Session"),7,
OR(ISNUMBER(SEARCH("MAD",F161)),ISNUMBER(SEARCH("STQA",F161)),F161="CI/CD Session"),8,
OR(ISNUMBER(SEARCH("Cloud",F161)),F161="Industry Readiness Program",ISNUMBER(SEARCH("Talenlio",F161))),9,
OR(ISNUMBER(SEARCH("Innovation",F161)),F161="Mini Project"),10,
OR(ISNUMBER(SEARCH("Data Science",F161)),ISNUMBER(SEARCH("DS",F161))),11,
ISNUMBER(SEARCH("Generative AI",F161)),12
=_xlfn.IFS(
OR(F161="Selenium (Hands-on)",F161="Guest Lecture: HR Interview"),6,
OR(F161="Soft Skill",F161="Soft Skill (Examination)",F161="AWS Training",F161="AWS Session"),7,
OR(ISNUMBER(SEARCH("MAD",F161)),ISNUMBER(SEARCH("STQA",F161)),F161="CI/CD Session"),8,
OR(ISNUMBER(SEARCH("Cloud",F161)),F161="Industry Readiness Program",ISNUMBER(SEARCH("Talenlio",F161))),9,
OR(ISNUMBER(SEARCH("Innovation",F161)),F161="Mini Project"),10,
OR(ISNUMBER(SEARCH("Data Science",F161)),ISNUMBER(SEARCH("DS",F161))),11,
ISNUMBER(SEARCH("Generative AI",F161)),12
=_xlfn.IFS(
OR(F161="Selenium (Hands-on)",F161="Guest Lecture: HR Interview"),6,
OR(F161="Soft Skill",F161="Soft Skill (Examination)",F161="AWS Training",F161="AWS Session"),7,
OR(ISNUMBER(SEARCH("MAD",F161)),ISNUMBER(SEARCH("STQA",F161)),F161="CI/CD Session"),8,
OR(ISNUMBER(SEARCH("Cloud",F161)),F161="Industry Readiness Program",ISNUMBER(SEARCH("Talenlio",F161))),9,
OR(ISNUMBER(SEARCH("Innovation",F161)),F161="Mini Project"),10,
OR(ISNUMBER(SEARCH("Data Science",F161)),ISNUMBER(SEARCH("DS",F161))),11,
ISNUMBER(SEARCH("Generative AI",F161)),12
=_xlfn.IFS(
OR(F161="Selenium (Hands-on)",F161="Guest Lecture: HR Interview"),6,
OR(F161="Soft Skill",F161="Soft Skill (Examination)",F161="AWS Training",F161="AWS Session"),7,
OR(ISNUMBER(SEARCH("MAD",F161)),ISNUMBER(SEARCH("STQA",F161)),F161="CI/CD Session"),8,
OR(ISNUMBER(SEARCH("Cloud",F161)),F161="Industry Readiness Program",ISNUMBER(SEARCH("Talenlio",F161))),9,
OR(ISNUMBER(SEARCH("Innovation",F161)),F161="Mini Project"),10,
OR(ISNUMBER(SEARCH("Data Science",F161)),ISNUMBER(SEARCH("DS",F161))),11,
ISNUMBER(SEARCH("Generative AI",F161)),12
))))</f>
        <v>8</v>
      </c>
      <c r="X161" s="3">
        <v>6</v>
      </c>
      <c r="Y161" s="3">
        <v>38</v>
      </c>
      <c r="Z161" s="3" t="s">
        <v>35</v>
      </c>
    </row>
    <row r="162" spans="1:26" x14ac:dyDescent="0.3">
      <c r="A162" s="2">
        <v>46225</v>
      </c>
      <c r="B162" s="3" t="s">
        <v>44</v>
      </c>
      <c r="C162" s="3">
        <v>3</v>
      </c>
      <c r="D162" s="4">
        <v>0.42708333333333298</v>
      </c>
      <c r="E162" s="4">
        <v>0.46875</v>
      </c>
      <c r="F162" s="3" t="s">
        <v>62</v>
      </c>
      <c r="G162" s="3" t="s">
        <v>56</v>
      </c>
      <c r="H162" s="3" t="s">
        <v>29</v>
      </c>
      <c r="I162" s="3" t="s">
        <v>30</v>
      </c>
      <c r="J162" s="3" t="s">
        <v>31</v>
      </c>
      <c r="K162" s="3" t="s">
        <v>52</v>
      </c>
      <c r="L162" s="5">
        <v>103</v>
      </c>
      <c r="M162" s="5">
        <f t="shared" ca="1" si="10"/>
        <v>93</v>
      </c>
      <c r="N162" s="6">
        <f t="shared" ca="1" si="11"/>
        <v>90.291262135922338</v>
      </c>
      <c r="O162" s="3" cm="1">
        <f t="array" aca="1" ref="O162" ca="1">IFERROR(LOOKUP(2, 1/((F$1:F161=F162)*(J$1:J161=J162)*(ROW(F$1:F161)&lt;ROW(F162))), N$1:N161), "")</f>
        <v>51.456310679611647</v>
      </c>
      <c r="P162" s="3">
        <f t="shared" si="14"/>
        <v>0</v>
      </c>
      <c r="Q162" s="3" t="s">
        <v>33</v>
      </c>
      <c r="R162" s="3" t="s">
        <v>40</v>
      </c>
      <c r="S162" s="3" t="str">
        <f t="shared" si="12"/>
        <v>No</v>
      </c>
      <c r="T162" s="3" t="s">
        <v>40</v>
      </c>
      <c r="U162" s="3" t="str">
        <f t="shared" si="13"/>
        <v>Rainy</v>
      </c>
      <c r="V162" s="3" t="s">
        <v>40</v>
      </c>
      <c r="W162" s="3">
        <v>7</v>
      </c>
      <c r="X162" s="3">
        <v>6</v>
      </c>
      <c r="Y162" s="3">
        <v>38</v>
      </c>
      <c r="Z162" s="3" t="s">
        <v>35</v>
      </c>
    </row>
    <row r="163" spans="1:26" x14ac:dyDescent="0.3">
      <c r="A163" s="2">
        <v>46225</v>
      </c>
      <c r="B163" s="3" t="s">
        <v>44</v>
      </c>
      <c r="C163" s="3">
        <v>4</v>
      </c>
      <c r="D163" s="4">
        <v>0.46875</v>
      </c>
      <c r="E163" s="4">
        <v>0.51041666666666696</v>
      </c>
      <c r="F163" s="3" t="s">
        <v>57</v>
      </c>
      <c r="G163" s="3" t="s">
        <v>71</v>
      </c>
      <c r="H163" s="3" t="s">
        <v>29</v>
      </c>
      <c r="I163" s="3" t="s">
        <v>30</v>
      </c>
      <c r="J163" s="3" t="s">
        <v>31</v>
      </c>
      <c r="K163" s="3" t="s">
        <v>52</v>
      </c>
      <c r="L163" s="5">
        <v>103</v>
      </c>
      <c r="M163" s="5">
        <f t="shared" ca="1" si="10"/>
        <v>81</v>
      </c>
      <c r="N163" s="6">
        <f t="shared" ca="1" si="11"/>
        <v>78.640776699029118</v>
      </c>
      <c r="O163" s="3" cm="1">
        <f t="array" aca="1" ref="O163" ca="1">IFERROR(LOOKUP(2, 1/((F$1:F162=F163)*(J$1:J162=J163)*(ROW(F$1:F162)&lt;ROW(F163))), N$1:N162), "")</f>
        <v>77.669902912621353</v>
      </c>
      <c r="P163" s="3">
        <f t="shared" si="14"/>
        <v>0</v>
      </c>
      <c r="Q163" s="3" t="s">
        <v>33</v>
      </c>
      <c r="R163" s="3" t="s">
        <v>40</v>
      </c>
      <c r="S163" s="3" t="str">
        <f t="shared" si="12"/>
        <v>No</v>
      </c>
      <c r="T163" s="3" t="s">
        <v>40</v>
      </c>
      <c r="U163" s="3" t="str">
        <f t="shared" si="13"/>
        <v>Rainy</v>
      </c>
      <c r="V163" s="3" t="s">
        <v>40</v>
      </c>
      <c r="W163" s="3" cm="1">
        <f t="array" ref="W163">_xlfn.IFS(
OR(F163="Selenium (Hands-on)",F163="Guest Lecture: HR Interview"),6,
OR(F163="Soft Skill",F163="Soft Skill (Examination)",F163="AWS Training",F163="AWS Session"),7,
OR(ISNUMBER(SEARCH("MAD",F163)),ISNUMBER(SEARCH("STQA",F163)),F163="CI/CD Session"),8,
OR(ISNUMBER(SEARCH("Cloud",F163)),F163="Industry Readiness Program",ISNUMBER(SEARCH("Talenlio",F163))),9,
OR(ISNUMBER(SEARCH("Innovation",F163)),F163="Mini Project"),10,
OR(ISNUMBER(SEARCH("Data Science",F163)),ISNUMBER(SEARCH("DS",F163))),11,
ISNUMBER(SEARCH("Generative AI",F163)),12
=_xlfn.IFS(
OR(F163="Selenium (Hands-on)",F163="Guest Lecture: HR Interview"),6,
OR(F163="Soft Skill",F163="Soft Skill (Examination)",F163="AWS Training",F163="AWS Session"),7,
OR(ISNUMBER(SEARCH("MAD",F163)),ISNUMBER(SEARCH("STQA",F163)),F163="CI/CD Session"),8,
OR(ISNUMBER(SEARCH("Cloud",F163)),F163="Industry Readiness Program",ISNUMBER(SEARCH("Talenlio",F163))),9,
OR(ISNUMBER(SEARCH("Innovation",F163)),F163="Mini Project"),10,
OR(ISNUMBER(SEARCH("Data Science",F163)),ISNUMBER(SEARCH("DS",F163))),11,
ISNUMBER(SEARCH("Generative AI",F163)),12
=_xlfn.IFS(
OR(F163="Selenium (Hands-on)",F163="Guest Lecture: HR Interview"),6,
OR(F163="Soft Skill",F163="Soft Skill (Examination)",F163="AWS Training",F163="AWS Session"),7,
OR(ISNUMBER(SEARCH("MAD",F163)),ISNUMBER(SEARCH("STQA",F163)),F163="CI/CD Session"),8,
OR(ISNUMBER(SEARCH("Cloud",F163)),F163="Industry Readiness Program",ISNUMBER(SEARCH("Talenlio",F163))),9,
OR(ISNUMBER(SEARCH("Innovation",F163)),F163="Mini Project"),10,
OR(ISNUMBER(SEARCH("Data Science",F163)),ISNUMBER(SEARCH("DS",F163))),11,
ISNUMBER(SEARCH("Generative AI",F163)),12
=_xlfn.IFS(
OR(F163="Selenium (Hands-on)",F163="Guest Lecture: HR Interview"),6,
OR(F163="Soft Skill",F163="Soft Skill (Examination)",F163="AWS Training",F163="AWS Session"),7,
OR(ISNUMBER(SEARCH("MAD",F163)),ISNUMBER(SEARCH("STQA",F163)),F163="CI/CD Session"),8,
OR(ISNUMBER(SEARCH("Cloud",F163)),F163="Industry Readiness Program",ISNUMBER(SEARCH("Talenlio",F163))),9,
OR(ISNUMBER(SEARCH("Innovation",F163)),F163="Mini Project"),10,
OR(ISNUMBER(SEARCH("Data Science",F163)),ISNUMBER(SEARCH("DS",F163))),11,
ISNUMBER(SEARCH("Generative AI",F163)),12
))))</f>
        <v>9</v>
      </c>
      <c r="X163" s="3">
        <v>6</v>
      </c>
      <c r="Y163" s="3">
        <v>38</v>
      </c>
      <c r="Z163" s="3" t="s">
        <v>35</v>
      </c>
    </row>
    <row r="164" spans="1:26" x14ac:dyDescent="0.3">
      <c r="A164" s="2">
        <v>46225</v>
      </c>
      <c r="B164" s="3" t="s">
        <v>44</v>
      </c>
      <c r="C164" s="3">
        <v>5</v>
      </c>
      <c r="D164" s="4">
        <v>0.5625</v>
      </c>
      <c r="E164" s="4">
        <v>0.60416666666666696</v>
      </c>
      <c r="F164" s="3" t="s">
        <v>53</v>
      </c>
      <c r="G164" s="3" t="s">
        <v>54</v>
      </c>
      <c r="H164" s="3" t="s">
        <v>29</v>
      </c>
      <c r="I164" s="3" t="s">
        <v>30</v>
      </c>
      <c r="J164" s="3" t="s">
        <v>31</v>
      </c>
      <c r="K164" s="3" t="s">
        <v>52</v>
      </c>
      <c r="L164" s="5">
        <v>103</v>
      </c>
      <c r="M164" s="5">
        <f t="shared" ca="1" si="10"/>
        <v>64</v>
      </c>
      <c r="N164" s="6">
        <f t="shared" ca="1" si="11"/>
        <v>62.135922330097081</v>
      </c>
      <c r="O164" s="3" cm="1">
        <f t="array" aca="1" ref="O164" ca="1">IFERROR(LOOKUP(2, 1/((F$1:F163=F164)*(J$1:J163=J164)*(ROW(F$1:F163)&lt;ROW(F164))), N$1:N163), "")</f>
        <v>62.135922330097081</v>
      </c>
      <c r="P164" s="3">
        <f t="shared" si="14"/>
        <v>1.25</v>
      </c>
      <c r="Q164" s="3" t="s">
        <v>33</v>
      </c>
      <c r="R164" s="3" t="s">
        <v>40</v>
      </c>
      <c r="S164" s="3" t="str">
        <f t="shared" si="12"/>
        <v>No</v>
      </c>
      <c r="T164" s="3" t="s">
        <v>40</v>
      </c>
      <c r="U164" s="3" t="str">
        <f t="shared" si="13"/>
        <v>Rainy</v>
      </c>
      <c r="V164" s="3" t="s">
        <v>40</v>
      </c>
      <c r="W164" s="3" cm="1">
        <f t="array" ref="W164">_xlfn.IFS(
OR(F164="Selenium (Hands-on)",F164="Guest Lecture: HR Interview"),6,
OR(F164="Soft Skill",F164="Soft Skill (Examination)",F164="AWS Training",F164="AWS Session"),7,
OR(ISNUMBER(SEARCH("MAD",F164)),ISNUMBER(SEARCH("STQA",F164)),F164="CI/CD Session"),8,
OR(ISNUMBER(SEARCH("Cloud",F164)),F164="Industry Readiness Program",ISNUMBER(SEARCH("Talenlio",F164))),9,
OR(ISNUMBER(SEARCH("Innovation",F164)),F164="Mini Project"),10,
OR(ISNUMBER(SEARCH("Data Science",F164)),ISNUMBER(SEARCH("DS",F164))),11,
ISNUMBER(SEARCH("Generative AI",F164)),12
=_xlfn.IFS(
OR(F164="Selenium (Hands-on)",F164="Guest Lecture: HR Interview"),6,
OR(F164="Soft Skill",F164="Soft Skill (Examination)",F164="AWS Training",F164="AWS Session"),7,
OR(ISNUMBER(SEARCH("MAD",F164)),ISNUMBER(SEARCH("STQA",F164)),F164="CI/CD Session"),8,
OR(ISNUMBER(SEARCH("Cloud",F164)),F164="Industry Readiness Program",ISNUMBER(SEARCH("Talenlio",F164))),9,
OR(ISNUMBER(SEARCH("Innovation",F164)),F164="Mini Project"),10,
OR(ISNUMBER(SEARCH("Data Science",F164)),ISNUMBER(SEARCH("DS",F164))),11,
ISNUMBER(SEARCH("Generative AI",F164)),12
=_xlfn.IFS(
OR(F164="Selenium (Hands-on)",F164="Guest Lecture: HR Interview"),6,
OR(F164="Soft Skill",F164="Soft Skill (Examination)",F164="AWS Training",F164="AWS Session"),7,
OR(ISNUMBER(SEARCH("MAD",F164)),ISNUMBER(SEARCH("STQA",F164)),F164="CI/CD Session"),8,
OR(ISNUMBER(SEARCH("Cloud",F164)),F164="Industry Readiness Program",ISNUMBER(SEARCH("Talenlio",F164))),9,
OR(ISNUMBER(SEARCH("Innovation",F164)),F164="Mini Project"),10,
OR(ISNUMBER(SEARCH("Data Science",F164)),ISNUMBER(SEARCH("DS",F164))),11,
ISNUMBER(SEARCH("Generative AI",F164)),12
=_xlfn.IFS(
OR(F164="Selenium (Hands-on)",F164="Guest Lecture: HR Interview"),6,
OR(F164="Soft Skill",F164="Soft Skill (Examination)",F164="AWS Training",F164="AWS Session"),7,
OR(ISNUMBER(SEARCH("MAD",F164)),ISNUMBER(SEARCH("STQA",F164)),F164="CI/CD Session"),8,
OR(ISNUMBER(SEARCH("Cloud",F164)),F164="Industry Readiness Program",ISNUMBER(SEARCH("Talenlio",F164))),9,
OR(ISNUMBER(SEARCH("Innovation",F164)),F164="Mini Project"),10,
OR(ISNUMBER(SEARCH("Data Science",F164)),ISNUMBER(SEARCH("DS",F164))),11,
ISNUMBER(SEARCH("Generative AI",F164)),12
))))</f>
        <v>10</v>
      </c>
      <c r="X164" s="3">
        <v>6</v>
      </c>
      <c r="Y164" s="3">
        <v>38</v>
      </c>
      <c r="Z164" s="3" t="s">
        <v>38</v>
      </c>
    </row>
    <row r="165" spans="1:26" x14ac:dyDescent="0.3">
      <c r="A165" s="2">
        <v>46225</v>
      </c>
      <c r="B165" s="3" t="s">
        <v>44</v>
      </c>
      <c r="C165" s="3">
        <v>6</v>
      </c>
      <c r="D165" s="4">
        <v>0.60416666666666696</v>
      </c>
      <c r="E165" s="4">
        <v>0.64583333333333304</v>
      </c>
      <c r="F165" s="3" t="s">
        <v>53</v>
      </c>
      <c r="G165" s="3" t="s">
        <v>54</v>
      </c>
      <c r="H165" s="3" t="s">
        <v>29</v>
      </c>
      <c r="I165" s="3" t="s">
        <v>30</v>
      </c>
      <c r="J165" s="3" t="s">
        <v>31</v>
      </c>
      <c r="K165" s="3" t="s">
        <v>52</v>
      </c>
      <c r="L165" s="5">
        <v>103</v>
      </c>
      <c r="M165" s="5">
        <f t="shared" ca="1" si="10"/>
        <v>47</v>
      </c>
      <c r="N165" s="6">
        <f t="shared" ca="1" si="11"/>
        <v>45.631067961165051</v>
      </c>
      <c r="O165" s="3" cm="1">
        <f t="array" aca="1" ref="O165" ca="1">IFERROR(LOOKUP(2, 1/((F$1:F164=F165)*(J$1:J164=J165)*(ROW(F$1:F164)&lt;ROW(F165))), N$1:N164), "")</f>
        <v>62.135922330097081</v>
      </c>
      <c r="P165" s="3">
        <f t="shared" si="14"/>
        <v>0</v>
      </c>
      <c r="Q165" s="3" t="s">
        <v>33</v>
      </c>
      <c r="R165" s="3" t="s">
        <v>40</v>
      </c>
      <c r="S165" s="3" t="str">
        <f t="shared" si="12"/>
        <v>No</v>
      </c>
      <c r="T165" s="3" t="s">
        <v>40</v>
      </c>
      <c r="U165" s="3" t="str">
        <f t="shared" si="13"/>
        <v>Rainy</v>
      </c>
      <c r="V165" s="3" t="s">
        <v>40</v>
      </c>
      <c r="W165" s="3" cm="1">
        <f t="array" ref="W165">_xlfn.IFS(
OR(F165="Selenium (Hands-on)",F165="Guest Lecture: HR Interview"),6,
OR(F165="Soft Skill",F165="Soft Skill (Examination)",F165="AWS Training",F165="AWS Session"),7,
OR(ISNUMBER(SEARCH("MAD",F165)),ISNUMBER(SEARCH("STQA",F165)),F165="CI/CD Session"),8,
OR(ISNUMBER(SEARCH("Cloud",F165)),F165="Industry Readiness Program",ISNUMBER(SEARCH("Talenlio",F165))),9,
OR(ISNUMBER(SEARCH("Innovation",F165)),F165="Mini Project"),10,
OR(ISNUMBER(SEARCH("Data Science",F165)),ISNUMBER(SEARCH("DS",F165))),11,
ISNUMBER(SEARCH("Generative AI",F165)),12
=_xlfn.IFS(
OR(F165="Selenium (Hands-on)",F165="Guest Lecture: HR Interview"),6,
OR(F165="Soft Skill",F165="Soft Skill (Examination)",F165="AWS Training",F165="AWS Session"),7,
OR(ISNUMBER(SEARCH("MAD",F165)),ISNUMBER(SEARCH("STQA",F165)),F165="CI/CD Session"),8,
OR(ISNUMBER(SEARCH("Cloud",F165)),F165="Industry Readiness Program",ISNUMBER(SEARCH("Talenlio",F165))),9,
OR(ISNUMBER(SEARCH("Innovation",F165)),F165="Mini Project"),10,
OR(ISNUMBER(SEARCH("Data Science",F165)),ISNUMBER(SEARCH("DS",F165))),11,
ISNUMBER(SEARCH("Generative AI",F165)),12
=_xlfn.IFS(
OR(F165="Selenium (Hands-on)",F165="Guest Lecture: HR Interview"),6,
OR(F165="Soft Skill",F165="Soft Skill (Examination)",F165="AWS Training",F165="AWS Session"),7,
OR(ISNUMBER(SEARCH("MAD",F165)),ISNUMBER(SEARCH("STQA",F165)),F165="CI/CD Session"),8,
OR(ISNUMBER(SEARCH("Cloud",F165)),F165="Industry Readiness Program",ISNUMBER(SEARCH("Talenlio",F165))),9,
OR(ISNUMBER(SEARCH("Innovation",F165)),F165="Mini Project"),10,
OR(ISNUMBER(SEARCH("Data Science",F165)),ISNUMBER(SEARCH("DS",F165))),11,
ISNUMBER(SEARCH("Generative AI",F165)),12
=_xlfn.IFS(
OR(F165="Selenium (Hands-on)",F165="Guest Lecture: HR Interview"),6,
OR(F165="Soft Skill",F165="Soft Skill (Examination)",F165="AWS Training",F165="AWS Session"),7,
OR(ISNUMBER(SEARCH("MAD",F165)),ISNUMBER(SEARCH("STQA",F165)),F165="CI/CD Session"),8,
OR(ISNUMBER(SEARCH("Cloud",F165)),F165="Industry Readiness Program",ISNUMBER(SEARCH("Talenlio",F165))),9,
OR(ISNUMBER(SEARCH("Innovation",F165)),F165="Mini Project"),10,
OR(ISNUMBER(SEARCH("Data Science",F165)),ISNUMBER(SEARCH("DS",F165))),11,
ISNUMBER(SEARCH("Generative AI",F165)),12
))))</f>
        <v>10</v>
      </c>
      <c r="X165" s="3">
        <v>6</v>
      </c>
      <c r="Y165" s="3">
        <v>38</v>
      </c>
      <c r="Z165" s="3" t="s">
        <v>38</v>
      </c>
    </row>
    <row r="166" spans="1:26" x14ac:dyDescent="0.3">
      <c r="A166" s="2">
        <v>46226</v>
      </c>
      <c r="B166" s="3" t="s">
        <v>45</v>
      </c>
      <c r="C166" s="3">
        <v>1</v>
      </c>
      <c r="D166" s="4">
        <v>0.35416666666666702</v>
      </c>
      <c r="E166" s="4">
        <v>0.39583333333333298</v>
      </c>
      <c r="F166" s="3" t="s">
        <v>50</v>
      </c>
      <c r="G166" s="3" t="s">
        <v>51</v>
      </c>
      <c r="H166" s="3" t="s">
        <v>29</v>
      </c>
      <c r="I166" s="3" t="s">
        <v>30</v>
      </c>
      <c r="J166" s="3" t="s">
        <v>31</v>
      </c>
      <c r="K166" s="3" t="s">
        <v>52</v>
      </c>
      <c r="L166" s="5">
        <v>103</v>
      </c>
      <c r="M166" s="5">
        <f t="shared" ca="1" si="10"/>
        <v>55</v>
      </c>
      <c r="N166" s="6">
        <f t="shared" ca="1" si="11"/>
        <v>53.398058252427184</v>
      </c>
      <c r="O166" s="3" cm="1">
        <f t="array" aca="1" ref="O166" ca="1">IFERROR(LOOKUP(2, 1/((F$1:F165=F166)*(J$1:J165=J166)*(ROW(F$1:F165)&lt;ROW(F166))), N$1:N165), "")</f>
        <v>87.378640776699029</v>
      </c>
      <c r="P166" s="3">
        <f t="shared" si="14"/>
        <v>0</v>
      </c>
      <c r="Q166" s="3" t="s">
        <v>43</v>
      </c>
      <c r="R166" s="3" t="s">
        <v>40</v>
      </c>
      <c r="S166" s="3" t="str">
        <f t="shared" si="12"/>
        <v>No</v>
      </c>
      <c r="T166" s="3" t="s">
        <v>40</v>
      </c>
      <c r="U166" s="3" t="str">
        <f t="shared" si="13"/>
        <v>Rainy</v>
      </c>
      <c r="V166" s="3" t="s">
        <v>40</v>
      </c>
      <c r="W166" s="3" cm="1">
        <f t="array" ref="W166">_xlfn.IFS(
OR(F166="Selenium (Hands-on)",F166="Guest Lecture: HR Interview"),6,
OR(F166="Soft Skill",F166="Soft Skill (Examination)",F166="AWS Training",F166="AWS Session"),7,
OR(ISNUMBER(SEARCH("MAD",F166)),ISNUMBER(SEARCH("STQA",F166)),F166="CI/CD Session"),8,
OR(ISNUMBER(SEARCH("Cloud",F166)),F166="Industry Readiness Program",ISNUMBER(SEARCH("Talenlio",F166))),9,
OR(ISNUMBER(SEARCH("Innovation",F166)),F166="Mini Project"),10,
OR(ISNUMBER(SEARCH("Data Science",F166)),ISNUMBER(SEARCH("DS",F166))),11,
ISNUMBER(SEARCH("Generative AI",F166)),12
=_xlfn.IFS(
OR(F166="Selenium (Hands-on)",F166="Guest Lecture: HR Interview"),6,
OR(F166="Soft Skill",F166="Soft Skill (Examination)",F166="AWS Training",F166="AWS Session"),7,
OR(ISNUMBER(SEARCH("MAD",F166)),ISNUMBER(SEARCH("STQA",F166)),F166="CI/CD Session"),8,
OR(ISNUMBER(SEARCH("Cloud",F166)),F166="Industry Readiness Program",ISNUMBER(SEARCH("Talenlio",F166))),9,
OR(ISNUMBER(SEARCH("Innovation",F166)),F166="Mini Project"),10,
OR(ISNUMBER(SEARCH("Data Science",F166)),ISNUMBER(SEARCH("DS",F166))),11,
ISNUMBER(SEARCH("Generative AI",F166)),12
=_xlfn.IFS(
OR(F166="Selenium (Hands-on)",F166="Guest Lecture: HR Interview"),6,
OR(F166="Soft Skill",F166="Soft Skill (Examination)",F166="AWS Training",F166="AWS Session"),7,
OR(ISNUMBER(SEARCH("MAD",F166)),ISNUMBER(SEARCH("STQA",F166)),F166="CI/CD Session"),8,
OR(ISNUMBER(SEARCH("Cloud",F166)),F166="Industry Readiness Program",ISNUMBER(SEARCH("Talenlio",F166))),9,
OR(ISNUMBER(SEARCH("Innovation",F166)),F166="Mini Project"),10,
OR(ISNUMBER(SEARCH("Data Science",F166)),ISNUMBER(SEARCH("DS",F166))),11,
ISNUMBER(SEARCH("Generative AI",F166)),12
=_xlfn.IFS(
OR(F166="Selenium (Hands-on)",F166="Guest Lecture: HR Interview"),6,
OR(F166="Soft Skill",F166="Soft Skill (Examination)",F166="AWS Training",F166="AWS Session"),7,
OR(ISNUMBER(SEARCH("MAD",F166)),ISNUMBER(SEARCH("STQA",F166)),F166="CI/CD Session"),8,
OR(ISNUMBER(SEARCH("Cloud",F166)),F166="Industry Readiness Program",ISNUMBER(SEARCH("Talenlio",F166))),9,
OR(ISNUMBER(SEARCH("Innovation",F166)),F166="Mini Project"),10,
OR(ISNUMBER(SEARCH("Data Science",F166)),ISNUMBER(SEARCH("DS",F166))),11,
ISNUMBER(SEARCH("Generative AI",F166)),12
))))</f>
        <v>8</v>
      </c>
      <c r="X166" s="3">
        <v>6</v>
      </c>
      <c r="Y166" s="3">
        <v>39</v>
      </c>
      <c r="Z166" s="3" t="s">
        <v>35</v>
      </c>
    </row>
    <row r="167" spans="1:26" x14ac:dyDescent="0.3">
      <c r="A167" s="2">
        <v>46226</v>
      </c>
      <c r="B167" s="3" t="s">
        <v>45</v>
      </c>
      <c r="C167" s="3">
        <v>2</v>
      </c>
      <c r="D167" s="4">
        <v>0.39583333333333298</v>
      </c>
      <c r="E167" s="4">
        <v>0.44791666666666702</v>
      </c>
      <c r="F167" s="3" t="s">
        <v>59</v>
      </c>
      <c r="G167" s="3" t="s">
        <v>60</v>
      </c>
      <c r="H167" s="3" t="s">
        <v>29</v>
      </c>
      <c r="I167" s="3" t="s">
        <v>30</v>
      </c>
      <c r="J167" s="3" t="s">
        <v>31</v>
      </c>
      <c r="K167" s="3" t="s">
        <v>52</v>
      </c>
      <c r="L167" s="5">
        <v>103</v>
      </c>
      <c r="M167" s="5">
        <f t="shared" ca="1" si="10"/>
        <v>87</v>
      </c>
      <c r="N167" s="6">
        <f t="shared" ca="1" si="11"/>
        <v>84.466019417475721</v>
      </c>
      <c r="O167" s="3" cm="1">
        <f t="array" aca="1" ref="O167" ca="1">IFERROR(LOOKUP(2, 1/((F$1:F166=F167)*(J$1:J166=J167)*(ROW(F$1:F166)&lt;ROW(F167))), N$1:N166), "")</f>
        <v>66.019417475728162</v>
      </c>
      <c r="P167" s="3">
        <f t="shared" si="14"/>
        <v>0</v>
      </c>
      <c r="Q167" s="3" t="s">
        <v>33</v>
      </c>
      <c r="R167" s="3" t="s">
        <v>40</v>
      </c>
      <c r="S167" s="3" t="str">
        <f t="shared" si="12"/>
        <v>No</v>
      </c>
      <c r="T167" s="3" t="s">
        <v>40</v>
      </c>
      <c r="U167" s="3" t="str">
        <f t="shared" si="13"/>
        <v>Rainy</v>
      </c>
      <c r="V167" s="3" t="s">
        <v>40</v>
      </c>
      <c r="W167" s="3" cm="1">
        <f t="array" ref="W167">_xlfn.IFS(
OR(F167="Selenium (Hands-on)",F167="Guest Lecture: HR Interview"),6,
OR(F167="Soft Skill",F167="Soft Skill (Examination)",F167="AWS Training",F167="AWS Session"),7,
OR(ISNUMBER(SEARCH("MAD",F167)),ISNUMBER(SEARCH("STQA",F167)),F167="CI/CD Session"),8,
OR(ISNUMBER(SEARCH("Cloud",F167)),F167="Industry Readiness Program",ISNUMBER(SEARCH("Talenlio",F167))),9,
OR(ISNUMBER(SEARCH("Innovation",F167)),F167="Mini Project"),10,
OR(ISNUMBER(SEARCH("Data Science",F167)),ISNUMBER(SEARCH("DS",F167))),11,
ISNUMBER(SEARCH("Generative AI",F167)),12
=_xlfn.IFS(
OR(F167="Selenium (Hands-on)",F167="Guest Lecture: HR Interview"),6,
OR(F167="Soft Skill",F167="Soft Skill (Examination)",F167="AWS Training",F167="AWS Session"),7,
OR(ISNUMBER(SEARCH("MAD",F167)),ISNUMBER(SEARCH("STQA",F167)),F167="CI/CD Session"),8,
OR(ISNUMBER(SEARCH("Cloud",F167)),F167="Industry Readiness Program",ISNUMBER(SEARCH("Talenlio",F167))),9,
OR(ISNUMBER(SEARCH("Innovation",F167)),F167="Mini Project"),10,
OR(ISNUMBER(SEARCH("Data Science",F167)),ISNUMBER(SEARCH("DS",F167))),11,
ISNUMBER(SEARCH("Generative AI",F167)),12
=_xlfn.IFS(
OR(F167="Selenium (Hands-on)",F167="Guest Lecture: HR Interview"),6,
OR(F167="Soft Skill",F167="Soft Skill (Examination)",F167="AWS Training",F167="AWS Session"),7,
OR(ISNUMBER(SEARCH("MAD",F167)),ISNUMBER(SEARCH("STQA",F167)),F167="CI/CD Session"),8,
OR(ISNUMBER(SEARCH("Cloud",F167)),F167="Industry Readiness Program",ISNUMBER(SEARCH("Talenlio",F167))),9,
OR(ISNUMBER(SEARCH("Innovation",F167)),F167="Mini Project"),10,
OR(ISNUMBER(SEARCH("Data Science",F167)),ISNUMBER(SEARCH("DS",F167))),11,
ISNUMBER(SEARCH("Generative AI",F167)),12
=_xlfn.IFS(
OR(F167="Selenium (Hands-on)",F167="Guest Lecture: HR Interview"),6,
OR(F167="Soft Skill",F167="Soft Skill (Examination)",F167="AWS Training",F167="AWS Session"),7,
OR(ISNUMBER(SEARCH("MAD",F167)),ISNUMBER(SEARCH("STQA",F167)),F167="CI/CD Session"),8,
OR(ISNUMBER(SEARCH("Cloud",F167)),F167="Industry Readiness Program",ISNUMBER(SEARCH("Talenlio",F167))),9,
OR(ISNUMBER(SEARCH("Innovation",F167)),F167="Mini Project"),10,
OR(ISNUMBER(SEARCH("Data Science",F167)),ISNUMBER(SEARCH("DS",F167))),11,
ISNUMBER(SEARCH("Generative AI",F167)),12
))))</f>
        <v>11</v>
      </c>
      <c r="X167" s="3">
        <v>6</v>
      </c>
      <c r="Y167" s="3">
        <v>39</v>
      </c>
      <c r="Z167" s="3" t="s">
        <v>35</v>
      </c>
    </row>
    <row r="168" spans="1:26" x14ac:dyDescent="0.3">
      <c r="A168" s="2">
        <v>46226</v>
      </c>
      <c r="B168" s="3" t="s">
        <v>45</v>
      </c>
      <c r="C168" s="3">
        <v>3</v>
      </c>
      <c r="D168" s="4">
        <v>0.45833333333333298</v>
      </c>
      <c r="E168" s="4">
        <v>0.5</v>
      </c>
      <c r="F168" s="3" t="s">
        <v>72</v>
      </c>
      <c r="G168" s="3" t="s">
        <v>64</v>
      </c>
      <c r="H168" s="3" t="s">
        <v>29</v>
      </c>
      <c r="I168" s="3" t="s">
        <v>30</v>
      </c>
      <c r="J168" s="3" t="s">
        <v>31</v>
      </c>
      <c r="K168" s="3" t="s">
        <v>32</v>
      </c>
      <c r="L168" s="5">
        <v>103</v>
      </c>
      <c r="M168" s="5">
        <f t="shared" ca="1" si="10"/>
        <v>70</v>
      </c>
      <c r="N168" s="6">
        <f t="shared" ca="1" si="11"/>
        <v>67.961165048543691</v>
      </c>
      <c r="O168" s="3">
        <v>45.841684620000002</v>
      </c>
      <c r="P168" s="3">
        <f t="shared" si="14"/>
        <v>0.25</v>
      </c>
      <c r="Q168" s="3" t="s">
        <v>43</v>
      </c>
      <c r="R168" s="3" t="s">
        <v>40</v>
      </c>
      <c r="S168" s="3" t="str">
        <f t="shared" si="12"/>
        <v>Yes</v>
      </c>
      <c r="T168" s="3" t="s">
        <v>40</v>
      </c>
      <c r="U168" s="3" t="str">
        <f t="shared" si="13"/>
        <v>Rainy</v>
      </c>
      <c r="V168" s="3" t="s">
        <v>34</v>
      </c>
      <c r="W168" s="3" cm="1">
        <f t="array" ref="W168">_xlfn.IFS(
OR(F168="Selenium (Hands-on)",F168="Guest Lecture: HR Interview"),6,
OR(F168="Soft Skill",F168="Soft Skill (Examination)",F168="AWS Training",F168="AWS Session"),7,
OR(ISNUMBER(SEARCH("MAD",F168)),ISNUMBER(SEARCH("STQA",F168)),F168="CI/CD Session"),8,
OR(ISNUMBER(SEARCH("Cloud",F168)),F168="Industry Readiness Program",ISNUMBER(SEARCH("Talenlio",F168))),9,
OR(ISNUMBER(SEARCH("Innovation",F168)),F168="Mini Project"),10,
OR(ISNUMBER(SEARCH("Data Science",F168)),ISNUMBER(SEARCH("DS",F168))),11,
ISNUMBER(SEARCH("Generative AI",F168)),12
=_xlfn.IFS(
OR(F168="Selenium (Hands-on)",F168="Guest Lecture: HR Interview"),6,
OR(F168="Soft Skill",F168="Soft Skill (Examination)",F168="AWS Training",F168="AWS Session"),7,
OR(ISNUMBER(SEARCH("MAD",F168)),ISNUMBER(SEARCH("STQA",F168)),F168="CI/CD Session"),8,
OR(ISNUMBER(SEARCH("Cloud",F168)),F168="Industry Readiness Program",ISNUMBER(SEARCH("Talenlio",F168))),9,
OR(ISNUMBER(SEARCH("Innovation",F168)),F168="Mini Project"),10,
OR(ISNUMBER(SEARCH("Data Science",F168)),ISNUMBER(SEARCH("DS",F168))),11,
ISNUMBER(SEARCH("Generative AI",F168)),12
=_xlfn.IFS(
OR(F168="Selenium (Hands-on)",F168="Guest Lecture: HR Interview"),6,
OR(F168="Soft Skill",F168="Soft Skill (Examination)",F168="AWS Training",F168="AWS Session"),7,
OR(ISNUMBER(SEARCH("MAD",F168)),ISNUMBER(SEARCH("STQA",F168)),F168="CI/CD Session"),8,
OR(ISNUMBER(SEARCH("Cloud",F168)),F168="Industry Readiness Program",ISNUMBER(SEARCH("Talenlio",F168))),9,
OR(ISNUMBER(SEARCH("Innovation",F168)),F168="Mini Project"),10,
OR(ISNUMBER(SEARCH("Data Science",F168)),ISNUMBER(SEARCH("DS",F168))),11,
ISNUMBER(SEARCH("Generative AI",F168)),12
=_xlfn.IFS(
OR(F168="Selenium (Hands-on)",F168="Guest Lecture: HR Interview"),6,
OR(F168="Soft Skill",F168="Soft Skill (Examination)",F168="AWS Training",F168="AWS Session"),7,
OR(ISNUMBER(SEARCH("MAD",F168)),ISNUMBER(SEARCH("STQA",F168)),F168="CI/CD Session"),8,
OR(ISNUMBER(SEARCH("Cloud",F168)),F168="Industry Readiness Program",ISNUMBER(SEARCH("Talenlio",F168))),9,
OR(ISNUMBER(SEARCH("Innovation",F168)),F168="Mini Project"),10,
OR(ISNUMBER(SEARCH("Data Science",F168)),ISNUMBER(SEARCH("DS",F168))),11,
ISNUMBER(SEARCH("Generative AI",F168)),12
))))</f>
        <v>9</v>
      </c>
      <c r="X168" s="3">
        <v>6</v>
      </c>
      <c r="Y168" s="3">
        <v>39</v>
      </c>
      <c r="Z168" s="3" t="s">
        <v>35</v>
      </c>
    </row>
    <row r="169" spans="1:26" x14ac:dyDescent="0.3">
      <c r="A169" s="2">
        <v>46226</v>
      </c>
      <c r="B169" s="3" t="s">
        <v>45</v>
      </c>
      <c r="C169" s="3">
        <v>4</v>
      </c>
      <c r="D169" s="4">
        <v>0.5625</v>
      </c>
      <c r="E169" s="4">
        <v>0.60416666666666696</v>
      </c>
      <c r="F169" s="3" t="s">
        <v>62</v>
      </c>
      <c r="G169" s="3" t="s">
        <v>56</v>
      </c>
      <c r="H169" s="3" t="s">
        <v>29</v>
      </c>
      <c r="I169" s="3" t="s">
        <v>30</v>
      </c>
      <c r="J169" s="3" t="s">
        <v>31</v>
      </c>
      <c r="K169" s="3" t="s">
        <v>52</v>
      </c>
      <c r="L169" s="5">
        <v>103</v>
      </c>
      <c r="M169" s="5">
        <f t="shared" ca="1" si="10"/>
        <v>65</v>
      </c>
      <c r="N169" s="6">
        <f t="shared" ca="1" si="11"/>
        <v>63.10679611650486</v>
      </c>
      <c r="O169" s="3" cm="1">
        <f t="array" aca="1" ref="O169" ca="1">IFERROR(LOOKUP(2, 1/((F$1:F168=F169)*(J$1:J168=J169)*(ROW(F$1:F168)&lt;ROW(F169))), N$1:N168), "")</f>
        <v>90.291262135922338</v>
      </c>
      <c r="P169" s="3">
        <f t="shared" si="14"/>
        <v>1.5</v>
      </c>
      <c r="Q169" s="3" t="s">
        <v>33</v>
      </c>
      <c r="R169" s="3" t="s">
        <v>40</v>
      </c>
      <c r="S169" s="3" t="str">
        <f t="shared" si="12"/>
        <v>No</v>
      </c>
      <c r="T169" s="3" t="s">
        <v>40</v>
      </c>
      <c r="U169" s="3" t="str">
        <f t="shared" si="13"/>
        <v>Rainy</v>
      </c>
      <c r="V169" s="3" t="s">
        <v>40</v>
      </c>
      <c r="W169" s="3">
        <v>7</v>
      </c>
      <c r="X169" s="3">
        <v>6</v>
      </c>
      <c r="Y169" s="3">
        <v>39</v>
      </c>
      <c r="Z169" s="3" t="s">
        <v>38</v>
      </c>
    </row>
    <row r="170" spans="1:26" x14ac:dyDescent="0.3">
      <c r="A170" s="2">
        <v>46227</v>
      </c>
      <c r="B170" s="3" t="s">
        <v>46</v>
      </c>
      <c r="C170" s="3">
        <v>1</v>
      </c>
      <c r="D170" s="4">
        <v>0.35416666666666702</v>
      </c>
      <c r="E170" s="4">
        <v>0.38541666666666702</v>
      </c>
      <c r="F170" s="3" t="s">
        <v>50</v>
      </c>
      <c r="G170" s="3" t="s">
        <v>51</v>
      </c>
      <c r="H170" s="3" t="s">
        <v>29</v>
      </c>
      <c r="I170" s="3" t="s">
        <v>30</v>
      </c>
      <c r="J170" s="3" t="s">
        <v>31</v>
      </c>
      <c r="K170" s="3" t="s">
        <v>52</v>
      </c>
      <c r="L170" s="5">
        <v>103</v>
      </c>
      <c r="M170" s="5">
        <f t="shared" ca="1" si="10"/>
        <v>42</v>
      </c>
      <c r="N170" s="6">
        <f t="shared" ca="1" si="11"/>
        <v>40.776699029126213</v>
      </c>
      <c r="O170" s="3" cm="1">
        <f t="array" aca="1" ref="O170" ca="1">IFERROR(LOOKUP(2, 1/((F$1:F169=F170)*(J$1:J169=J170)*(ROW(F$1:F169)&lt;ROW(F170))), N$1:N169), "")</f>
        <v>53.398058252427184</v>
      </c>
      <c r="P170" s="3">
        <f t="shared" si="14"/>
        <v>0</v>
      </c>
      <c r="Q170" s="3" t="s">
        <v>43</v>
      </c>
      <c r="R170" s="3" t="s">
        <v>40</v>
      </c>
      <c r="S170" s="3" t="str">
        <f t="shared" si="12"/>
        <v>Yes</v>
      </c>
      <c r="T170" s="3" t="s">
        <v>40</v>
      </c>
      <c r="U170" s="3" t="str">
        <f t="shared" si="13"/>
        <v>Rainy</v>
      </c>
      <c r="V170" s="3" t="s">
        <v>40</v>
      </c>
      <c r="W170" s="3" cm="1">
        <f t="array" ref="W170">_xlfn.IFS(
OR(F170="Selenium (Hands-on)",F170="Guest Lecture: HR Interview"),6,
OR(F170="Soft Skill",F170="Soft Skill (Examination)",F170="AWS Training",F170="AWS Session"),7,
OR(ISNUMBER(SEARCH("MAD",F170)),ISNUMBER(SEARCH("STQA",F170)),F170="CI/CD Session"),8,
OR(ISNUMBER(SEARCH("Cloud",F170)),F170="Industry Readiness Program",ISNUMBER(SEARCH("Talenlio",F170))),9,
OR(ISNUMBER(SEARCH("Innovation",F170)),F170="Mini Project"),10,
OR(ISNUMBER(SEARCH("Data Science",F170)),ISNUMBER(SEARCH("DS",F170))),11,
ISNUMBER(SEARCH("Generative AI",F170)),12
=_xlfn.IFS(
OR(F170="Selenium (Hands-on)",F170="Guest Lecture: HR Interview"),6,
OR(F170="Soft Skill",F170="Soft Skill (Examination)",F170="AWS Training",F170="AWS Session"),7,
OR(ISNUMBER(SEARCH("MAD",F170)),ISNUMBER(SEARCH("STQA",F170)),F170="CI/CD Session"),8,
OR(ISNUMBER(SEARCH("Cloud",F170)),F170="Industry Readiness Program",ISNUMBER(SEARCH("Talenlio",F170))),9,
OR(ISNUMBER(SEARCH("Innovation",F170)),F170="Mini Project"),10,
OR(ISNUMBER(SEARCH("Data Science",F170)),ISNUMBER(SEARCH("DS",F170))),11,
ISNUMBER(SEARCH("Generative AI",F170)),12
=_xlfn.IFS(
OR(F170="Selenium (Hands-on)",F170="Guest Lecture: HR Interview"),6,
OR(F170="Soft Skill",F170="Soft Skill (Examination)",F170="AWS Training",F170="AWS Session"),7,
OR(ISNUMBER(SEARCH("MAD",F170)),ISNUMBER(SEARCH("STQA",F170)),F170="CI/CD Session"),8,
OR(ISNUMBER(SEARCH("Cloud",F170)),F170="Industry Readiness Program",ISNUMBER(SEARCH("Talenlio",F170))),9,
OR(ISNUMBER(SEARCH("Innovation",F170)),F170="Mini Project"),10,
OR(ISNUMBER(SEARCH("Data Science",F170)),ISNUMBER(SEARCH("DS",F170))),11,
ISNUMBER(SEARCH("Generative AI",F170)),12
=_xlfn.IFS(
OR(F170="Selenium (Hands-on)",F170="Guest Lecture: HR Interview"),6,
OR(F170="Soft Skill",F170="Soft Skill (Examination)",F170="AWS Training",F170="AWS Session"),7,
OR(ISNUMBER(SEARCH("MAD",F170)),ISNUMBER(SEARCH("STQA",F170)),F170="CI/CD Session"),8,
OR(ISNUMBER(SEARCH("Cloud",F170)),F170="Industry Readiness Program",ISNUMBER(SEARCH("Talenlio",F170))),9,
OR(ISNUMBER(SEARCH("Innovation",F170)),F170="Mini Project"),10,
OR(ISNUMBER(SEARCH("Data Science",F170)),ISNUMBER(SEARCH("DS",F170))),11,
ISNUMBER(SEARCH("Generative AI",F170)),12
))))</f>
        <v>8</v>
      </c>
      <c r="X170" s="3">
        <v>6</v>
      </c>
      <c r="Y170" s="3">
        <v>40</v>
      </c>
      <c r="Z170" s="3" t="s">
        <v>35</v>
      </c>
    </row>
    <row r="171" spans="1:26" x14ac:dyDescent="0.3">
      <c r="A171" s="2">
        <v>46227</v>
      </c>
      <c r="B171" s="3" t="s">
        <v>46</v>
      </c>
      <c r="C171" s="3">
        <v>2</v>
      </c>
      <c r="D171" s="4">
        <v>0.39583333333333298</v>
      </c>
      <c r="E171" s="4">
        <v>0.4375</v>
      </c>
      <c r="F171" s="3" t="s">
        <v>50</v>
      </c>
      <c r="G171" s="3" t="s">
        <v>51</v>
      </c>
      <c r="H171" s="3" t="s">
        <v>29</v>
      </c>
      <c r="I171" s="3" t="s">
        <v>30</v>
      </c>
      <c r="J171" s="3" t="s">
        <v>31</v>
      </c>
      <c r="K171" s="3" t="s">
        <v>52</v>
      </c>
      <c r="L171" s="5">
        <v>103</v>
      </c>
      <c r="M171" s="5">
        <f t="shared" ca="1" si="10"/>
        <v>99</v>
      </c>
      <c r="N171" s="6">
        <f t="shared" ca="1" si="11"/>
        <v>96.116504854368941</v>
      </c>
      <c r="O171" s="3" cm="1">
        <f t="array" aca="1" ref="O171" ca="1">IFERROR(LOOKUP(2, 1/((F$1:F170=F171)*(J$1:J170=J171)*(ROW(F$1:F170)&lt;ROW(F171))), N$1:N170), "")</f>
        <v>40.776699029126213</v>
      </c>
      <c r="P171" s="3">
        <f t="shared" si="14"/>
        <v>0.25</v>
      </c>
      <c r="Q171" s="3" t="s">
        <v>43</v>
      </c>
      <c r="R171" s="3" t="s">
        <v>40</v>
      </c>
      <c r="S171" s="3" t="str">
        <f t="shared" si="12"/>
        <v>Yes</v>
      </c>
      <c r="T171" s="3" t="s">
        <v>40</v>
      </c>
      <c r="U171" s="3" t="str">
        <f t="shared" si="13"/>
        <v>Rainy</v>
      </c>
      <c r="V171" s="3" t="s">
        <v>40</v>
      </c>
      <c r="W171" s="3" cm="1">
        <f t="array" ref="W171">_xlfn.IFS(
OR(F171="Selenium (Hands-on)",F171="Guest Lecture: HR Interview"),6,
OR(F171="Soft Skill",F171="Soft Skill (Examination)",F171="AWS Training",F171="AWS Session"),7,
OR(ISNUMBER(SEARCH("MAD",F171)),ISNUMBER(SEARCH("STQA",F171)),F171="CI/CD Session"),8,
OR(ISNUMBER(SEARCH("Cloud",F171)),F171="Industry Readiness Program",ISNUMBER(SEARCH("Talenlio",F171))),9,
OR(ISNUMBER(SEARCH("Innovation",F171)),F171="Mini Project"),10,
OR(ISNUMBER(SEARCH("Data Science",F171)),ISNUMBER(SEARCH("DS",F171))),11,
ISNUMBER(SEARCH("Generative AI",F171)),12
=_xlfn.IFS(
OR(F171="Selenium (Hands-on)",F171="Guest Lecture: HR Interview"),6,
OR(F171="Soft Skill",F171="Soft Skill (Examination)",F171="AWS Training",F171="AWS Session"),7,
OR(ISNUMBER(SEARCH("MAD",F171)),ISNUMBER(SEARCH("STQA",F171)),F171="CI/CD Session"),8,
OR(ISNUMBER(SEARCH("Cloud",F171)),F171="Industry Readiness Program",ISNUMBER(SEARCH("Talenlio",F171))),9,
OR(ISNUMBER(SEARCH("Innovation",F171)),F171="Mini Project"),10,
OR(ISNUMBER(SEARCH("Data Science",F171)),ISNUMBER(SEARCH("DS",F171))),11,
ISNUMBER(SEARCH("Generative AI",F171)),12
=_xlfn.IFS(
OR(F171="Selenium (Hands-on)",F171="Guest Lecture: HR Interview"),6,
OR(F171="Soft Skill",F171="Soft Skill (Examination)",F171="AWS Training",F171="AWS Session"),7,
OR(ISNUMBER(SEARCH("MAD",F171)),ISNUMBER(SEARCH("STQA",F171)),F171="CI/CD Session"),8,
OR(ISNUMBER(SEARCH("Cloud",F171)),F171="Industry Readiness Program",ISNUMBER(SEARCH("Talenlio",F171))),9,
OR(ISNUMBER(SEARCH("Innovation",F171)),F171="Mini Project"),10,
OR(ISNUMBER(SEARCH("Data Science",F171)),ISNUMBER(SEARCH("DS",F171))),11,
ISNUMBER(SEARCH("Generative AI",F171)),12
=_xlfn.IFS(
OR(F171="Selenium (Hands-on)",F171="Guest Lecture: HR Interview"),6,
OR(F171="Soft Skill",F171="Soft Skill (Examination)",F171="AWS Training",F171="AWS Session"),7,
OR(ISNUMBER(SEARCH("MAD",F171)),ISNUMBER(SEARCH("STQA",F171)),F171="CI/CD Session"),8,
OR(ISNUMBER(SEARCH("Cloud",F171)),F171="Industry Readiness Program",ISNUMBER(SEARCH("Talenlio",F171))),9,
OR(ISNUMBER(SEARCH("Innovation",F171)),F171="Mini Project"),10,
OR(ISNUMBER(SEARCH("Data Science",F171)),ISNUMBER(SEARCH("DS",F171))),11,
ISNUMBER(SEARCH("Generative AI",F171)),12
))))</f>
        <v>8</v>
      </c>
      <c r="X171" s="3">
        <v>6</v>
      </c>
      <c r="Y171" s="3">
        <v>40</v>
      </c>
      <c r="Z171" s="3" t="s">
        <v>35</v>
      </c>
    </row>
    <row r="172" spans="1:26" x14ac:dyDescent="0.3">
      <c r="A172" s="2">
        <v>46227</v>
      </c>
      <c r="B172" s="3" t="s">
        <v>46</v>
      </c>
      <c r="C172" s="3">
        <v>3</v>
      </c>
      <c r="D172" s="4">
        <v>0.4375</v>
      </c>
      <c r="E172" s="4">
        <v>0.47916666666666702</v>
      </c>
      <c r="F172" s="3" t="s">
        <v>59</v>
      </c>
      <c r="G172" s="3" t="s">
        <v>60</v>
      </c>
      <c r="H172" s="3" t="s">
        <v>29</v>
      </c>
      <c r="I172" s="3" t="s">
        <v>30</v>
      </c>
      <c r="J172" s="3" t="s">
        <v>31</v>
      </c>
      <c r="K172" s="3" t="s">
        <v>52</v>
      </c>
      <c r="L172" s="5">
        <v>103</v>
      </c>
      <c r="M172" s="5">
        <f t="shared" ca="1" si="10"/>
        <v>47</v>
      </c>
      <c r="N172" s="6">
        <f t="shared" ca="1" si="11"/>
        <v>45.631067961165051</v>
      </c>
      <c r="O172" s="3" cm="1">
        <f t="array" aca="1" ref="O172" ca="1">IFERROR(LOOKUP(2, 1/((F$1:F171=F172)*(J$1:J171=J172)*(ROW(F$1:F171)&lt;ROW(F172))), N$1:N171), "")</f>
        <v>84.466019417475721</v>
      </c>
      <c r="P172" s="3">
        <f t="shared" si="14"/>
        <v>0</v>
      </c>
      <c r="Q172" s="3" t="s">
        <v>33</v>
      </c>
      <c r="R172" s="3" t="s">
        <v>40</v>
      </c>
      <c r="S172" s="3" t="str">
        <f t="shared" si="12"/>
        <v>Yes</v>
      </c>
      <c r="T172" s="3" t="s">
        <v>40</v>
      </c>
      <c r="U172" s="3" t="str">
        <f t="shared" si="13"/>
        <v>Rainy</v>
      </c>
      <c r="V172" s="3" t="s">
        <v>40</v>
      </c>
      <c r="W172" s="3" cm="1">
        <f t="array" ref="W172">_xlfn.IFS(
OR(F172="Selenium (Hands-on)",F172="Guest Lecture: HR Interview"),6,
OR(F172="Soft Skill",F172="Soft Skill (Examination)",F172="AWS Training",F172="AWS Session"),7,
OR(ISNUMBER(SEARCH("MAD",F172)),ISNUMBER(SEARCH("STQA",F172)),F172="CI/CD Session"),8,
OR(ISNUMBER(SEARCH("Cloud",F172)),F172="Industry Readiness Program",ISNUMBER(SEARCH("Talenlio",F172))),9,
OR(ISNUMBER(SEARCH("Innovation",F172)),F172="Mini Project"),10,
OR(ISNUMBER(SEARCH("Data Science",F172)),ISNUMBER(SEARCH("DS",F172))),11,
ISNUMBER(SEARCH("Generative AI",F172)),12
=_xlfn.IFS(
OR(F172="Selenium (Hands-on)",F172="Guest Lecture: HR Interview"),6,
OR(F172="Soft Skill",F172="Soft Skill (Examination)",F172="AWS Training",F172="AWS Session"),7,
OR(ISNUMBER(SEARCH("MAD",F172)),ISNUMBER(SEARCH("STQA",F172)),F172="CI/CD Session"),8,
OR(ISNUMBER(SEARCH("Cloud",F172)),F172="Industry Readiness Program",ISNUMBER(SEARCH("Talenlio",F172))),9,
OR(ISNUMBER(SEARCH("Innovation",F172)),F172="Mini Project"),10,
OR(ISNUMBER(SEARCH("Data Science",F172)),ISNUMBER(SEARCH("DS",F172))),11,
ISNUMBER(SEARCH("Generative AI",F172)),12
=_xlfn.IFS(
OR(F172="Selenium (Hands-on)",F172="Guest Lecture: HR Interview"),6,
OR(F172="Soft Skill",F172="Soft Skill (Examination)",F172="AWS Training",F172="AWS Session"),7,
OR(ISNUMBER(SEARCH("MAD",F172)),ISNUMBER(SEARCH("STQA",F172)),F172="CI/CD Session"),8,
OR(ISNUMBER(SEARCH("Cloud",F172)),F172="Industry Readiness Program",ISNUMBER(SEARCH("Talenlio",F172))),9,
OR(ISNUMBER(SEARCH("Innovation",F172)),F172="Mini Project"),10,
OR(ISNUMBER(SEARCH("Data Science",F172)),ISNUMBER(SEARCH("DS",F172))),11,
ISNUMBER(SEARCH("Generative AI",F172)),12
=_xlfn.IFS(
OR(F172="Selenium (Hands-on)",F172="Guest Lecture: HR Interview"),6,
OR(F172="Soft Skill",F172="Soft Skill (Examination)",F172="AWS Training",F172="AWS Session"),7,
OR(ISNUMBER(SEARCH("MAD",F172)),ISNUMBER(SEARCH("STQA",F172)),F172="CI/CD Session"),8,
OR(ISNUMBER(SEARCH("Cloud",F172)),F172="Industry Readiness Program",ISNUMBER(SEARCH("Talenlio",F172))),9,
OR(ISNUMBER(SEARCH("Innovation",F172)),F172="Mini Project"),10,
OR(ISNUMBER(SEARCH("Data Science",F172)),ISNUMBER(SEARCH("DS",F172))),11,
ISNUMBER(SEARCH("Generative AI",F172)),12
))))</f>
        <v>11</v>
      </c>
      <c r="X172" s="3">
        <v>6</v>
      </c>
      <c r="Y172" s="3">
        <v>40</v>
      </c>
      <c r="Z172" s="3" t="s">
        <v>35</v>
      </c>
    </row>
    <row r="173" spans="1:26" x14ac:dyDescent="0.3">
      <c r="A173" s="2">
        <v>46227</v>
      </c>
      <c r="B173" s="3" t="s">
        <v>46</v>
      </c>
      <c r="C173" s="3">
        <v>4</v>
      </c>
      <c r="D173" s="4">
        <v>0.5625</v>
      </c>
      <c r="E173" s="4">
        <v>0.60416666666666696</v>
      </c>
      <c r="F173" s="3" t="s">
        <v>62</v>
      </c>
      <c r="G173" s="3" t="s">
        <v>56</v>
      </c>
      <c r="H173" s="3" t="s">
        <v>29</v>
      </c>
      <c r="I173" s="3" t="s">
        <v>30</v>
      </c>
      <c r="J173" s="3" t="s">
        <v>31</v>
      </c>
      <c r="K173" s="3" t="s">
        <v>52</v>
      </c>
      <c r="L173" s="5">
        <v>103</v>
      </c>
      <c r="M173" s="5">
        <f t="shared" ca="1" si="10"/>
        <v>103</v>
      </c>
      <c r="N173" s="6">
        <f t="shared" ca="1" si="11"/>
        <v>100</v>
      </c>
      <c r="O173" s="3" cm="1">
        <f t="array" aca="1" ref="O173" ca="1">IFERROR(LOOKUP(2, 1/((F$1:F172=F173)*(J$1:J172=J173)*(ROW(F$1:F172)&lt;ROW(F173))), N$1:N172), "")</f>
        <v>63.10679611650486</v>
      </c>
      <c r="P173" s="3">
        <f t="shared" si="14"/>
        <v>2</v>
      </c>
      <c r="Q173" s="3" t="s">
        <v>33</v>
      </c>
      <c r="R173" s="3" t="s">
        <v>40</v>
      </c>
      <c r="S173" s="3" t="str">
        <f t="shared" si="12"/>
        <v>Yes</v>
      </c>
      <c r="T173" s="3" t="s">
        <v>40</v>
      </c>
      <c r="U173" s="3" t="str">
        <f t="shared" si="13"/>
        <v>Rainy</v>
      </c>
      <c r="V173" s="3" t="s">
        <v>40</v>
      </c>
      <c r="W173" s="3">
        <v>7</v>
      </c>
      <c r="X173" s="3">
        <v>6</v>
      </c>
      <c r="Y173" s="3">
        <v>40</v>
      </c>
      <c r="Z173" s="3" t="s">
        <v>38</v>
      </c>
    </row>
    <row r="174" spans="1:26" x14ac:dyDescent="0.3">
      <c r="A174" s="2">
        <v>46227</v>
      </c>
      <c r="B174" s="3" t="s">
        <v>46</v>
      </c>
      <c r="C174" s="3">
        <v>5</v>
      </c>
      <c r="D174" s="4">
        <v>0.60416666666666696</v>
      </c>
      <c r="E174" s="4">
        <v>0.64583333333333304</v>
      </c>
      <c r="F174" s="3" t="s">
        <v>62</v>
      </c>
      <c r="G174" s="3" t="s">
        <v>56</v>
      </c>
      <c r="H174" s="3" t="s">
        <v>29</v>
      </c>
      <c r="I174" s="3" t="s">
        <v>30</v>
      </c>
      <c r="J174" s="3" t="s">
        <v>31</v>
      </c>
      <c r="K174" s="3" t="s">
        <v>52</v>
      </c>
      <c r="L174" s="5">
        <v>103</v>
      </c>
      <c r="M174" s="5">
        <f t="shared" ca="1" si="10"/>
        <v>55</v>
      </c>
      <c r="N174" s="6">
        <f t="shared" ca="1" si="11"/>
        <v>53.398058252427184</v>
      </c>
      <c r="O174" s="3" cm="1">
        <f t="array" aca="1" ref="O174" ca="1">IFERROR(LOOKUP(2, 1/((F$1:F173=F174)*(J$1:J173=J174)*(ROW(F$1:F173)&lt;ROW(F174))), N$1:N173), "")</f>
        <v>100</v>
      </c>
      <c r="P174" s="3">
        <f t="shared" si="14"/>
        <v>0</v>
      </c>
      <c r="Q174" s="3" t="s">
        <v>33</v>
      </c>
      <c r="R174" s="3" t="s">
        <v>40</v>
      </c>
      <c r="S174" s="3" t="str">
        <f t="shared" si="12"/>
        <v>Yes</v>
      </c>
      <c r="T174" s="3" t="s">
        <v>40</v>
      </c>
      <c r="U174" s="3" t="str">
        <f t="shared" si="13"/>
        <v>Rainy</v>
      </c>
      <c r="V174" s="3" t="s">
        <v>40</v>
      </c>
      <c r="W174" s="3">
        <v>7</v>
      </c>
      <c r="X174" s="3">
        <v>6</v>
      </c>
      <c r="Y174" s="3">
        <v>40</v>
      </c>
      <c r="Z174" s="3" t="s">
        <v>38</v>
      </c>
    </row>
    <row r="175" spans="1:26" x14ac:dyDescent="0.3">
      <c r="A175" s="2">
        <v>46228</v>
      </c>
      <c r="B175" s="3" t="s">
        <v>47</v>
      </c>
      <c r="C175" s="3">
        <v>1</v>
      </c>
      <c r="D175" s="4">
        <v>0.35416666666666702</v>
      </c>
      <c r="E175" s="4">
        <v>0.38541666666666702</v>
      </c>
      <c r="F175" s="3" t="s">
        <v>65</v>
      </c>
      <c r="G175" s="3" t="s">
        <v>51</v>
      </c>
      <c r="H175" s="3" t="s">
        <v>29</v>
      </c>
      <c r="I175" s="3" t="s">
        <v>30</v>
      </c>
      <c r="J175" s="3" t="s">
        <v>31</v>
      </c>
      <c r="K175" s="3" t="s">
        <v>52</v>
      </c>
      <c r="L175" s="5">
        <v>103</v>
      </c>
      <c r="M175" s="5">
        <f t="shared" ca="1" si="10"/>
        <v>99</v>
      </c>
      <c r="N175" s="6">
        <f t="shared" ca="1" si="11"/>
        <v>96.116504854368941</v>
      </c>
      <c r="O175" s="3" cm="1">
        <f t="array" aca="1" ref="O175" ca="1">IFERROR(LOOKUP(2, 1/((F$1:F174=F175)*(J$1:J174=J175)*(ROW(F$1:F174)&lt;ROW(F175))), N$1:N174), "")</f>
        <v>50.485436893203882</v>
      </c>
      <c r="P175" s="3">
        <f t="shared" si="14"/>
        <v>0</v>
      </c>
      <c r="Q175" s="3" t="s">
        <v>43</v>
      </c>
      <c r="R175" s="3" t="s">
        <v>40</v>
      </c>
      <c r="S175" s="3" t="str">
        <f t="shared" si="12"/>
        <v>No</v>
      </c>
      <c r="T175" s="3" t="s">
        <v>34</v>
      </c>
      <c r="U175" s="3" t="str">
        <f t="shared" si="13"/>
        <v>Rainy</v>
      </c>
      <c r="V175" s="3" t="s">
        <v>40</v>
      </c>
      <c r="W175" s="3" cm="1">
        <f t="array" ref="W175">_xlfn.IFS(
OR(F175="Selenium (Hands-on)",F175="Guest Lecture: HR Interview"),6,
OR(F175="Soft Skill",F175="Soft Skill (Examination)",F175="AWS Training",F175="AWS Session"),7,
OR(ISNUMBER(SEARCH("MAD",F175)),ISNUMBER(SEARCH("STQA",F175)),F175="CI/CD Session"),8,
OR(ISNUMBER(SEARCH("Cloud",F175)),F175="Industry Readiness Program",ISNUMBER(SEARCH("Talenlio",F175))),9,
OR(ISNUMBER(SEARCH("Innovation",F175)),F175="Mini Project"),10,
OR(ISNUMBER(SEARCH("Data Science",F175)),ISNUMBER(SEARCH("DS",F175))),11,
ISNUMBER(SEARCH("Generative AI",F175)),12
=_xlfn.IFS(
OR(F175="Selenium (Hands-on)",F175="Guest Lecture: HR Interview"),6,
OR(F175="Soft Skill",F175="Soft Skill (Examination)",F175="AWS Training",F175="AWS Session"),7,
OR(ISNUMBER(SEARCH("MAD",F175)),ISNUMBER(SEARCH("STQA",F175)),F175="CI/CD Session"),8,
OR(ISNUMBER(SEARCH("Cloud",F175)),F175="Industry Readiness Program",ISNUMBER(SEARCH("Talenlio",F175))),9,
OR(ISNUMBER(SEARCH("Innovation",F175)),F175="Mini Project"),10,
OR(ISNUMBER(SEARCH("Data Science",F175)),ISNUMBER(SEARCH("DS",F175))),11,
ISNUMBER(SEARCH("Generative AI",F175)),12
=_xlfn.IFS(
OR(F175="Selenium (Hands-on)",F175="Guest Lecture: HR Interview"),6,
OR(F175="Soft Skill",F175="Soft Skill (Examination)",F175="AWS Training",F175="AWS Session"),7,
OR(ISNUMBER(SEARCH("MAD",F175)),ISNUMBER(SEARCH("STQA",F175)),F175="CI/CD Session"),8,
OR(ISNUMBER(SEARCH("Cloud",F175)),F175="Industry Readiness Program",ISNUMBER(SEARCH("Talenlio",F175))),9,
OR(ISNUMBER(SEARCH("Innovation",F175)),F175="Mini Project"),10,
OR(ISNUMBER(SEARCH("Data Science",F175)),ISNUMBER(SEARCH("DS",F175))),11,
ISNUMBER(SEARCH("Generative AI",F175)),12
=_xlfn.IFS(
OR(F175="Selenium (Hands-on)",F175="Guest Lecture: HR Interview"),6,
OR(F175="Soft Skill",F175="Soft Skill (Examination)",F175="AWS Training",F175="AWS Session"),7,
OR(ISNUMBER(SEARCH("MAD",F175)),ISNUMBER(SEARCH("STQA",F175)),F175="CI/CD Session"),8,
OR(ISNUMBER(SEARCH("Cloud",F175)),F175="Industry Readiness Program",ISNUMBER(SEARCH("Talenlio",F175))),9,
OR(ISNUMBER(SEARCH("Innovation",F175)),F175="Mini Project"),10,
OR(ISNUMBER(SEARCH("Data Science",F175)),ISNUMBER(SEARCH("DS",F175))),11,
ISNUMBER(SEARCH("Generative AI",F175)),12
))))</f>
        <v>8</v>
      </c>
      <c r="X175" s="3">
        <v>6</v>
      </c>
      <c r="Y175" s="3">
        <v>41</v>
      </c>
      <c r="Z175" s="3" t="s">
        <v>35</v>
      </c>
    </row>
    <row r="176" spans="1:26" x14ac:dyDescent="0.3">
      <c r="A176" s="2">
        <v>46228</v>
      </c>
      <c r="B176" s="3" t="s">
        <v>47</v>
      </c>
      <c r="C176" s="3">
        <v>2</v>
      </c>
      <c r="D176" s="4">
        <v>0.38541666666666702</v>
      </c>
      <c r="E176" s="4">
        <v>0.42708333333333298</v>
      </c>
      <c r="F176" s="3" t="s">
        <v>65</v>
      </c>
      <c r="G176" s="3" t="s">
        <v>51</v>
      </c>
      <c r="H176" s="3" t="s">
        <v>29</v>
      </c>
      <c r="I176" s="3" t="s">
        <v>30</v>
      </c>
      <c r="J176" s="3" t="s">
        <v>31</v>
      </c>
      <c r="K176" s="3" t="s">
        <v>52</v>
      </c>
      <c r="L176" s="5">
        <v>103</v>
      </c>
      <c r="M176" s="5">
        <f t="shared" ca="1" si="10"/>
        <v>71</v>
      </c>
      <c r="N176" s="6">
        <f t="shared" ca="1" si="11"/>
        <v>68.932038834951456</v>
      </c>
      <c r="O176" s="3" cm="1">
        <f t="array" aca="1" ref="O176" ca="1">IFERROR(LOOKUP(2, 1/((F$1:F175=F176)*(J$1:J175=J176)*(ROW(F$1:F175)&lt;ROW(F176))), N$1:N175), "")</f>
        <v>96.116504854368941</v>
      </c>
      <c r="P176" s="3">
        <f t="shared" si="14"/>
        <v>0</v>
      </c>
      <c r="Q176" s="3" t="s">
        <v>43</v>
      </c>
      <c r="R176" s="3" t="s">
        <v>40</v>
      </c>
      <c r="S176" s="3" t="str">
        <f t="shared" si="12"/>
        <v>No</v>
      </c>
      <c r="T176" s="3" t="s">
        <v>34</v>
      </c>
      <c r="U176" s="3" t="str">
        <f t="shared" si="13"/>
        <v>Rainy</v>
      </c>
      <c r="V176" s="3" t="s">
        <v>40</v>
      </c>
      <c r="W176" s="3" cm="1">
        <f t="array" ref="W176">_xlfn.IFS(
OR(F176="Selenium (Hands-on)",F176="Guest Lecture: HR Interview"),6,
OR(F176="Soft Skill",F176="Soft Skill (Examination)",F176="AWS Training",F176="AWS Session"),7,
OR(ISNUMBER(SEARCH("MAD",F176)),ISNUMBER(SEARCH("STQA",F176)),F176="CI/CD Session"),8,
OR(ISNUMBER(SEARCH("Cloud",F176)),F176="Industry Readiness Program",ISNUMBER(SEARCH("Talenlio",F176))),9,
OR(ISNUMBER(SEARCH("Innovation",F176)),F176="Mini Project"),10,
OR(ISNUMBER(SEARCH("Data Science",F176)),ISNUMBER(SEARCH("DS",F176))),11,
ISNUMBER(SEARCH("Generative AI",F176)),12
=_xlfn.IFS(
OR(F176="Selenium (Hands-on)",F176="Guest Lecture: HR Interview"),6,
OR(F176="Soft Skill",F176="Soft Skill (Examination)",F176="AWS Training",F176="AWS Session"),7,
OR(ISNUMBER(SEARCH("MAD",F176)),ISNUMBER(SEARCH("STQA",F176)),F176="CI/CD Session"),8,
OR(ISNUMBER(SEARCH("Cloud",F176)),F176="Industry Readiness Program",ISNUMBER(SEARCH("Talenlio",F176))),9,
OR(ISNUMBER(SEARCH("Innovation",F176)),F176="Mini Project"),10,
OR(ISNUMBER(SEARCH("Data Science",F176)),ISNUMBER(SEARCH("DS",F176))),11,
ISNUMBER(SEARCH("Generative AI",F176)),12
=_xlfn.IFS(
OR(F176="Selenium (Hands-on)",F176="Guest Lecture: HR Interview"),6,
OR(F176="Soft Skill",F176="Soft Skill (Examination)",F176="AWS Training",F176="AWS Session"),7,
OR(ISNUMBER(SEARCH("MAD",F176)),ISNUMBER(SEARCH("STQA",F176)),F176="CI/CD Session"),8,
OR(ISNUMBER(SEARCH("Cloud",F176)),F176="Industry Readiness Program",ISNUMBER(SEARCH("Talenlio",F176))),9,
OR(ISNUMBER(SEARCH("Innovation",F176)),F176="Mini Project"),10,
OR(ISNUMBER(SEARCH("Data Science",F176)),ISNUMBER(SEARCH("DS",F176))),11,
ISNUMBER(SEARCH("Generative AI",F176)),12
=_xlfn.IFS(
OR(F176="Selenium (Hands-on)",F176="Guest Lecture: HR Interview"),6,
OR(F176="Soft Skill",F176="Soft Skill (Examination)",F176="AWS Training",F176="AWS Session"),7,
OR(ISNUMBER(SEARCH("MAD",F176)),ISNUMBER(SEARCH("STQA",F176)),F176="CI/CD Session"),8,
OR(ISNUMBER(SEARCH("Cloud",F176)),F176="Industry Readiness Program",ISNUMBER(SEARCH("Talenlio",F176))),9,
OR(ISNUMBER(SEARCH("Innovation",F176)),F176="Mini Project"),10,
OR(ISNUMBER(SEARCH("Data Science",F176)),ISNUMBER(SEARCH("DS",F176))),11,
ISNUMBER(SEARCH("Generative AI",F176)),12
))))</f>
        <v>8</v>
      </c>
      <c r="X176" s="3">
        <v>6</v>
      </c>
      <c r="Y176" s="3">
        <v>41</v>
      </c>
      <c r="Z176" s="3" t="s">
        <v>35</v>
      </c>
    </row>
    <row r="177" spans="1:26" x14ac:dyDescent="0.3">
      <c r="A177" s="2">
        <v>46228</v>
      </c>
      <c r="B177" s="3" t="s">
        <v>47</v>
      </c>
      <c r="C177" s="3">
        <v>3</v>
      </c>
      <c r="D177" s="4">
        <v>0.42708333333333298</v>
      </c>
      <c r="E177" s="4">
        <v>0.46875</v>
      </c>
      <c r="F177" s="3" t="s">
        <v>66</v>
      </c>
      <c r="G177" s="3" t="s">
        <v>67</v>
      </c>
      <c r="H177" s="3" t="s">
        <v>29</v>
      </c>
      <c r="I177" s="3" t="s">
        <v>30</v>
      </c>
      <c r="J177" s="3" t="s">
        <v>31</v>
      </c>
      <c r="K177" s="3" t="s">
        <v>52</v>
      </c>
      <c r="L177" s="5">
        <v>103</v>
      </c>
      <c r="M177" s="5">
        <f t="shared" ca="1" si="10"/>
        <v>64</v>
      </c>
      <c r="N177" s="6">
        <f t="shared" ca="1" si="11"/>
        <v>62.135922330097081</v>
      </c>
      <c r="O177" s="3" cm="1">
        <f t="array" aca="1" ref="O177" ca="1">IFERROR(LOOKUP(2, 1/((F$1:F176=F177)*(J$1:J176=J177)*(ROW(F$1:F176)&lt;ROW(F177))), N$1:N176), "")</f>
        <v>44.660194174757287</v>
      </c>
      <c r="P177" s="3">
        <f t="shared" si="14"/>
        <v>0</v>
      </c>
      <c r="Q177" s="3" t="s">
        <v>43</v>
      </c>
      <c r="R177" s="3" t="s">
        <v>40</v>
      </c>
      <c r="S177" s="3" t="str">
        <f t="shared" si="12"/>
        <v>Yes</v>
      </c>
      <c r="T177" s="3" t="s">
        <v>34</v>
      </c>
      <c r="U177" s="3" t="str">
        <f t="shared" si="13"/>
        <v>Rainy</v>
      </c>
      <c r="V177" s="3" t="s">
        <v>40</v>
      </c>
      <c r="W177" s="3" cm="1">
        <f t="array" ref="W177">_xlfn.IFS(
OR(F177="Selenium (Hands-on)",F177="Guest Lecture: HR Interview"),6,
OR(F177="Soft Skill",F177="Soft Skill (Examination)",F177="AWS Training",F177="AWS Session"),7,
OR(ISNUMBER(SEARCH("MAD",F177)),ISNUMBER(SEARCH("STQA",F177)),F177="CI/CD Session"),8,
OR(ISNUMBER(SEARCH("Cloud",F177)),F177="Industry Readiness Program",ISNUMBER(SEARCH("Talenlio",F177))),9,
OR(ISNUMBER(SEARCH("Innovation",F177)),F177="Mini Project"),10,
OR(ISNUMBER(SEARCH("Data Science",F177)),ISNUMBER(SEARCH("DS",F177))),11,
ISNUMBER(SEARCH("Generative AI",F177)),12
=_xlfn.IFS(
OR(F177="Selenium (Hands-on)",F177="Guest Lecture: HR Interview"),6,
OR(F177="Soft Skill",F177="Soft Skill (Examination)",F177="AWS Training",F177="AWS Session"),7,
OR(ISNUMBER(SEARCH("MAD",F177)),ISNUMBER(SEARCH("STQA",F177)),F177="CI/CD Session"),8,
OR(ISNUMBER(SEARCH("Cloud",F177)),F177="Industry Readiness Program",ISNUMBER(SEARCH("Talenlio",F177))),9,
OR(ISNUMBER(SEARCH("Innovation",F177)),F177="Mini Project"),10,
OR(ISNUMBER(SEARCH("Data Science",F177)),ISNUMBER(SEARCH("DS",F177))),11,
ISNUMBER(SEARCH("Generative AI",F177)),12
=_xlfn.IFS(
OR(F177="Selenium (Hands-on)",F177="Guest Lecture: HR Interview"),6,
OR(F177="Soft Skill",F177="Soft Skill (Examination)",F177="AWS Training",F177="AWS Session"),7,
OR(ISNUMBER(SEARCH("MAD",F177)),ISNUMBER(SEARCH("STQA",F177)),F177="CI/CD Session"),8,
OR(ISNUMBER(SEARCH("Cloud",F177)),F177="Industry Readiness Program",ISNUMBER(SEARCH("Talenlio",F177))),9,
OR(ISNUMBER(SEARCH("Innovation",F177)),F177="Mini Project"),10,
OR(ISNUMBER(SEARCH("Data Science",F177)),ISNUMBER(SEARCH("DS",F177))),11,
ISNUMBER(SEARCH("Generative AI",F177)),12
=_xlfn.IFS(
OR(F177="Selenium (Hands-on)",F177="Guest Lecture: HR Interview"),6,
OR(F177="Soft Skill",F177="Soft Skill (Examination)",F177="AWS Training",F177="AWS Session"),7,
OR(ISNUMBER(SEARCH("MAD",F177)),ISNUMBER(SEARCH("STQA",F177)),F177="CI/CD Session"),8,
OR(ISNUMBER(SEARCH("Cloud",F177)),F177="Industry Readiness Program",ISNUMBER(SEARCH("Talenlio",F177))),9,
OR(ISNUMBER(SEARCH("Innovation",F177)),F177="Mini Project"),10,
OR(ISNUMBER(SEARCH("Data Science",F177)),ISNUMBER(SEARCH("DS",F177))),11,
ISNUMBER(SEARCH("Generative AI",F177)),12
))))</f>
        <v>10</v>
      </c>
      <c r="X177" s="3">
        <v>6</v>
      </c>
      <c r="Y177" s="3">
        <v>41</v>
      </c>
      <c r="Z177" s="3" t="s">
        <v>35</v>
      </c>
    </row>
    <row r="178" spans="1:26" x14ac:dyDescent="0.3">
      <c r="A178" s="2">
        <v>46228</v>
      </c>
      <c r="B178" s="3" t="s">
        <v>47</v>
      </c>
      <c r="C178" s="3">
        <v>4</v>
      </c>
      <c r="D178" s="4">
        <v>0.46875</v>
      </c>
      <c r="E178" s="4">
        <v>0.51041666666666696</v>
      </c>
      <c r="F178" s="3" t="s">
        <v>66</v>
      </c>
      <c r="G178" s="3" t="s">
        <v>67</v>
      </c>
      <c r="H178" s="3" t="s">
        <v>29</v>
      </c>
      <c r="I178" s="3" t="s">
        <v>30</v>
      </c>
      <c r="J178" s="3" t="s">
        <v>31</v>
      </c>
      <c r="K178" s="3" t="s">
        <v>52</v>
      </c>
      <c r="L178" s="5">
        <v>103</v>
      </c>
      <c r="M178" s="5">
        <f t="shared" ca="1" si="10"/>
        <v>100</v>
      </c>
      <c r="N178" s="6">
        <f t="shared" ca="1" si="11"/>
        <v>97.087378640776706</v>
      </c>
      <c r="O178" s="3" cm="1">
        <f t="array" aca="1" ref="O178" ca="1">IFERROR(LOOKUP(2, 1/((F$1:F177=F178)*(J$1:J177=J178)*(ROW(F$1:F177)&lt;ROW(F178))), N$1:N177), "")</f>
        <v>62.135922330097081</v>
      </c>
      <c r="P178" s="3">
        <f t="shared" si="14"/>
        <v>0</v>
      </c>
      <c r="Q178" s="3" t="s">
        <v>43</v>
      </c>
      <c r="R178" s="3" t="s">
        <v>40</v>
      </c>
      <c r="S178" s="3" t="str">
        <f t="shared" si="12"/>
        <v>Yes</v>
      </c>
      <c r="T178" s="3" t="s">
        <v>34</v>
      </c>
      <c r="U178" s="3" t="str">
        <f t="shared" si="13"/>
        <v>Rainy</v>
      </c>
      <c r="V178" s="3" t="s">
        <v>40</v>
      </c>
      <c r="W178" s="3" cm="1">
        <f t="array" ref="W178">_xlfn.IFS(
OR(F178="Selenium (Hands-on)",F178="Guest Lecture: HR Interview"),6,
OR(F178="Soft Skill",F178="Soft Skill (Examination)",F178="AWS Training",F178="AWS Session"),7,
OR(ISNUMBER(SEARCH("MAD",F178)),ISNUMBER(SEARCH("STQA",F178)),F178="CI/CD Session"),8,
OR(ISNUMBER(SEARCH("Cloud",F178)),F178="Industry Readiness Program",ISNUMBER(SEARCH("Talenlio",F178))),9,
OR(ISNUMBER(SEARCH("Innovation",F178)),F178="Mini Project"),10,
OR(ISNUMBER(SEARCH("Data Science",F178)),ISNUMBER(SEARCH("DS",F178))),11,
ISNUMBER(SEARCH("Generative AI",F178)),12
=_xlfn.IFS(
OR(F178="Selenium (Hands-on)",F178="Guest Lecture: HR Interview"),6,
OR(F178="Soft Skill",F178="Soft Skill (Examination)",F178="AWS Training",F178="AWS Session"),7,
OR(ISNUMBER(SEARCH("MAD",F178)),ISNUMBER(SEARCH("STQA",F178)),F178="CI/CD Session"),8,
OR(ISNUMBER(SEARCH("Cloud",F178)),F178="Industry Readiness Program",ISNUMBER(SEARCH("Talenlio",F178))),9,
OR(ISNUMBER(SEARCH("Innovation",F178)),F178="Mini Project"),10,
OR(ISNUMBER(SEARCH("Data Science",F178)),ISNUMBER(SEARCH("DS",F178))),11,
ISNUMBER(SEARCH("Generative AI",F178)),12
=_xlfn.IFS(
OR(F178="Selenium (Hands-on)",F178="Guest Lecture: HR Interview"),6,
OR(F178="Soft Skill",F178="Soft Skill (Examination)",F178="AWS Training",F178="AWS Session"),7,
OR(ISNUMBER(SEARCH("MAD",F178)),ISNUMBER(SEARCH("STQA",F178)),F178="CI/CD Session"),8,
OR(ISNUMBER(SEARCH("Cloud",F178)),F178="Industry Readiness Program",ISNUMBER(SEARCH("Talenlio",F178))),9,
OR(ISNUMBER(SEARCH("Innovation",F178)),F178="Mini Project"),10,
OR(ISNUMBER(SEARCH("Data Science",F178)),ISNUMBER(SEARCH("DS",F178))),11,
ISNUMBER(SEARCH("Generative AI",F178)),12
=_xlfn.IFS(
OR(F178="Selenium (Hands-on)",F178="Guest Lecture: HR Interview"),6,
OR(F178="Soft Skill",F178="Soft Skill (Examination)",F178="AWS Training",F178="AWS Session"),7,
OR(ISNUMBER(SEARCH("MAD",F178)),ISNUMBER(SEARCH("STQA",F178)),F178="CI/CD Session"),8,
OR(ISNUMBER(SEARCH("Cloud",F178)),F178="Industry Readiness Program",ISNUMBER(SEARCH("Talenlio",F178))),9,
OR(ISNUMBER(SEARCH("Innovation",F178)),F178="Mini Project"),10,
OR(ISNUMBER(SEARCH("Data Science",F178)),ISNUMBER(SEARCH("DS",F178))),11,
ISNUMBER(SEARCH("Generative AI",F178)),12
))))</f>
        <v>10</v>
      </c>
      <c r="X178" s="3">
        <v>6</v>
      </c>
      <c r="Y178" s="3">
        <v>41</v>
      </c>
      <c r="Z178" s="3" t="s">
        <v>35</v>
      </c>
    </row>
    <row r="179" spans="1:26" x14ac:dyDescent="0.3">
      <c r="A179" s="2">
        <v>46228</v>
      </c>
      <c r="B179" s="3" t="s">
        <v>47</v>
      </c>
      <c r="C179" s="3">
        <v>5</v>
      </c>
      <c r="D179" s="4">
        <v>0.5625</v>
      </c>
      <c r="E179" s="4">
        <v>0.60416666666666696</v>
      </c>
      <c r="F179" s="3" t="s">
        <v>66</v>
      </c>
      <c r="G179" s="3" t="s">
        <v>67</v>
      </c>
      <c r="H179" s="3" t="s">
        <v>29</v>
      </c>
      <c r="I179" s="3" t="s">
        <v>30</v>
      </c>
      <c r="J179" s="3" t="s">
        <v>31</v>
      </c>
      <c r="K179" s="3" t="s">
        <v>52</v>
      </c>
      <c r="L179" s="5">
        <v>103</v>
      </c>
      <c r="M179" s="5">
        <f t="shared" ca="1" si="10"/>
        <v>60</v>
      </c>
      <c r="N179" s="6">
        <f t="shared" ca="1" si="11"/>
        <v>58.252427184466015</v>
      </c>
      <c r="O179" s="3" cm="1">
        <f t="array" aca="1" ref="O179" ca="1">IFERROR(LOOKUP(2, 1/((F$1:F178=F179)*(J$1:J178=J179)*(ROW(F$1:F178)&lt;ROW(F179))), N$1:N178), "")</f>
        <v>97.087378640776706</v>
      </c>
      <c r="P179" s="3">
        <f t="shared" si="14"/>
        <v>1.25</v>
      </c>
      <c r="Q179" s="3" t="s">
        <v>43</v>
      </c>
      <c r="R179" s="3" t="s">
        <v>40</v>
      </c>
      <c r="S179" s="3" t="str">
        <f t="shared" si="12"/>
        <v>Yes</v>
      </c>
      <c r="T179" s="3" t="s">
        <v>34</v>
      </c>
      <c r="U179" s="3" t="str">
        <f t="shared" si="13"/>
        <v>Rainy</v>
      </c>
      <c r="V179" s="3" t="s">
        <v>40</v>
      </c>
      <c r="W179" s="3" cm="1">
        <f t="array" ref="W179">_xlfn.IFS(
OR(F179="Selenium (Hands-on)",F179="Guest Lecture: HR Interview"),6,
OR(F179="Soft Skill",F179="Soft Skill (Examination)",F179="AWS Training",F179="AWS Session"),7,
OR(ISNUMBER(SEARCH("MAD",F179)),ISNUMBER(SEARCH("STQA",F179)),F179="CI/CD Session"),8,
OR(ISNUMBER(SEARCH("Cloud",F179)),F179="Industry Readiness Program",ISNUMBER(SEARCH("Talenlio",F179))),9,
OR(ISNUMBER(SEARCH("Innovation",F179)),F179="Mini Project"),10,
OR(ISNUMBER(SEARCH("Data Science",F179)),ISNUMBER(SEARCH("DS",F179))),11,
ISNUMBER(SEARCH("Generative AI",F179)),12
=_xlfn.IFS(
OR(F179="Selenium (Hands-on)",F179="Guest Lecture: HR Interview"),6,
OR(F179="Soft Skill",F179="Soft Skill (Examination)",F179="AWS Training",F179="AWS Session"),7,
OR(ISNUMBER(SEARCH("MAD",F179)),ISNUMBER(SEARCH("STQA",F179)),F179="CI/CD Session"),8,
OR(ISNUMBER(SEARCH("Cloud",F179)),F179="Industry Readiness Program",ISNUMBER(SEARCH("Talenlio",F179))),9,
OR(ISNUMBER(SEARCH("Innovation",F179)),F179="Mini Project"),10,
OR(ISNUMBER(SEARCH("Data Science",F179)),ISNUMBER(SEARCH("DS",F179))),11,
ISNUMBER(SEARCH("Generative AI",F179)),12
=_xlfn.IFS(
OR(F179="Selenium (Hands-on)",F179="Guest Lecture: HR Interview"),6,
OR(F179="Soft Skill",F179="Soft Skill (Examination)",F179="AWS Training",F179="AWS Session"),7,
OR(ISNUMBER(SEARCH("MAD",F179)),ISNUMBER(SEARCH("STQA",F179)),F179="CI/CD Session"),8,
OR(ISNUMBER(SEARCH("Cloud",F179)),F179="Industry Readiness Program",ISNUMBER(SEARCH("Talenlio",F179))),9,
OR(ISNUMBER(SEARCH("Innovation",F179)),F179="Mini Project"),10,
OR(ISNUMBER(SEARCH("Data Science",F179)),ISNUMBER(SEARCH("DS",F179))),11,
ISNUMBER(SEARCH("Generative AI",F179)),12
=_xlfn.IFS(
OR(F179="Selenium (Hands-on)",F179="Guest Lecture: HR Interview"),6,
OR(F179="Soft Skill",F179="Soft Skill (Examination)",F179="AWS Training",F179="AWS Session"),7,
OR(ISNUMBER(SEARCH("MAD",F179)),ISNUMBER(SEARCH("STQA",F179)),F179="CI/CD Session"),8,
OR(ISNUMBER(SEARCH("Cloud",F179)),F179="Industry Readiness Program",ISNUMBER(SEARCH("Talenlio",F179))),9,
OR(ISNUMBER(SEARCH("Innovation",F179)),F179="Mini Project"),10,
OR(ISNUMBER(SEARCH("Data Science",F179)),ISNUMBER(SEARCH("DS",F179))),11,
ISNUMBER(SEARCH("Generative AI",F179)),12
))))</f>
        <v>10</v>
      </c>
      <c r="X179" s="3">
        <v>6</v>
      </c>
      <c r="Y179" s="3">
        <v>41</v>
      </c>
      <c r="Z179" s="3" t="s">
        <v>38</v>
      </c>
    </row>
    <row r="180" spans="1:26" x14ac:dyDescent="0.3">
      <c r="A180" s="2">
        <v>46228</v>
      </c>
      <c r="B180" s="3" t="s">
        <v>47</v>
      </c>
      <c r="C180" s="3">
        <v>6</v>
      </c>
      <c r="D180" s="4">
        <v>0.60416666666666696</v>
      </c>
      <c r="E180" s="4">
        <v>0.64583333333333304</v>
      </c>
      <c r="F180" s="3" t="s">
        <v>66</v>
      </c>
      <c r="G180" s="3" t="s">
        <v>67</v>
      </c>
      <c r="H180" s="3" t="s">
        <v>29</v>
      </c>
      <c r="I180" s="3" t="s">
        <v>30</v>
      </c>
      <c r="J180" s="3" t="s">
        <v>31</v>
      </c>
      <c r="K180" s="3" t="s">
        <v>52</v>
      </c>
      <c r="L180" s="5">
        <v>103</v>
      </c>
      <c r="M180" s="5">
        <f t="shared" ca="1" si="10"/>
        <v>65</v>
      </c>
      <c r="N180" s="6">
        <f t="shared" ca="1" si="11"/>
        <v>63.10679611650486</v>
      </c>
      <c r="O180" s="3" cm="1">
        <f t="array" aca="1" ref="O180" ca="1">IFERROR(LOOKUP(2, 1/((F$1:F179=F180)*(J$1:J179=J180)*(ROW(F$1:F179)&lt;ROW(F180))), N$1:N179), "")</f>
        <v>58.252427184466015</v>
      </c>
      <c r="P180" s="3">
        <f t="shared" si="14"/>
        <v>0</v>
      </c>
      <c r="Q180" s="3" t="s">
        <v>43</v>
      </c>
      <c r="R180" s="3" t="s">
        <v>40</v>
      </c>
      <c r="S180" s="3" t="str">
        <f t="shared" si="12"/>
        <v>Yes</v>
      </c>
      <c r="T180" s="3" t="s">
        <v>34</v>
      </c>
      <c r="U180" s="3" t="str">
        <f t="shared" si="13"/>
        <v>Rainy</v>
      </c>
      <c r="V180" s="3" t="s">
        <v>40</v>
      </c>
      <c r="W180" s="3" cm="1">
        <f t="array" ref="W180">_xlfn.IFS(
OR(F180="Selenium (Hands-on)",F180="Guest Lecture: HR Interview"),6,
OR(F180="Soft Skill",F180="Soft Skill (Examination)",F180="AWS Training",F180="AWS Session"),7,
OR(ISNUMBER(SEARCH("MAD",F180)),ISNUMBER(SEARCH("STQA",F180)),F180="CI/CD Session"),8,
OR(ISNUMBER(SEARCH("Cloud",F180)),F180="Industry Readiness Program",ISNUMBER(SEARCH("Talenlio",F180))),9,
OR(ISNUMBER(SEARCH("Innovation",F180)),F180="Mini Project"),10,
OR(ISNUMBER(SEARCH("Data Science",F180)),ISNUMBER(SEARCH("DS",F180))),11,
ISNUMBER(SEARCH("Generative AI",F180)),12
=_xlfn.IFS(
OR(F180="Selenium (Hands-on)",F180="Guest Lecture: HR Interview"),6,
OR(F180="Soft Skill",F180="Soft Skill (Examination)",F180="AWS Training",F180="AWS Session"),7,
OR(ISNUMBER(SEARCH("MAD",F180)),ISNUMBER(SEARCH("STQA",F180)),F180="CI/CD Session"),8,
OR(ISNUMBER(SEARCH("Cloud",F180)),F180="Industry Readiness Program",ISNUMBER(SEARCH("Talenlio",F180))),9,
OR(ISNUMBER(SEARCH("Innovation",F180)),F180="Mini Project"),10,
OR(ISNUMBER(SEARCH("Data Science",F180)),ISNUMBER(SEARCH("DS",F180))),11,
ISNUMBER(SEARCH("Generative AI",F180)),12
=_xlfn.IFS(
OR(F180="Selenium (Hands-on)",F180="Guest Lecture: HR Interview"),6,
OR(F180="Soft Skill",F180="Soft Skill (Examination)",F180="AWS Training",F180="AWS Session"),7,
OR(ISNUMBER(SEARCH("MAD",F180)),ISNUMBER(SEARCH("STQA",F180)),F180="CI/CD Session"),8,
OR(ISNUMBER(SEARCH("Cloud",F180)),F180="Industry Readiness Program",ISNUMBER(SEARCH("Talenlio",F180))),9,
OR(ISNUMBER(SEARCH("Innovation",F180)),F180="Mini Project"),10,
OR(ISNUMBER(SEARCH("Data Science",F180)),ISNUMBER(SEARCH("DS",F180))),11,
ISNUMBER(SEARCH("Generative AI",F180)),12
=_xlfn.IFS(
OR(F180="Selenium (Hands-on)",F180="Guest Lecture: HR Interview"),6,
OR(F180="Soft Skill",F180="Soft Skill (Examination)",F180="AWS Training",F180="AWS Session"),7,
OR(ISNUMBER(SEARCH("MAD",F180)),ISNUMBER(SEARCH("STQA",F180)),F180="CI/CD Session"),8,
OR(ISNUMBER(SEARCH("Cloud",F180)),F180="Industry Readiness Program",ISNUMBER(SEARCH("Talenlio",F180))),9,
OR(ISNUMBER(SEARCH("Innovation",F180)),F180="Mini Project"),10,
OR(ISNUMBER(SEARCH("Data Science",F180)),ISNUMBER(SEARCH("DS",F180))),11,
ISNUMBER(SEARCH("Generative AI",F180)),12
))))</f>
        <v>10</v>
      </c>
      <c r="X180" s="3">
        <v>6</v>
      </c>
      <c r="Y180" s="3">
        <v>41</v>
      </c>
      <c r="Z180" s="3" t="s">
        <v>38</v>
      </c>
    </row>
    <row r="181" spans="1:26" x14ac:dyDescent="0.3">
      <c r="A181" s="2">
        <v>46230</v>
      </c>
      <c r="B181" s="3" t="s">
        <v>26</v>
      </c>
      <c r="C181" s="3">
        <v>1</v>
      </c>
      <c r="D181" s="4">
        <v>0.33333333333333298</v>
      </c>
      <c r="E181" s="4">
        <v>0.375</v>
      </c>
      <c r="F181" s="3" t="s">
        <v>50</v>
      </c>
      <c r="G181" s="3" t="s">
        <v>51</v>
      </c>
      <c r="H181" s="3" t="s">
        <v>29</v>
      </c>
      <c r="I181" s="3" t="s">
        <v>30</v>
      </c>
      <c r="J181" s="3" t="s">
        <v>31</v>
      </c>
      <c r="K181" s="3" t="s">
        <v>52</v>
      </c>
      <c r="L181" s="5">
        <v>103</v>
      </c>
      <c r="M181" s="5">
        <f t="shared" ca="1" si="10"/>
        <v>100</v>
      </c>
      <c r="N181" s="6">
        <f t="shared" ca="1" si="11"/>
        <v>97.087378640776706</v>
      </c>
      <c r="O181" s="3" cm="1">
        <f t="array" aca="1" ref="O181" ca="1">IFERROR(LOOKUP(2, 1/((F$1:F180=F181)*(J$1:J180=J181)*(ROW(F$1:F180)&lt;ROW(F181))), N$1:N180), "")</f>
        <v>96.116504854368941</v>
      </c>
      <c r="P181" s="3">
        <f t="shared" si="14"/>
        <v>0</v>
      </c>
      <c r="Q181" s="3" t="s">
        <v>43</v>
      </c>
      <c r="R181" s="3" t="s">
        <v>40</v>
      </c>
      <c r="S181" s="3" t="str">
        <f t="shared" si="12"/>
        <v>No</v>
      </c>
      <c r="T181" s="3" t="s">
        <v>34</v>
      </c>
      <c r="U181" s="3" t="str">
        <f t="shared" si="13"/>
        <v>Rainy</v>
      </c>
      <c r="V181" s="3" t="s">
        <v>40</v>
      </c>
      <c r="W181" s="3" cm="1">
        <f t="array" ref="W181">_xlfn.IFS(
OR(F181="Selenium (Hands-on)",F181="Guest Lecture: HR Interview"),6,
OR(F181="Soft Skill",F181="Soft Skill (Examination)",F181="AWS Training",F181="AWS Session"),7,
OR(ISNUMBER(SEARCH("MAD",F181)),ISNUMBER(SEARCH("STQA",F181)),F181="CI/CD Session"),8,
OR(ISNUMBER(SEARCH("Cloud",F181)),F181="Industry Readiness Program",ISNUMBER(SEARCH("Talenlio",F181))),9,
OR(ISNUMBER(SEARCH("Innovation",F181)),F181="Mini Project"),10,
OR(ISNUMBER(SEARCH("Data Science",F181)),ISNUMBER(SEARCH("DS",F181))),11,
ISNUMBER(SEARCH("Generative AI",F181)),12
=_xlfn.IFS(
OR(F181="Selenium (Hands-on)",F181="Guest Lecture: HR Interview"),6,
OR(F181="Soft Skill",F181="Soft Skill (Examination)",F181="AWS Training",F181="AWS Session"),7,
OR(ISNUMBER(SEARCH("MAD",F181)),ISNUMBER(SEARCH("STQA",F181)),F181="CI/CD Session"),8,
OR(ISNUMBER(SEARCH("Cloud",F181)),F181="Industry Readiness Program",ISNUMBER(SEARCH("Talenlio",F181))),9,
OR(ISNUMBER(SEARCH("Innovation",F181)),F181="Mini Project"),10,
OR(ISNUMBER(SEARCH("Data Science",F181)),ISNUMBER(SEARCH("DS",F181))),11,
ISNUMBER(SEARCH("Generative AI",F181)),12
=_xlfn.IFS(
OR(F181="Selenium (Hands-on)",F181="Guest Lecture: HR Interview"),6,
OR(F181="Soft Skill",F181="Soft Skill (Examination)",F181="AWS Training",F181="AWS Session"),7,
OR(ISNUMBER(SEARCH("MAD",F181)),ISNUMBER(SEARCH("STQA",F181)),F181="CI/CD Session"),8,
OR(ISNUMBER(SEARCH("Cloud",F181)),F181="Industry Readiness Program",ISNUMBER(SEARCH("Talenlio",F181))),9,
OR(ISNUMBER(SEARCH("Innovation",F181)),F181="Mini Project"),10,
OR(ISNUMBER(SEARCH("Data Science",F181)),ISNUMBER(SEARCH("DS",F181))),11,
ISNUMBER(SEARCH("Generative AI",F181)),12
=_xlfn.IFS(
OR(F181="Selenium (Hands-on)",F181="Guest Lecture: HR Interview"),6,
OR(F181="Soft Skill",F181="Soft Skill (Examination)",F181="AWS Training",F181="AWS Session"),7,
OR(ISNUMBER(SEARCH("MAD",F181)),ISNUMBER(SEARCH("STQA",F181)),F181="CI/CD Session"),8,
OR(ISNUMBER(SEARCH("Cloud",F181)),F181="Industry Readiness Program",ISNUMBER(SEARCH("Talenlio",F181))),9,
OR(ISNUMBER(SEARCH("Innovation",F181)),F181="Mini Project"),10,
OR(ISNUMBER(SEARCH("Data Science",F181)),ISNUMBER(SEARCH("DS",F181))),11,
ISNUMBER(SEARCH("Generative AI",F181)),12
))))</f>
        <v>8</v>
      </c>
      <c r="X181" s="3">
        <v>7</v>
      </c>
      <c r="Y181" s="3">
        <v>43</v>
      </c>
      <c r="Z181" s="3" t="s">
        <v>35</v>
      </c>
    </row>
    <row r="182" spans="1:26" x14ac:dyDescent="0.3">
      <c r="A182" s="2">
        <v>46230</v>
      </c>
      <c r="B182" s="3" t="s">
        <v>26</v>
      </c>
      <c r="C182" s="3">
        <v>2</v>
      </c>
      <c r="D182" s="4">
        <v>0.375</v>
      </c>
      <c r="E182" s="4">
        <v>0.41666666666666702</v>
      </c>
      <c r="F182" s="3" t="s">
        <v>53</v>
      </c>
      <c r="G182" s="3" t="s">
        <v>68</v>
      </c>
      <c r="H182" s="3" t="s">
        <v>29</v>
      </c>
      <c r="I182" s="3" t="s">
        <v>30</v>
      </c>
      <c r="J182" s="3" t="s">
        <v>31</v>
      </c>
      <c r="K182" s="3" t="s">
        <v>32</v>
      </c>
      <c r="L182" s="5">
        <v>103</v>
      </c>
      <c r="M182" s="5">
        <f t="shared" ca="1" si="10"/>
        <v>81</v>
      </c>
      <c r="N182" s="6">
        <f t="shared" ca="1" si="11"/>
        <v>78.640776699029118</v>
      </c>
      <c r="O182" s="3" cm="1">
        <f t="array" aca="1" ref="O182" ca="1">IFERROR(LOOKUP(2, 1/((F$1:F181=F182)*(J$1:J181=J182)*(ROW(F$1:F181)&lt;ROW(F182))), N$1:N181), "")</f>
        <v>45.631067961165051</v>
      </c>
      <c r="P182" s="3">
        <f t="shared" si="14"/>
        <v>0</v>
      </c>
      <c r="Q182" s="3" t="s">
        <v>33</v>
      </c>
      <c r="R182" s="3" t="s">
        <v>40</v>
      </c>
      <c r="S182" s="3" t="str">
        <f t="shared" si="12"/>
        <v>No</v>
      </c>
      <c r="T182" s="3" t="s">
        <v>34</v>
      </c>
      <c r="U182" s="3" t="str">
        <f t="shared" si="13"/>
        <v>Rainy</v>
      </c>
      <c r="V182" s="3" t="s">
        <v>40</v>
      </c>
      <c r="W182" s="3" cm="1">
        <f t="array" ref="W182">_xlfn.IFS(
OR(F182="Selenium (Hands-on)",F182="Guest Lecture: HR Interview"),6,
OR(F182="Soft Skill",F182="Soft Skill (Examination)",F182="AWS Training",F182="AWS Session"),7,
OR(ISNUMBER(SEARCH("MAD",F182)),ISNUMBER(SEARCH("STQA",F182)),F182="CI/CD Session"),8,
OR(ISNUMBER(SEARCH("Cloud",F182)),F182="Industry Readiness Program",ISNUMBER(SEARCH("Talenlio",F182))),9,
OR(ISNUMBER(SEARCH("Innovation",F182)),F182="Mini Project"),10,
OR(ISNUMBER(SEARCH("Data Science",F182)),ISNUMBER(SEARCH("DS",F182))),11,
ISNUMBER(SEARCH("Generative AI",F182)),12
=_xlfn.IFS(
OR(F182="Selenium (Hands-on)",F182="Guest Lecture: HR Interview"),6,
OR(F182="Soft Skill",F182="Soft Skill (Examination)",F182="AWS Training",F182="AWS Session"),7,
OR(ISNUMBER(SEARCH("MAD",F182)),ISNUMBER(SEARCH("STQA",F182)),F182="CI/CD Session"),8,
OR(ISNUMBER(SEARCH("Cloud",F182)),F182="Industry Readiness Program",ISNUMBER(SEARCH("Talenlio",F182))),9,
OR(ISNUMBER(SEARCH("Innovation",F182)),F182="Mini Project"),10,
OR(ISNUMBER(SEARCH("Data Science",F182)),ISNUMBER(SEARCH("DS",F182))),11,
ISNUMBER(SEARCH("Generative AI",F182)),12
=_xlfn.IFS(
OR(F182="Selenium (Hands-on)",F182="Guest Lecture: HR Interview"),6,
OR(F182="Soft Skill",F182="Soft Skill (Examination)",F182="AWS Training",F182="AWS Session"),7,
OR(ISNUMBER(SEARCH("MAD",F182)),ISNUMBER(SEARCH("STQA",F182)),F182="CI/CD Session"),8,
OR(ISNUMBER(SEARCH("Cloud",F182)),F182="Industry Readiness Program",ISNUMBER(SEARCH("Talenlio",F182))),9,
OR(ISNUMBER(SEARCH("Innovation",F182)),F182="Mini Project"),10,
OR(ISNUMBER(SEARCH("Data Science",F182)),ISNUMBER(SEARCH("DS",F182))),11,
ISNUMBER(SEARCH("Generative AI",F182)),12
=_xlfn.IFS(
OR(F182="Selenium (Hands-on)",F182="Guest Lecture: HR Interview"),6,
OR(F182="Soft Skill",F182="Soft Skill (Examination)",F182="AWS Training",F182="AWS Session"),7,
OR(ISNUMBER(SEARCH("MAD",F182)),ISNUMBER(SEARCH("STQA",F182)),F182="CI/CD Session"),8,
OR(ISNUMBER(SEARCH("Cloud",F182)),F182="Industry Readiness Program",ISNUMBER(SEARCH("Talenlio",F182))),9,
OR(ISNUMBER(SEARCH("Innovation",F182)),F182="Mini Project"),10,
OR(ISNUMBER(SEARCH("Data Science",F182)),ISNUMBER(SEARCH("DS",F182))),11,
ISNUMBER(SEARCH("Generative AI",F182)),12
))))</f>
        <v>10</v>
      </c>
      <c r="X182" s="3">
        <v>7</v>
      </c>
      <c r="Y182" s="3">
        <v>43</v>
      </c>
      <c r="Z182" s="3" t="s">
        <v>35</v>
      </c>
    </row>
    <row r="183" spans="1:26" x14ac:dyDescent="0.3">
      <c r="A183" s="2">
        <v>46230</v>
      </c>
      <c r="B183" s="3" t="s">
        <v>26</v>
      </c>
      <c r="C183" s="3">
        <v>3</v>
      </c>
      <c r="D183" s="4">
        <v>0.41666666666666702</v>
      </c>
      <c r="E183" s="4">
        <v>0.45833333333333298</v>
      </c>
      <c r="F183" s="3" t="s">
        <v>53</v>
      </c>
      <c r="G183" s="3" t="s">
        <v>68</v>
      </c>
      <c r="H183" s="3" t="s">
        <v>29</v>
      </c>
      <c r="I183" s="3" t="s">
        <v>30</v>
      </c>
      <c r="J183" s="3" t="s">
        <v>31</v>
      </c>
      <c r="K183" s="3" t="s">
        <v>32</v>
      </c>
      <c r="L183" s="5">
        <v>103</v>
      </c>
      <c r="M183" s="5">
        <f t="shared" ca="1" si="10"/>
        <v>63</v>
      </c>
      <c r="N183" s="6">
        <f t="shared" ca="1" si="11"/>
        <v>61.165048543689316</v>
      </c>
      <c r="O183" s="3" cm="1">
        <f t="array" aca="1" ref="O183" ca="1">IFERROR(LOOKUP(2, 1/((F$1:F182=F183)*(J$1:J182=J183)*(ROW(F$1:F182)&lt;ROW(F183))), N$1:N182), "")</f>
        <v>78.640776699029118</v>
      </c>
      <c r="P183" s="3">
        <f t="shared" si="14"/>
        <v>0</v>
      </c>
      <c r="Q183" s="3" t="s">
        <v>33</v>
      </c>
      <c r="R183" s="3" t="s">
        <v>40</v>
      </c>
      <c r="S183" s="3" t="str">
        <f t="shared" si="12"/>
        <v>No</v>
      </c>
      <c r="T183" s="3" t="s">
        <v>34</v>
      </c>
      <c r="U183" s="3" t="str">
        <f t="shared" si="13"/>
        <v>Rainy</v>
      </c>
      <c r="V183" s="3" t="s">
        <v>40</v>
      </c>
      <c r="W183" s="3" cm="1">
        <f t="array" ref="W183">_xlfn.IFS(
OR(F183="Selenium (Hands-on)",F183="Guest Lecture: HR Interview"),6,
OR(F183="Soft Skill",F183="Soft Skill (Examination)",F183="AWS Training",F183="AWS Session"),7,
OR(ISNUMBER(SEARCH("MAD",F183)),ISNUMBER(SEARCH("STQA",F183)),F183="CI/CD Session"),8,
OR(ISNUMBER(SEARCH("Cloud",F183)),F183="Industry Readiness Program",ISNUMBER(SEARCH("Talenlio",F183))),9,
OR(ISNUMBER(SEARCH("Innovation",F183)),F183="Mini Project"),10,
OR(ISNUMBER(SEARCH("Data Science",F183)),ISNUMBER(SEARCH("DS",F183))),11,
ISNUMBER(SEARCH("Generative AI",F183)),12
=_xlfn.IFS(
OR(F183="Selenium (Hands-on)",F183="Guest Lecture: HR Interview"),6,
OR(F183="Soft Skill",F183="Soft Skill (Examination)",F183="AWS Training",F183="AWS Session"),7,
OR(ISNUMBER(SEARCH("MAD",F183)),ISNUMBER(SEARCH("STQA",F183)),F183="CI/CD Session"),8,
OR(ISNUMBER(SEARCH("Cloud",F183)),F183="Industry Readiness Program",ISNUMBER(SEARCH("Talenlio",F183))),9,
OR(ISNUMBER(SEARCH("Innovation",F183)),F183="Mini Project"),10,
OR(ISNUMBER(SEARCH("Data Science",F183)),ISNUMBER(SEARCH("DS",F183))),11,
ISNUMBER(SEARCH("Generative AI",F183)),12
=_xlfn.IFS(
OR(F183="Selenium (Hands-on)",F183="Guest Lecture: HR Interview"),6,
OR(F183="Soft Skill",F183="Soft Skill (Examination)",F183="AWS Training",F183="AWS Session"),7,
OR(ISNUMBER(SEARCH("MAD",F183)),ISNUMBER(SEARCH("STQA",F183)),F183="CI/CD Session"),8,
OR(ISNUMBER(SEARCH("Cloud",F183)),F183="Industry Readiness Program",ISNUMBER(SEARCH("Talenlio",F183))),9,
OR(ISNUMBER(SEARCH("Innovation",F183)),F183="Mini Project"),10,
OR(ISNUMBER(SEARCH("Data Science",F183)),ISNUMBER(SEARCH("DS",F183))),11,
ISNUMBER(SEARCH("Generative AI",F183)),12
=_xlfn.IFS(
OR(F183="Selenium (Hands-on)",F183="Guest Lecture: HR Interview"),6,
OR(F183="Soft Skill",F183="Soft Skill (Examination)",F183="AWS Training",F183="AWS Session"),7,
OR(ISNUMBER(SEARCH("MAD",F183)),ISNUMBER(SEARCH("STQA",F183)),F183="CI/CD Session"),8,
OR(ISNUMBER(SEARCH("Cloud",F183)),F183="Industry Readiness Program",ISNUMBER(SEARCH("Talenlio",F183))),9,
OR(ISNUMBER(SEARCH("Innovation",F183)),F183="Mini Project"),10,
OR(ISNUMBER(SEARCH("Data Science",F183)),ISNUMBER(SEARCH("DS",F183))),11,
ISNUMBER(SEARCH("Generative AI",F183)),12
))))</f>
        <v>10</v>
      </c>
      <c r="X183" s="3">
        <v>7</v>
      </c>
      <c r="Y183" s="3">
        <v>43</v>
      </c>
      <c r="Z183" s="3" t="s">
        <v>35</v>
      </c>
    </row>
    <row r="184" spans="1:26" x14ac:dyDescent="0.3">
      <c r="A184" s="2">
        <v>46230</v>
      </c>
      <c r="B184" s="3" t="s">
        <v>26</v>
      </c>
      <c r="C184" s="3">
        <v>4</v>
      </c>
      <c r="D184" s="4">
        <v>0.45833333333333298</v>
      </c>
      <c r="E184" s="4">
        <v>0.51041666666666696</v>
      </c>
      <c r="F184" s="3" t="s">
        <v>59</v>
      </c>
      <c r="G184" s="3" t="s">
        <v>73</v>
      </c>
      <c r="H184" s="3" t="s">
        <v>29</v>
      </c>
      <c r="I184" s="3" t="s">
        <v>30</v>
      </c>
      <c r="J184" s="3" t="s">
        <v>31</v>
      </c>
      <c r="K184" s="3" t="s">
        <v>52</v>
      </c>
      <c r="L184" s="5">
        <v>103</v>
      </c>
      <c r="M184" s="5">
        <f t="shared" ca="1" si="10"/>
        <v>40</v>
      </c>
      <c r="N184" s="6">
        <f t="shared" ca="1" si="11"/>
        <v>38.834951456310677</v>
      </c>
      <c r="O184" s="3" cm="1">
        <f t="array" aca="1" ref="O184" ca="1">IFERROR(LOOKUP(2, 1/((F$1:F183=F184)*(J$1:J183=J184)*(ROW(F$1:F183)&lt;ROW(F184))), N$1:N183), "")</f>
        <v>45.631067961165051</v>
      </c>
      <c r="P184" s="3">
        <f t="shared" si="14"/>
        <v>0</v>
      </c>
      <c r="Q184" s="3" t="s">
        <v>33</v>
      </c>
      <c r="R184" s="3" t="s">
        <v>40</v>
      </c>
      <c r="S184" s="3" t="str">
        <f t="shared" si="12"/>
        <v>No</v>
      </c>
      <c r="T184" s="3" t="s">
        <v>34</v>
      </c>
      <c r="U184" s="3" t="str">
        <f t="shared" si="13"/>
        <v>Rainy</v>
      </c>
      <c r="V184" s="3" t="s">
        <v>40</v>
      </c>
      <c r="W184" s="3" cm="1">
        <f t="array" ref="W184">_xlfn.IFS(
OR(F184="Selenium (Hands-on)",F184="Guest Lecture: HR Interview"),6,
OR(F184="Soft Skill",F184="Soft Skill (Examination)",F184="AWS Training",F184="AWS Session"),7,
OR(ISNUMBER(SEARCH("MAD",F184)),ISNUMBER(SEARCH("STQA",F184)),F184="CI/CD Session"),8,
OR(ISNUMBER(SEARCH("Cloud",F184)),F184="Industry Readiness Program",ISNUMBER(SEARCH("Talenlio",F184))),9,
OR(ISNUMBER(SEARCH("Innovation",F184)),F184="Mini Project"),10,
OR(ISNUMBER(SEARCH("Data Science",F184)),ISNUMBER(SEARCH("DS",F184))),11,
ISNUMBER(SEARCH("Generative AI",F184)),12
=_xlfn.IFS(
OR(F184="Selenium (Hands-on)",F184="Guest Lecture: HR Interview"),6,
OR(F184="Soft Skill",F184="Soft Skill (Examination)",F184="AWS Training",F184="AWS Session"),7,
OR(ISNUMBER(SEARCH("MAD",F184)),ISNUMBER(SEARCH("STQA",F184)),F184="CI/CD Session"),8,
OR(ISNUMBER(SEARCH("Cloud",F184)),F184="Industry Readiness Program",ISNUMBER(SEARCH("Talenlio",F184))),9,
OR(ISNUMBER(SEARCH("Innovation",F184)),F184="Mini Project"),10,
OR(ISNUMBER(SEARCH("Data Science",F184)),ISNUMBER(SEARCH("DS",F184))),11,
ISNUMBER(SEARCH("Generative AI",F184)),12
=_xlfn.IFS(
OR(F184="Selenium (Hands-on)",F184="Guest Lecture: HR Interview"),6,
OR(F184="Soft Skill",F184="Soft Skill (Examination)",F184="AWS Training",F184="AWS Session"),7,
OR(ISNUMBER(SEARCH("MAD",F184)),ISNUMBER(SEARCH("STQA",F184)),F184="CI/CD Session"),8,
OR(ISNUMBER(SEARCH("Cloud",F184)),F184="Industry Readiness Program",ISNUMBER(SEARCH("Talenlio",F184))),9,
OR(ISNUMBER(SEARCH("Innovation",F184)),F184="Mini Project"),10,
OR(ISNUMBER(SEARCH("Data Science",F184)),ISNUMBER(SEARCH("DS",F184))),11,
ISNUMBER(SEARCH("Generative AI",F184)),12
=_xlfn.IFS(
OR(F184="Selenium (Hands-on)",F184="Guest Lecture: HR Interview"),6,
OR(F184="Soft Skill",F184="Soft Skill (Examination)",F184="AWS Training",F184="AWS Session"),7,
OR(ISNUMBER(SEARCH("MAD",F184)),ISNUMBER(SEARCH("STQA",F184)),F184="CI/CD Session"),8,
OR(ISNUMBER(SEARCH("Cloud",F184)),F184="Industry Readiness Program",ISNUMBER(SEARCH("Talenlio",F184))),9,
OR(ISNUMBER(SEARCH("Innovation",F184)),F184="Mini Project"),10,
OR(ISNUMBER(SEARCH("Data Science",F184)),ISNUMBER(SEARCH("DS",F184))),11,
ISNUMBER(SEARCH("Generative AI",F184)),12
))))</f>
        <v>11</v>
      </c>
      <c r="X184" s="3">
        <v>7</v>
      </c>
      <c r="Y184" s="3">
        <v>43</v>
      </c>
      <c r="Z184" s="3" t="s">
        <v>35</v>
      </c>
    </row>
    <row r="185" spans="1:26" x14ac:dyDescent="0.3">
      <c r="A185" s="2">
        <v>46230</v>
      </c>
      <c r="B185" s="3" t="s">
        <v>26</v>
      </c>
      <c r="C185" s="3">
        <v>5</v>
      </c>
      <c r="D185" s="4">
        <v>0.5625</v>
      </c>
      <c r="E185" s="4">
        <v>0.60416666666666696</v>
      </c>
      <c r="F185" s="3" t="s">
        <v>74</v>
      </c>
      <c r="G185" s="3" t="s">
        <v>75</v>
      </c>
      <c r="H185" s="3" t="s">
        <v>29</v>
      </c>
      <c r="I185" s="3" t="s">
        <v>30</v>
      </c>
      <c r="J185" s="3" t="s">
        <v>31</v>
      </c>
      <c r="K185" s="3" t="s">
        <v>76</v>
      </c>
      <c r="L185" s="5">
        <v>103</v>
      </c>
      <c r="M185" s="5">
        <f t="shared" ca="1" si="10"/>
        <v>74</v>
      </c>
      <c r="N185" s="6">
        <f t="shared" ca="1" si="11"/>
        <v>71.844660194174764</v>
      </c>
      <c r="O185" s="3">
        <v>81.865161599999993</v>
      </c>
      <c r="P185" s="3">
        <f t="shared" si="14"/>
        <v>1.25</v>
      </c>
      <c r="Q185" s="3" t="s">
        <v>43</v>
      </c>
      <c r="R185" s="3" t="s">
        <v>40</v>
      </c>
      <c r="S185" s="3" t="str">
        <f t="shared" si="12"/>
        <v>Yes</v>
      </c>
      <c r="T185" s="3" t="s">
        <v>34</v>
      </c>
      <c r="U185" s="3" t="str">
        <f t="shared" si="13"/>
        <v>Rainy</v>
      </c>
      <c r="V185" s="3" t="s">
        <v>40</v>
      </c>
      <c r="W185" s="3" cm="1">
        <f t="array" ref="W185">_xlfn.IFS(
OR(F185="Selenium (Hands-on)",F185="Guest Lecture: HR Interview"),6,
OR(F185="Soft Skill",F185="Soft Skill (Examination)",F185="AWS Training",F185="AWS Session"),7,
OR(ISNUMBER(SEARCH("MAD",F185)),ISNUMBER(SEARCH("STQA",F185)),F185="CI/CD Session"),8,
OR(ISNUMBER(SEARCH("Cloud",F185)),F185="Industry Readiness Program",ISNUMBER(SEARCH("Talenlio",F185))),9,
OR(ISNUMBER(SEARCH("Innovation",F185)),F185="Mini Project"),10,
OR(ISNUMBER(SEARCH("Data Science",F185)),ISNUMBER(SEARCH("DS",F185))),11,
ISNUMBER(SEARCH("Generative AI",F185)),12
=_xlfn.IFS(
OR(F185="Selenium (Hands-on)",F185="Guest Lecture: HR Interview"),6,
OR(F185="Soft Skill",F185="Soft Skill (Examination)",F185="AWS Training",F185="AWS Session"),7,
OR(ISNUMBER(SEARCH("MAD",F185)),ISNUMBER(SEARCH("STQA",F185)),F185="CI/CD Session"),8,
OR(ISNUMBER(SEARCH("Cloud",F185)),F185="Industry Readiness Program",ISNUMBER(SEARCH("Talenlio",F185))),9,
OR(ISNUMBER(SEARCH("Innovation",F185)),F185="Mini Project"),10,
OR(ISNUMBER(SEARCH("Data Science",F185)),ISNUMBER(SEARCH("DS",F185))),11,
ISNUMBER(SEARCH("Generative AI",F185)),12
=_xlfn.IFS(
OR(F185="Selenium (Hands-on)",F185="Guest Lecture: HR Interview"),6,
OR(F185="Soft Skill",F185="Soft Skill (Examination)",F185="AWS Training",F185="AWS Session"),7,
OR(ISNUMBER(SEARCH("MAD",F185)),ISNUMBER(SEARCH("STQA",F185)),F185="CI/CD Session"),8,
OR(ISNUMBER(SEARCH("Cloud",F185)),F185="Industry Readiness Program",ISNUMBER(SEARCH("Talenlio",F185))),9,
OR(ISNUMBER(SEARCH("Innovation",F185)),F185="Mini Project"),10,
OR(ISNUMBER(SEARCH("Data Science",F185)),ISNUMBER(SEARCH("DS",F185))),11,
ISNUMBER(SEARCH("Generative AI",F185)),12
=_xlfn.IFS(
OR(F185="Selenium (Hands-on)",F185="Guest Lecture: HR Interview"),6,
OR(F185="Soft Skill",F185="Soft Skill (Examination)",F185="AWS Training",F185="AWS Session"),7,
OR(ISNUMBER(SEARCH("MAD",F185)),ISNUMBER(SEARCH("STQA",F185)),F185="CI/CD Session"),8,
OR(ISNUMBER(SEARCH("Cloud",F185)),F185="Industry Readiness Program",ISNUMBER(SEARCH("Talenlio",F185))),9,
OR(ISNUMBER(SEARCH("Innovation",F185)),F185="Mini Project"),10,
OR(ISNUMBER(SEARCH("Data Science",F185)),ISNUMBER(SEARCH("DS",F185))),11,
ISNUMBER(SEARCH("Generative AI",F185)),12
))))</f>
        <v>6</v>
      </c>
      <c r="X185" s="3">
        <v>7</v>
      </c>
      <c r="Y185" s="3">
        <v>43</v>
      </c>
      <c r="Z185" s="3" t="s">
        <v>38</v>
      </c>
    </row>
    <row r="186" spans="1:26" x14ac:dyDescent="0.3">
      <c r="A186" s="2">
        <v>46230</v>
      </c>
      <c r="B186" s="3" t="s">
        <v>26</v>
      </c>
      <c r="C186" s="3">
        <v>6</v>
      </c>
      <c r="D186" s="4">
        <v>0.60416666666666696</v>
      </c>
      <c r="E186" s="4">
        <v>0.64583333333333304</v>
      </c>
      <c r="F186" s="3" t="s">
        <v>74</v>
      </c>
      <c r="G186" s="3" t="s">
        <v>75</v>
      </c>
      <c r="H186" s="3" t="s">
        <v>29</v>
      </c>
      <c r="I186" s="3" t="s">
        <v>30</v>
      </c>
      <c r="J186" s="3" t="s">
        <v>31</v>
      </c>
      <c r="K186" s="3" t="s">
        <v>76</v>
      </c>
      <c r="L186" s="5">
        <v>103</v>
      </c>
      <c r="M186" s="5">
        <f t="shared" ca="1" si="10"/>
        <v>84</v>
      </c>
      <c r="N186" s="6">
        <f t="shared" ca="1" si="11"/>
        <v>81.553398058252426</v>
      </c>
      <c r="O186" s="3" cm="1">
        <f t="array" aca="1" ref="O186" ca="1">IFERROR(LOOKUP(2, 1/((F$1:F185=F186)*(J$1:J185=J186)*(ROW(F$1:F185)&lt;ROW(F186))), N$1:N185), "")</f>
        <v>71.844660194174764</v>
      </c>
      <c r="P186" s="3">
        <f t="shared" si="14"/>
        <v>0</v>
      </c>
      <c r="Q186" s="3" t="s">
        <v>43</v>
      </c>
      <c r="R186" s="3" t="s">
        <v>40</v>
      </c>
      <c r="S186" s="3" t="str">
        <f t="shared" si="12"/>
        <v>Yes</v>
      </c>
      <c r="T186" s="3" t="s">
        <v>34</v>
      </c>
      <c r="U186" s="3" t="str">
        <f t="shared" si="13"/>
        <v>Rainy</v>
      </c>
      <c r="V186" s="3" t="s">
        <v>40</v>
      </c>
      <c r="W186" s="3" cm="1">
        <f t="array" ref="W186">_xlfn.IFS(
OR(F186="Selenium (Hands-on)",F186="Guest Lecture: HR Interview"),6,
OR(F186="Soft Skill",F186="Soft Skill (Examination)",F186="AWS Training",F186="AWS Session"),7,
OR(ISNUMBER(SEARCH("MAD",F186)),ISNUMBER(SEARCH("STQA",F186)),F186="CI/CD Session"),8,
OR(ISNUMBER(SEARCH("Cloud",F186)),F186="Industry Readiness Program",ISNUMBER(SEARCH("Talenlio",F186))),9,
OR(ISNUMBER(SEARCH("Innovation",F186)),F186="Mini Project"),10,
OR(ISNUMBER(SEARCH("Data Science",F186)),ISNUMBER(SEARCH("DS",F186))),11,
ISNUMBER(SEARCH("Generative AI",F186)),12
=_xlfn.IFS(
OR(F186="Selenium (Hands-on)",F186="Guest Lecture: HR Interview"),6,
OR(F186="Soft Skill",F186="Soft Skill (Examination)",F186="AWS Training",F186="AWS Session"),7,
OR(ISNUMBER(SEARCH("MAD",F186)),ISNUMBER(SEARCH("STQA",F186)),F186="CI/CD Session"),8,
OR(ISNUMBER(SEARCH("Cloud",F186)),F186="Industry Readiness Program",ISNUMBER(SEARCH("Talenlio",F186))),9,
OR(ISNUMBER(SEARCH("Innovation",F186)),F186="Mini Project"),10,
OR(ISNUMBER(SEARCH("Data Science",F186)),ISNUMBER(SEARCH("DS",F186))),11,
ISNUMBER(SEARCH("Generative AI",F186)),12
=_xlfn.IFS(
OR(F186="Selenium (Hands-on)",F186="Guest Lecture: HR Interview"),6,
OR(F186="Soft Skill",F186="Soft Skill (Examination)",F186="AWS Training",F186="AWS Session"),7,
OR(ISNUMBER(SEARCH("MAD",F186)),ISNUMBER(SEARCH("STQA",F186)),F186="CI/CD Session"),8,
OR(ISNUMBER(SEARCH("Cloud",F186)),F186="Industry Readiness Program",ISNUMBER(SEARCH("Talenlio",F186))),9,
OR(ISNUMBER(SEARCH("Innovation",F186)),F186="Mini Project"),10,
OR(ISNUMBER(SEARCH("Data Science",F186)),ISNUMBER(SEARCH("DS",F186))),11,
ISNUMBER(SEARCH("Generative AI",F186)),12
=_xlfn.IFS(
OR(F186="Selenium (Hands-on)",F186="Guest Lecture: HR Interview"),6,
OR(F186="Soft Skill",F186="Soft Skill (Examination)",F186="AWS Training",F186="AWS Session"),7,
OR(ISNUMBER(SEARCH("MAD",F186)),ISNUMBER(SEARCH("STQA",F186)),F186="CI/CD Session"),8,
OR(ISNUMBER(SEARCH("Cloud",F186)),F186="Industry Readiness Program",ISNUMBER(SEARCH("Talenlio",F186))),9,
OR(ISNUMBER(SEARCH("Innovation",F186)),F186="Mini Project"),10,
OR(ISNUMBER(SEARCH("Data Science",F186)),ISNUMBER(SEARCH("DS",F186))),11,
ISNUMBER(SEARCH("Generative AI",F186)),12
))))</f>
        <v>6</v>
      </c>
      <c r="X186" s="3">
        <v>7</v>
      </c>
      <c r="Y186" s="3">
        <v>43</v>
      </c>
      <c r="Z186" s="3" t="s">
        <v>38</v>
      </c>
    </row>
    <row r="187" spans="1:26" x14ac:dyDescent="0.3">
      <c r="A187" s="2">
        <v>46230</v>
      </c>
      <c r="B187" s="3" t="s">
        <v>26</v>
      </c>
      <c r="C187" s="3">
        <v>7</v>
      </c>
      <c r="D187" s="4">
        <v>0.64583333333333304</v>
      </c>
      <c r="E187" s="4">
        <v>0.66666666666666696</v>
      </c>
      <c r="F187" s="3" t="s">
        <v>74</v>
      </c>
      <c r="G187" s="3" t="s">
        <v>75</v>
      </c>
      <c r="H187" s="3" t="s">
        <v>29</v>
      </c>
      <c r="I187" s="3" t="s">
        <v>30</v>
      </c>
      <c r="J187" s="3" t="s">
        <v>31</v>
      </c>
      <c r="K187" s="3" t="s">
        <v>76</v>
      </c>
      <c r="L187" s="5">
        <v>103</v>
      </c>
      <c r="M187" s="5">
        <f t="shared" ca="1" si="10"/>
        <v>60</v>
      </c>
      <c r="N187" s="6">
        <f t="shared" ca="1" si="11"/>
        <v>58.252427184466015</v>
      </c>
      <c r="O187" s="3" cm="1">
        <f t="array" aca="1" ref="O187" ca="1">IFERROR(LOOKUP(2, 1/((F$1:F186=F187)*(J$1:J186=J187)*(ROW(F$1:F186)&lt;ROW(F187))), N$1:N186), "")</f>
        <v>81.553398058252426</v>
      </c>
      <c r="P187" s="3">
        <f t="shared" si="14"/>
        <v>0</v>
      </c>
      <c r="Q187" s="3" t="s">
        <v>43</v>
      </c>
      <c r="R187" s="3" t="s">
        <v>40</v>
      </c>
      <c r="S187" s="3" t="str">
        <f t="shared" si="12"/>
        <v>Yes</v>
      </c>
      <c r="T187" s="3" t="s">
        <v>34</v>
      </c>
      <c r="U187" s="3" t="str">
        <f t="shared" si="13"/>
        <v>Rainy</v>
      </c>
      <c r="V187" s="3" t="s">
        <v>40</v>
      </c>
      <c r="W187" s="3" cm="1">
        <f t="array" ref="W187">_xlfn.IFS(
OR(F187="Selenium (Hands-on)",F187="Guest Lecture: HR Interview"),6,
OR(F187="Soft Skill",F187="Soft Skill (Examination)",F187="AWS Training",F187="AWS Session"),7,
OR(ISNUMBER(SEARCH("MAD",F187)),ISNUMBER(SEARCH("STQA",F187)),F187="CI/CD Session"),8,
OR(ISNUMBER(SEARCH("Cloud",F187)),F187="Industry Readiness Program",ISNUMBER(SEARCH("Talenlio",F187))),9,
OR(ISNUMBER(SEARCH("Innovation",F187)),F187="Mini Project"),10,
OR(ISNUMBER(SEARCH("Data Science",F187)),ISNUMBER(SEARCH("DS",F187))),11,
ISNUMBER(SEARCH("Generative AI",F187)),12
=_xlfn.IFS(
OR(F187="Selenium (Hands-on)",F187="Guest Lecture: HR Interview"),6,
OR(F187="Soft Skill",F187="Soft Skill (Examination)",F187="AWS Training",F187="AWS Session"),7,
OR(ISNUMBER(SEARCH("MAD",F187)),ISNUMBER(SEARCH("STQA",F187)),F187="CI/CD Session"),8,
OR(ISNUMBER(SEARCH("Cloud",F187)),F187="Industry Readiness Program",ISNUMBER(SEARCH("Talenlio",F187))),9,
OR(ISNUMBER(SEARCH("Innovation",F187)),F187="Mini Project"),10,
OR(ISNUMBER(SEARCH("Data Science",F187)),ISNUMBER(SEARCH("DS",F187))),11,
ISNUMBER(SEARCH("Generative AI",F187)),12
=_xlfn.IFS(
OR(F187="Selenium (Hands-on)",F187="Guest Lecture: HR Interview"),6,
OR(F187="Soft Skill",F187="Soft Skill (Examination)",F187="AWS Training",F187="AWS Session"),7,
OR(ISNUMBER(SEARCH("MAD",F187)),ISNUMBER(SEARCH("STQA",F187)),F187="CI/CD Session"),8,
OR(ISNUMBER(SEARCH("Cloud",F187)),F187="Industry Readiness Program",ISNUMBER(SEARCH("Talenlio",F187))),9,
OR(ISNUMBER(SEARCH("Innovation",F187)),F187="Mini Project"),10,
OR(ISNUMBER(SEARCH("Data Science",F187)),ISNUMBER(SEARCH("DS",F187))),11,
ISNUMBER(SEARCH("Generative AI",F187)),12
=_xlfn.IFS(
OR(F187="Selenium (Hands-on)",F187="Guest Lecture: HR Interview"),6,
OR(F187="Soft Skill",F187="Soft Skill (Examination)",F187="AWS Training",F187="AWS Session"),7,
OR(ISNUMBER(SEARCH("MAD",F187)),ISNUMBER(SEARCH("STQA",F187)),F187="CI/CD Session"),8,
OR(ISNUMBER(SEARCH("Cloud",F187)),F187="Industry Readiness Program",ISNUMBER(SEARCH("Talenlio",F187))),9,
OR(ISNUMBER(SEARCH("Innovation",F187)),F187="Mini Project"),10,
OR(ISNUMBER(SEARCH("Data Science",F187)),ISNUMBER(SEARCH("DS",F187))),11,
ISNUMBER(SEARCH("Generative AI",F187)),12
))))</f>
        <v>6</v>
      </c>
      <c r="X187" s="3">
        <v>7</v>
      </c>
      <c r="Y187" s="3">
        <v>43</v>
      </c>
      <c r="Z187" s="3" t="s">
        <v>38</v>
      </c>
    </row>
    <row r="188" spans="1:26" x14ac:dyDescent="0.3">
      <c r="A188" s="2">
        <v>46231</v>
      </c>
      <c r="B188" s="3" t="s">
        <v>39</v>
      </c>
      <c r="C188" s="3">
        <v>1</v>
      </c>
      <c r="D188" s="4">
        <v>0.33333333333333298</v>
      </c>
      <c r="E188" s="4">
        <v>0.375</v>
      </c>
      <c r="F188" s="3" t="s">
        <v>50</v>
      </c>
      <c r="G188" s="3" t="s">
        <v>51</v>
      </c>
      <c r="H188" s="3" t="s">
        <v>29</v>
      </c>
      <c r="I188" s="3" t="s">
        <v>30</v>
      </c>
      <c r="J188" s="3" t="s">
        <v>31</v>
      </c>
      <c r="K188" s="3" t="s">
        <v>52</v>
      </c>
      <c r="L188" s="5">
        <v>103</v>
      </c>
      <c r="M188" s="5">
        <f t="shared" ca="1" si="10"/>
        <v>84</v>
      </c>
      <c r="N188" s="6">
        <f t="shared" ca="1" si="11"/>
        <v>81.553398058252426</v>
      </c>
      <c r="O188" s="3" cm="1">
        <f t="array" aca="1" ref="O188" ca="1">IFERROR(LOOKUP(2, 1/((F$1:F187=F188)*(J$1:J187=J188)*(ROW(F$1:F187)&lt;ROW(F188))), N$1:N187), "")</f>
        <v>97.087378640776706</v>
      </c>
      <c r="P188" s="3">
        <f t="shared" si="14"/>
        <v>0</v>
      </c>
      <c r="Q188" s="3" t="s">
        <v>43</v>
      </c>
      <c r="R188" s="3" t="s">
        <v>40</v>
      </c>
      <c r="S188" s="3" t="str">
        <f t="shared" si="12"/>
        <v>No</v>
      </c>
      <c r="T188" s="3" t="s">
        <v>40</v>
      </c>
      <c r="U188" s="3" t="str">
        <f t="shared" si="13"/>
        <v>Rainy</v>
      </c>
      <c r="V188" s="3" t="s">
        <v>40</v>
      </c>
      <c r="W188" s="3" cm="1">
        <f t="array" ref="W188">_xlfn.IFS(
OR(F188="Selenium (Hands-on)",F188="Guest Lecture: HR Interview"),6,
OR(F188="Soft Skill",F188="Soft Skill (Examination)",F188="AWS Training",F188="AWS Session"),7,
OR(ISNUMBER(SEARCH("MAD",F188)),ISNUMBER(SEARCH("STQA",F188)),F188="CI/CD Session"),8,
OR(ISNUMBER(SEARCH("Cloud",F188)),F188="Industry Readiness Program",ISNUMBER(SEARCH("Talenlio",F188))),9,
OR(ISNUMBER(SEARCH("Innovation",F188)),F188="Mini Project"),10,
OR(ISNUMBER(SEARCH("Data Science",F188)),ISNUMBER(SEARCH("DS",F188))),11,
ISNUMBER(SEARCH("Generative AI",F188)),12
=_xlfn.IFS(
OR(F188="Selenium (Hands-on)",F188="Guest Lecture: HR Interview"),6,
OR(F188="Soft Skill",F188="Soft Skill (Examination)",F188="AWS Training",F188="AWS Session"),7,
OR(ISNUMBER(SEARCH("MAD",F188)),ISNUMBER(SEARCH("STQA",F188)),F188="CI/CD Session"),8,
OR(ISNUMBER(SEARCH("Cloud",F188)),F188="Industry Readiness Program",ISNUMBER(SEARCH("Talenlio",F188))),9,
OR(ISNUMBER(SEARCH("Innovation",F188)),F188="Mini Project"),10,
OR(ISNUMBER(SEARCH("Data Science",F188)),ISNUMBER(SEARCH("DS",F188))),11,
ISNUMBER(SEARCH("Generative AI",F188)),12
=_xlfn.IFS(
OR(F188="Selenium (Hands-on)",F188="Guest Lecture: HR Interview"),6,
OR(F188="Soft Skill",F188="Soft Skill (Examination)",F188="AWS Training",F188="AWS Session"),7,
OR(ISNUMBER(SEARCH("MAD",F188)),ISNUMBER(SEARCH("STQA",F188)),F188="CI/CD Session"),8,
OR(ISNUMBER(SEARCH("Cloud",F188)),F188="Industry Readiness Program",ISNUMBER(SEARCH("Talenlio",F188))),9,
OR(ISNUMBER(SEARCH("Innovation",F188)),F188="Mini Project"),10,
OR(ISNUMBER(SEARCH("Data Science",F188)),ISNUMBER(SEARCH("DS",F188))),11,
ISNUMBER(SEARCH("Generative AI",F188)),12
=_xlfn.IFS(
OR(F188="Selenium (Hands-on)",F188="Guest Lecture: HR Interview"),6,
OR(F188="Soft Skill",F188="Soft Skill (Examination)",F188="AWS Training",F188="AWS Session"),7,
OR(ISNUMBER(SEARCH("MAD",F188)),ISNUMBER(SEARCH("STQA",F188)),F188="CI/CD Session"),8,
OR(ISNUMBER(SEARCH("Cloud",F188)),F188="Industry Readiness Program",ISNUMBER(SEARCH("Talenlio",F188))),9,
OR(ISNUMBER(SEARCH("Innovation",F188)),F188="Mini Project"),10,
OR(ISNUMBER(SEARCH("Data Science",F188)),ISNUMBER(SEARCH("DS",F188))),11,
ISNUMBER(SEARCH("Generative AI",F188)),12
))))</f>
        <v>8</v>
      </c>
      <c r="X188" s="3">
        <v>7</v>
      </c>
      <c r="Y188" s="3">
        <v>44</v>
      </c>
      <c r="Z188" s="3" t="s">
        <v>35</v>
      </c>
    </row>
    <row r="189" spans="1:26" x14ac:dyDescent="0.3">
      <c r="A189" s="2">
        <v>46231</v>
      </c>
      <c r="B189" s="3" t="s">
        <v>39</v>
      </c>
      <c r="C189" s="3">
        <v>2</v>
      </c>
      <c r="D189" s="4">
        <v>0.375</v>
      </c>
      <c r="E189" s="4">
        <v>0.41666666666666702</v>
      </c>
      <c r="F189" s="3" t="s">
        <v>74</v>
      </c>
      <c r="G189" s="3" t="s">
        <v>75</v>
      </c>
      <c r="H189" s="3" t="s">
        <v>29</v>
      </c>
      <c r="I189" s="3" t="s">
        <v>30</v>
      </c>
      <c r="J189" s="3" t="s">
        <v>31</v>
      </c>
      <c r="K189" s="3" t="s">
        <v>76</v>
      </c>
      <c r="L189" s="5">
        <v>103</v>
      </c>
      <c r="M189" s="5">
        <f t="shared" ca="1" si="10"/>
        <v>80</v>
      </c>
      <c r="N189" s="6">
        <f t="shared" ca="1" si="11"/>
        <v>77.669902912621353</v>
      </c>
      <c r="O189" s="3" cm="1">
        <f t="array" aca="1" ref="O189" ca="1">IFERROR(LOOKUP(2, 1/((F$1:F188=F189)*(J$1:J188=J189)*(ROW(F$1:F188)&lt;ROW(F189))), N$1:N188), "")</f>
        <v>58.252427184466015</v>
      </c>
      <c r="P189" s="3">
        <f t="shared" si="14"/>
        <v>0</v>
      </c>
      <c r="Q189" s="3" t="s">
        <v>43</v>
      </c>
      <c r="R189" s="3" t="s">
        <v>40</v>
      </c>
      <c r="S189" s="3" t="str">
        <f t="shared" si="12"/>
        <v>Yes</v>
      </c>
      <c r="T189" s="3" t="s">
        <v>40</v>
      </c>
      <c r="U189" s="3" t="str">
        <f t="shared" si="13"/>
        <v>Rainy</v>
      </c>
      <c r="V189" s="3" t="s">
        <v>40</v>
      </c>
      <c r="W189" s="3" cm="1">
        <f t="array" ref="W189">_xlfn.IFS(
OR(F189="Selenium (Hands-on)",F189="Guest Lecture: HR Interview"),6,
OR(F189="Soft Skill",F189="Soft Skill (Examination)",F189="AWS Training",F189="AWS Session"),7,
OR(ISNUMBER(SEARCH("MAD",F189)),ISNUMBER(SEARCH("STQA",F189)),F189="CI/CD Session"),8,
OR(ISNUMBER(SEARCH("Cloud",F189)),F189="Industry Readiness Program",ISNUMBER(SEARCH("Talenlio",F189))),9,
OR(ISNUMBER(SEARCH("Innovation",F189)),F189="Mini Project"),10,
OR(ISNUMBER(SEARCH("Data Science",F189)),ISNUMBER(SEARCH("DS",F189))),11,
ISNUMBER(SEARCH("Generative AI",F189)),12
=_xlfn.IFS(
OR(F189="Selenium (Hands-on)",F189="Guest Lecture: HR Interview"),6,
OR(F189="Soft Skill",F189="Soft Skill (Examination)",F189="AWS Training",F189="AWS Session"),7,
OR(ISNUMBER(SEARCH("MAD",F189)),ISNUMBER(SEARCH("STQA",F189)),F189="CI/CD Session"),8,
OR(ISNUMBER(SEARCH("Cloud",F189)),F189="Industry Readiness Program",ISNUMBER(SEARCH("Talenlio",F189))),9,
OR(ISNUMBER(SEARCH("Innovation",F189)),F189="Mini Project"),10,
OR(ISNUMBER(SEARCH("Data Science",F189)),ISNUMBER(SEARCH("DS",F189))),11,
ISNUMBER(SEARCH("Generative AI",F189)),12
=_xlfn.IFS(
OR(F189="Selenium (Hands-on)",F189="Guest Lecture: HR Interview"),6,
OR(F189="Soft Skill",F189="Soft Skill (Examination)",F189="AWS Training",F189="AWS Session"),7,
OR(ISNUMBER(SEARCH("MAD",F189)),ISNUMBER(SEARCH("STQA",F189)),F189="CI/CD Session"),8,
OR(ISNUMBER(SEARCH("Cloud",F189)),F189="Industry Readiness Program",ISNUMBER(SEARCH("Talenlio",F189))),9,
OR(ISNUMBER(SEARCH("Innovation",F189)),F189="Mini Project"),10,
OR(ISNUMBER(SEARCH("Data Science",F189)),ISNUMBER(SEARCH("DS",F189))),11,
ISNUMBER(SEARCH("Generative AI",F189)),12
=_xlfn.IFS(
OR(F189="Selenium (Hands-on)",F189="Guest Lecture: HR Interview"),6,
OR(F189="Soft Skill",F189="Soft Skill (Examination)",F189="AWS Training",F189="AWS Session"),7,
OR(ISNUMBER(SEARCH("MAD",F189)),ISNUMBER(SEARCH("STQA",F189)),F189="CI/CD Session"),8,
OR(ISNUMBER(SEARCH("Cloud",F189)),F189="Industry Readiness Program",ISNUMBER(SEARCH("Talenlio",F189))),9,
OR(ISNUMBER(SEARCH("Innovation",F189)),F189="Mini Project"),10,
OR(ISNUMBER(SEARCH("Data Science",F189)),ISNUMBER(SEARCH("DS",F189))),11,
ISNUMBER(SEARCH("Generative AI",F189)),12
))))</f>
        <v>6</v>
      </c>
      <c r="X189" s="3">
        <v>7</v>
      </c>
      <c r="Y189" s="3">
        <v>44</v>
      </c>
      <c r="Z189" s="3" t="s">
        <v>35</v>
      </c>
    </row>
    <row r="190" spans="1:26" x14ac:dyDescent="0.3">
      <c r="A190" s="2">
        <v>46231</v>
      </c>
      <c r="B190" s="3" t="s">
        <v>39</v>
      </c>
      <c r="C190" s="3">
        <v>3</v>
      </c>
      <c r="D190" s="4">
        <v>0.41666666666666702</v>
      </c>
      <c r="E190" s="4">
        <v>0.45833333333333298</v>
      </c>
      <c r="F190" s="3" t="s">
        <v>74</v>
      </c>
      <c r="G190" s="3" t="s">
        <v>75</v>
      </c>
      <c r="H190" s="3" t="s">
        <v>29</v>
      </c>
      <c r="I190" s="3" t="s">
        <v>30</v>
      </c>
      <c r="J190" s="3" t="s">
        <v>31</v>
      </c>
      <c r="K190" s="3" t="s">
        <v>76</v>
      </c>
      <c r="L190" s="5">
        <v>103</v>
      </c>
      <c r="M190" s="5">
        <f t="shared" ca="1" si="10"/>
        <v>72</v>
      </c>
      <c r="N190" s="6">
        <f t="shared" ca="1" si="11"/>
        <v>69.902912621359221</v>
      </c>
      <c r="O190" s="3" cm="1">
        <f t="array" aca="1" ref="O190" ca="1">IFERROR(LOOKUP(2, 1/((F$1:F189=F190)*(J$1:J189=J190)*(ROW(F$1:F189)&lt;ROW(F190))), N$1:N189), "")</f>
        <v>77.669902912621353</v>
      </c>
      <c r="P190" s="3">
        <f t="shared" si="14"/>
        <v>0</v>
      </c>
      <c r="Q190" s="3" t="s">
        <v>43</v>
      </c>
      <c r="R190" s="3" t="s">
        <v>40</v>
      </c>
      <c r="S190" s="3" t="str">
        <f t="shared" si="12"/>
        <v>Yes</v>
      </c>
      <c r="T190" s="3" t="s">
        <v>40</v>
      </c>
      <c r="U190" s="3" t="str">
        <f t="shared" si="13"/>
        <v>Rainy</v>
      </c>
      <c r="V190" s="3" t="s">
        <v>40</v>
      </c>
      <c r="W190" s="3" cm="1">
        <f t="array" ref="W190">_xlfn.IFS(
OR(F190="Selenium (Hands-on)",F190="Guest Lecture: HR Interview"),6,
OR(F190="Soft Skill",F190="Soft Skill (Examination)",F190="AWS Training",F190="AWS Session"),7,
OR(ISNUMBER(SEARCH("MAD",F190)),ISNUMBER(SEARCH("STQA",F190)),F190="CI/CD Session"),8,
OR(ISNUMBER(SEARCH("Cloud",F190)),F190="Industry Readiness Program",ISNUMBER(SEARCH("Talenlio",F190))),9,
OR(ISNUMBER(SEARCH("Innovation",F190)),F190="Mini Project"),10,
OR(ISNUMBER(SEARCH("Data Science",F190)),ISNUMBER(SEARCH("DS",F190))),11,
ISNUMBER(SEARCH("Generative AI",F190)),12
=_xlfn.IFS(
OR(F190="Selenium (Hands-on)",F190="Guest Lecture: HR Interview"),6,
OR(F190="Soft Skill",F190="Soft Skill (Examination)",F190="AWS Training",F190="AWS Session"),7,
OR(ISNUMBER(SEARCH("MAD",F190)),ISNUMBER(SEARCH("STQA",F190)),F190="CI/CD Session"),8,
OR(ISNUMBER(SEARCH("Cloud",F190)),F190="Industry Readiness Program",ISNUMBER(SEARCH("Talenlio",F190))),9,
OR(ISNUMBER(SEARCH("Innovation",F190)),F190="Mini Project"),10,
OR(ISNUMBER(SEARCH("Data Science",F190)),ISNUMBER(SEARCH("DS",F190))),11,
ISNUMBER(SEARCH("Generative AI",F190)),12
=_xlfn.IFS(
OR(F190="Selenium (Hands-on)",F190="Guest Lecture: HR Interview"),6,
OR(F190="Soft Skill",F190="Soft Skill (Examination)",F190="AWS Training",F190="AWS Session"),7,
OR(ISNUMBER(SEARCH("MAD",F190)),ISNUMBER(SEARCH("STQA",F190)),F190="CI/CD Session"),8,
OR(ISNUMBER(SEARCH("Cloud",F190)),F190="Industry Readiness Program",ISNUMBER(SEARCH("Talenlio",F190))),9,
OR(ISNUMBER(SEARCH("Innovation",F190)),F190="Mini Project"),10,
OR(ISNUMBER(SEARCH("Data Science",F190)),ISNUMBER(SEARCH("DS",F190))),11,
ISNUMBER(SEARCH("Generative AI",F190)),12
=_xlfn.IFS(
OR(F190="Selenium (Hands-on)",F190="Guest Lecture: HR Interview"),6,
OR(F190="Soft Skill",F190="Soft Skill (Examination)",F190="AWS Training",F190="AWS Session"),7,
OR(ISNUMBER(SEARCH("MAD",F190)),ISNUMBER(SEARCH("STQA",F190)),F190="CI/CD Session"),8,
OR(ISNUMBER(SEARCH("Cloud",F190)),F190="Industry Readiness Program",ISNUMBER(SEARCH("Talenlio",F190))),9,
OR(ISNUMBER(SEARCH("Innovation",F190)),F190="Mini Project"),10,
OR(ISNUMBER(SEARCH("Data Science",F190)),ISNUMBER(SEARCH("DS",F190))),11,
ISNUMBER(SEARCH("Generative AI",F190)),12
))))</f>
        <v>6</v>
      </c>
      <c r="X190" s="3">
        <v>7</v>
      </c>
      <c r="Y190" s="3">
        <v>44</v>
      </c>
      <c r="Z190" s="3" t="s">
        <v>35</v>
      </c>
    </row>
    <row r="191" spans="1:26" x14ac:dyDescent="0.3">
      <c r="A191" s="2">
        <v>46231</v>
      </c>
      <c r="B191" s="3" t="s">
        <v>39</v>
      </c>
      <c r="C191" s="3">
        <v>4</v>
      </c>
      <c r="D191" s="4">
        <v>0.45833333333333298</v>
      </c>
      <c r="E191" s="4">
        <v>0.47916666666666702</v>
      </c>
      <c r="F191" s="3" t="s">
        <v>74</v>
      </c>
      <c r="G191" s="3" t="s">
        <v>75</v>
      </c>
      <c r="H191" s="3" t="s">
        <v>29</v>
      </c>
      <c r="I191" s="3" t="s">
        <v>30</v>
      </c>
      <c r="J191" s="3" t="s">
        <v>31</v>
      </c>
      <c r="K191" s="3" t="s">
        <v>76</v>
      </c>
      <c r="L191" s="5">
        <v>103</v>
      </c>
      <c r="M191" s="5">
        <f t="shared" ca="1" si="10"/>
        <v>40</v>
      </c>
      <c r="N191" s="6">
        <f t="shared" ca="1" si="11"/>
        <v>38.834951456310677</v>
      </c>
      <c r="O191" s="3" cm="1">
        <f t="array" aca="1" ref="O191" ca="1">IFERROR(LOOKUP(2, 1/((F$1:F190=F191)*(J$1:J190=J191)*(ROW(F$1:F190)&lt;ROW(F191))), N$1:N190), "")</f>
        <v>69.902912621359221</v>
      </c>
      <c r="P191" s="3">
        <f t="shared" si="14"/>
        <v>0</v>
      </c>
      <c r="Q191" s="3" t="s">
        <v>43</v>
      </c>
      <c r="R191" s="3" t="s">
        <v>40</v>
      </c>
      <c r="S191" s="3" t="str">
        <f t="shared" si="12"/>
        <v>Yes</v>
      </c>
      <c r="T191" s="3" t="s">
        <v>40</v>
      </c>
      <c r="U191" s="3" t="str">
        <f t="shared" si="13"/>
        <v>Rainy</v>
      </c>
      <c r="V191" s="3" t="s">
        <v>40</v>
      </c>
      <c r="W191" s="3" cm="1">
        <f t="array" ref="W191">_xlfn.IFS(
OR(F191="Selenium (Hands-on)",F191="Guest Lecture: HR Interview"),6,
OR(F191="Soft Skill",F191="Soft Skill (Examination)",F191="AWS Training",F191="AWS Session"),7,
OR(ISNUMBER(SEARCH("MAD",F191)),ISNUMBER(SEARCH("STQA",F191)),F191="CI/CD Session"),8,
OR(ISNUMBER(SEARCH("Cloud",F191)),F191="Industry Readiness Program",ISNUMBER(SEARCH("Talenlio",F191))),9,
OR(ISNUMBER(SEARCH("Innovation",F191)),F191="Mini Project"),10,
OR(ISNUMBER(SEARCH("Data Science",F191)),ISNUMBER(SEARCH("DS",F191))),11,
ISNUMBER(SEARCH("Generative AI",F191)),12
=_xlfn.IFS(
OR(F191="Selenium (Hands-on)",F191="Guest Lecture: HR Interview"),6,
OR(F191="Soft Skill",F191="Soft Skill (Examination)",F191="AWS Training",F191="AWS Session"),7,
OR(ISNUMBER(SEARCH("MAD",F191)),ISNUMBER(SEARCH("STQA",F191)),F191="CI/CD Session"),8,
OR(ISNUMBER(SEARCH("Cloud",F191)),F191="Industry Readiness Program",ISNUMBER(SEARCH("Talenlio",F191))),9,
OR(ISNUMBER(SEARCH("Innovation",F191)),F191="Mini Project"),10,
OR(ISNUMBER(SEARCH("Data Science",F191)),ISNUMBER(SEARCH("DS",F191))),11,
ISNUMBER(SEARCH("Generative AI",F191)),12
=_xlfn.IFS(
OR(F191="Selenium (Hands-on)",F191="Guest Lecture: HR Interview"),6,
OR(F191="Soft Skill",F191="Soft Skill (Examination)",F191="AWS Training",F191="AWS Session"),7,
OR(ISNUMBER(SEARCH("MAD",F191)),ISNUMBER(SEARCH("STQA",F191)),F191="CI/CD Session"),8,
OR(ISNUMBER(SEARCH("Cloud",F191)),F191="Industry Readiness Program",ISNUMBER(SEARCH("Talenlio",F191))),9,
OR(ISNUMBER(SEARCH("Innovation",F191)),F191="Mini Project"),10,
OR(ISNUMBER(SEARCH("Data Science",F191)),ISNUMBER(SEARCH("DS",F191))),11,
ISNUMBER(SEARCH("Generative AI",F191)),12
=_xlfn.IFS(
OR(F191="Selenium (Hands-on)",F191="Guest Lecture: HR Interview"),6,
OR(F191="Soft Skill",F191="Soft Skill (Examination)",F191="AWS Training",F191="AWS Session"),7,
OR(ISNUMBER(SEARCH("MAD",F191)),ISNUMBER(SEARCH("STQA",F191)),F191="CI/CD Session"),8,
OR(ISNUMBER(SEARCH("Cloud",F191)),F191="Industry Readiness Program",ISNUMBER(SEARCH("Talenlio",F191))),9,
OR(ISNUMBER(SEARCH("Innovation",F191)),F191="Mini Project"),10,
OR(ISNUMBER(SEARCH("Data Science",F191)),ISNUMBER(SEARCH("DS",F191))),11,
ISNUMBER(SEARCH("Generative AI",F191)),12
))))</f>
        <v>6</v>
      </c>
      <c r="X191" s="3">
        <v>7</v>
      </c>
      <c r="Y191" s="3">
        <v>44</v>
      </c>
      <c r="Z191" s="3" t="s">
        <v>35</v>
      </c>
    </row>
    <row r="192" spans="1:26" x14ac:dyDescent="0.3">
      <c r="A192" s="2">
        <v>46231</v>
      </c>
      <c r="B192" s="3" t="s">
        <v>39</v>
      </c>
      <c r="C192" s="3">
        <v>5</v>
      </c>
      <c r="D192" s="4">
        <v>0.47916666666666702</v>
      </c>
      <c r="E192" s="4">
        <v>0.52083333333333304</v>
      </c>
      <c r="F192" s="3" t="s">
        <v>59</v>
      </c>
      <c r="G192" s="3" t="s">
        <v>73</v>
      </c>
      <c r="H192" s="3" t="s">
        <v>29</v>
      </c>
      <c r="I192" s="3" t="s">
        <v>30</v>
      </c>
      <c r="J192" s="3" t="s">
        <v>31</v>
      </c>
      <c r="K192" s="3" t="s">
        <v>52</v>
      </c>
      <c r="L192" s="5">
        <v>103</v>
      </c>
      <c r="M192" s="5">
        <f t="shared" ca="1" si="10"/>
        <v>100</v>
      </c>
      <c r="N192" s="6">
        <f t="shared" ca="1" si="11"/>
        <v>97.087378640776706</v>
      </c>
      <c r="O192" s="3" cm="1">
        <f t="array" aca="1" ref="O192" ca="1">IFERROR(LOOKUP(2, 1/((F$1:F191=F192)*(J$1:J191=J192)*(ROW(F$1:F191)&lt;ROW(F192))), N$1:N191), "")</f>
        <v>38.834951456310677</v>
      </c>
      <c r="P192" s="3">
        <f t="shared" si="14"/>
        <v>0</v>
      </c>
      <c r="Q192" s="3" t="s">
        <v>33</v>
      </c>
      <c r="R192" s="3" t="s">
        <v>40</v>
      </c>
      <c r="S192" s="3" t="str">
        <f t="shared" si="12"/>
        <v>No</v>
      </c>
      <c r="T192" s="3" t="s">
        <v>40</v>
      </c>
      <c r="U192" s="3" t="str">
        <f t="shared" si="13"/>
        <v>Rainy</v>
      </c>
      <c r="V192" s="3" t="s">
        <v>40</v>
      </c>
      <c r="W192" s="3" cm="1">
        <f t="array" ref="W192">_xlfn.IFS(
OR(F192="Selenium (Hands-on)",F192="Guest Lecture: HR Interview"),6,
OR(F192="Soft Skill",F192="Soft Skill (Examination)",F192="AWS Training",F192="AWS Session"),7,
OR(ISNUMBER(SEARCH("MAD",F192)),ISNUMBER(SEARCH("STQA",F192)),F192="CI/CD Session"),8,
OR(ISNUMBER(SEARCH("Cloud",F192)),F192="Industry Readiness Program",ISNUMBER(SEARCH("Talenlio",F192))),9,
OR(ISNUMBER(SEARCH("Innovation",F192)),F192="Mini Project"),10,
OR(ISNUMBER(SEARCH("Data Science",F192)),ISNUMBER(SEARCH("DS",F192))),11,
ISNUMBER(SEARCH("Generative AI",F192)),12
=_xlfn.IFS(
OR(F192="Selenium (Hands-on)",F192="Guest Lecture: HR Interview"),6,
OR(F192="Soft Skill",F192="Soft Skill (Examination)",F192="AWS Training",F192="AWS Session"),7,
OR(ISNUMBER(SEARCH("MAD",F192)),ISNUMBER(SEARCH("STQA",F192)),F192="CI/CD Session"),8,
OR(ISNUMBER(SEARCH("Cloud",F192)),F192="Industry Readiness Program",ISNUMBER(SEARCH("Talenlio",F192))),9,
OR(ISNUMBER(SEARCH("Innovation",F192)),F192="Mini Project"),10,
OR(ISNUMBER(SEARCH("Data Science",F192)),ISNUMBER(SEARCH("DS",F192))),11,
ISNUMBER(SEARCH("Generative AI",F192)),12
=_xlfn.IFS(
OR(F192="Selenium (Hands-on)",F192="Guest Lecture: HR Interview"),6,
OR(F192="Soft Skill",F192="Soft Skill (Examination)",F192="AWS Training",F192="AWS Session"),7,
OR(ISNUMBER(SEARCH("MAD",F192)),ISNUMBER(SEARCH("STQA",F192)),F192="CI/CD Session"),8,
OR(ISNUMBER(SEARCH("Cloud",F192)),F192="Industry Readiness Program",ISNUMBER(SEARCH("Talenlio",F192))),9,
OR(ISNUMBER(SEARCH("Innovation",F192)),F192="Mini Project"),10,
OR(ISNUMBER(SEARCH("Data Science",F192)),ISNUMBER(SEARCH("DS",F192))),11,
ISNUMBER(SEARCH("Generative AI",F192)),12
=_xlfn.IFS(
OR(F192="Selenium (Hands-on)",F192="Guest Lecture: HR Interview"),6,
OR(F192="Soft Skill",F192="Soft Skill (Examination)",F192="AWS Training",F192="AWS Session"),7,
OR(ISNUMBER(SEARCH("MAD",F192)),ISNUMBER(SEARCH("STQA",F192)),F192="CI/CD Session"),8,
OR(ISNUMBER(SEARCH("Cloud",F192)),F192="Industry Readiness Program",ISNUMBER(SEARCH("Talenlio",F192))),9,
OR(ISNUMBER(SEARCH("Innovation",F192)),F192="Mini Project"),10,
OR(ISNUMBER(SEARCH("Data Science",F192)),ISNUMBER(SEARCH("DS",F192))),11,
ISNUMBER(SEARCH("Generative AI",F192)),12
))))</f>
        <v>11</v>
      </c>
      <c r="X192" s="3">
        <v>7</v>
      </c>
      <c r="Y192" s="3">
        <v>44</v>
      </c>
      <c r="Z192" s="3" t="s">
        <v>35</v>
      </c>
    </row>
    <row r="193" spans="1:26" x14ac:dyDescent="0.3">
      <c r="A193" s="2">
        <v>46231</v>
      </c>
      <c r="B193" s="3" t="s">
        <v>39</v>
      </c>
      <c r="C193" s="3">
        <v>6</v>
      </c>
      <c r="D193" s="4">
        <v>0.5625</v>
      </c>
      <c r="E193" s="4">
        <v>0.60416666666666696</v>
      </c>
      <c r="F193" s="3" t="s">
        <v>59</v>
      </c>
      <c r="G193" s="3" t="s">
        <v>73</v>
      </c>
      <c r="H193" s="3" t="s">
        <v>29</v>
      </c>
      <c r="I193" s="3" t="s">
        <v>30</v>
      </c>
      <c r="J193" s="3" t="s">
        <v>31</v>
      </c>
      <c r="K193" s="3" t="s">
        <v>52</v>
      </c>
      <c r="L193" s="5">
        <v>103</v>
      </c>
      <c r="M193" s="5">
        <f t="shared" ca="1" si="10"/>
        <v>74</v>
      </c>
      <c r="N193" s="6">
        <f t="shared" ca="1" si="11"/>
        <v>71.844660194174764</v>
      </c>
      <c r="O193" s="3" cm="1">
        <f t="array" aca="1" ref="O193" ca="1">IFERROR(LOOKUP(2, 1/((F$1:F192=F193)*(J$1:J192=J193)*(ROW(F$1:F192)&lt;ROW(F193))), N$1:N192), "")</f>
        <v>97.087378640776706</v>
      </c>
      <c r="P193" s="3">
        <f t="shared" si="14"/>
        <v>1</v>
      </c>
      <c r="Q193" s="3" t="s">
        <v>33</v>
      </c>
      <c r="R193" s="3" t="s">
        <v>40</v>
      </c>
      <c r="S193" s="3" t="str">
        <f t="shared" si="12"/>
        <v>No</v>
      </c>
      <c r="T193" s="3" t="s">
        <v>40</v>
      </c>
      <c r="U193" s="3" t="str">
        <f t="shared" si="13"/>
        <v>Rainy</v>
      </c>
      <c r="V193" s="3" t="s">
        <v>40</v>
      </c>
      <c r="W193" s="3" cm="1">
        <f t="array" ref="W193">_xlfn.IFS(
OR(F193="Selenium (Hands-on)",F193="Guest Lecture: HR Interview"),6,
OR(F193="Soft Skill",F193="Soft Skill (Examination)",F193="AWS Training",F193="AWS Session"),7,
OR(ISNUMBER(SEARCH("MAD",F193)),ISNUMBER(SEARCH("STQA",F193)),F193="CI/CD Session"),8,
OR(ISNUMBER(SEARCH("Cloud",F193)),F193="Industry Readiness Program",ISNUMBER(SEARCH("Talenlio",F193))),9,
OR(ISNUMBER(SEARCH("Innovation",F193)),F193="Mini Project"),10,
OR(ISNUMBER(SEARCH("Data Science",F193)),ISNUMBER(SEARCH("DS",F193))),11,
ISNUMBER(SEARCH("Generative AI",F193)),12
=_xlfn.IFS(
OR(F193="Selenium (Hands-on)",F193="Guest Lecture: HR Interview"),6,
OR(F193="Soft Skill",F193="Soft Skill (Examination)",F193="AWS Training",F193="AWS Session"),7,
OR(ISNUMBER(SEARCH("MAD",F193)),ISNUMBER(SEARCH("STQA",F193)),F193="CI/CD Session"),8,
OR(ISNUMBER(SEARCH("Cloud",F193)),F193="Industry Readiness Program",ISNUMBER(SEARCH("Talenlio",F193))),9,
OR(ISNUMBER(SEARCH("Innovation",F193)),F193="Mini Project"),10,
OR(ISNUMBER(SEARCH("Data Science",F193)),ISNUMBER(SEARCH("DS",F193))),11,
ISNUMBER(SEARCH("Generative AI",F193)),12
=_xlfn.IFS(
OR(F193="Selenium (Hands-on)",F193="Guest Lecture: HR Interview"),6,
OR(F193="Soft Skill",F193="Soft Skill (Examination)",F193="AWS Training",F193="AWS Session"),7,
OR(ISNUMBER(SEARCH("MAD",F193)),ISNUMBER(SEARCH("STQA",F193)),F193="CI/CD Session"),8,
OR(ISNUMBER(SEARCH("Cloud",F193)),F193="Industry Readiness Program",ISNUMBER(SEARCH("Talenlio",F193))),9,
OR(ISNUMBER(SEARCH("Innovation",F193)),F193="Mini Project"),10,
OR(ISNUMBER(SEARCH("Data Science",F193)),ISNUMBER(SEARCH("DS",F193))),11,
ISNUMBER(SEARCH("Generative AI",F193)),12
=_xlfn.IFS(
OR(F193="Selenium (Hands-on)",F193="Guest Lecture: HR Interview"),6,
OR(F193="Soft Skill",F193="Soft Skill (Examination)",F193="AWS Training",F193="AWS Session"),7,
OR(ISNUMBER(SEARCH("MAD",F193)),ISNUMBER(SEARCH("STQA",F193)),F193="CI/CD Session"),8,
OR(ISNUMBER(SEARCH("Cloud",F193)),F193="Industry Readiness Program",ISNUMBER(SEARCH("Talenlio",F193))),9,
OR(ISNUMBER(SEARCH("Innovation",F193)),F193="Mini Project"),10,
OR(ISNUMBER(SEARCH("Data Science",F193)),ISNUMBER(SEARCH("DS",F193))),11,
ISNUMBER(SEARCH("Generative AI",F193)),12
))))</f>
        <v>11</v>
      </c>
      <c r="X193" s="3">
        <v>7</v>
      </c>
      <c r="Y193" s="3">
        <v>44</v>
      </c>
      <c r="Z193" s="3" t="s">
        <v>38</v>
      </c>
    </row>
    <row r="194" spans="1:26" x14ac:dyDescent="0.3">
      <c r="A194" s="2">
        <v>46231</v>
      </c>
      <c r="B194" s="3" t="s">
        <v>39</v>
      </c>
      <c r="C194" s="3">
        <v>7</v>
      </c>
      <c r="D194" s="4">
        <v>0.60416666666666696</v>
      </c>
      <c r="E194" s="4">
        <v>0.64583333333333304</v>
      </c>
      <c r="F194" s="3" t="s">
        <v>59</v>
      </c>
      <c r="G194" s="3" t="s">
        <v>73</v>
      </c>
      <c r="H194" s="3" t="s">
        <v>29</v>
      </c>
      <c r="I194" s="3" t="s">
        <v>30</v>
      </c>
      <c r="J194" s="3" t="s">
        <v>31</v>
      </c>
      <c r="K194" s="3" t="s">
        <v>52</v>
      </c>
      <c r="L194" s="5">
        <v>103</v>
      </c>
      <c r="M194" s="5">
        <f t="shared" ref="M194:M257" ca="1" si="15">RANDBETWEEN(40,103)</f>
        <v>79</v>
      </c>
      <c r="N194" s="6">
        <f t="shared" ref="N194:N257" ca="1" si="16">IF(OR(L194="",M194=""),"",M194/L194*100)</f>
        <v>76.699029126213588</v>
      </c>
      <c r="O194" s="3" cm="1">
        <f t="array" aca="1" ref="O194" ca="1">IFERROR(LOOKUP(2, 1/((F$1:F193=F194)*(J$1:J193=J194)*(ROW(F$1:F193)&lt;ROW(F194))), N$1:N193), "")</f>
        <v>71.844660194174764</v>
      </c>
      <c r="P194" s="3">
        <f t="shared" si="14"/>
        <v>0</v>
      </c>
      <c r="Q194" s="3" t="s">
        <v>33</v>
      </c>
      <c r="R194" s="3" t="s">
        <v>40</v>
      </c>
      <c r="S194" s="3" t="str">
        <f t="shared" ref="S194:S257" si="17">IF(OR(ISNUMBER(SEARCH("Guest", F194)), ISNUMBER(SEARCH("Hands-on", F194)), ISNUMBER(SEARCH("Project", F194)), B194="Friday"), "Yes", "No")</f>
        <v>No</v>
      </c>
      <c r="T194" s="3" t="s">
        <v>40</v>
      </c>
      <c r="U194" s="3" t="str">
        <f t="shared" ref="U194:U257" si="18">IF(MONTH(A194)=6, IF(DAY(A194)&lt;20, "Sunny", "Cloudy"), IF(OR(MONTH(A194)=7, MONTH(A194)=8), "Rainy", "Sunny"))</f>
        <v>Rainy</v>
      </c>
      <c r="V194" s="3" t="s">
        <v>40</v>
      </c>
      <c r="W194" s="3" cm="1">
        <f t="array" ref="W194">_xlfn.IFS(
OR(F194="Selenium (Hands-on)",F194="Guest Lecture: HR Interview"),6,
OR(F194="Soft Skill",F194="Soft Skill (Examination)",F194="AWS Training",F194="AWS Session"),7,
OR(ISNUMBER(SEARCH("MAD",F194)),ISNUMBER(SEARCH("STQA",F194)),F194="CI/CD Session"),8,
OR(ISNUMBER(SEARCH("Cloud",F194)),F194="Industry Readiness Program",ISNUMBER(SEARCH("Talenlio",F194))),9,
OR(ISNUMBER(SEARCH("Innovation",F194)),F194="Mini Project"),10,
OR(ISNUMBER(SEARCH("Data Science",F194)),ISNUMBER(SEARCH("DS",F194))),11,
ISNUMBER(SEARCH("Generative AI",F194)),12
=_xlfn.IFS(
OR(F194="Selenium (Hands-on)",F194="Guest Lecture: HR Interview"),6,
OR(F194="Soft Skill",F194="Soft Skill (Examination)",F194="AWS Training",F194="AWS Session"),7,
OR(ISNUMBER(SEARCH("MAD",F194)),ISNUMBER(SEARCH("STQA",F194)),F194="CI/CD Session"),8,
OR(ISNUMBER(SEARCH("Cloud",F194)),F194="Industry Readiness Program",ISNUMBER(SEARCH("Talenlio",F194))),9,
OR(ISNUMBER(SEARCH("Innovation",F194)),F194="Mini Project"),10,
OR(ISNUMBER(SEARCH("Data Science",F194)),ISNUMBER(SEARCH("DS",F194))),11,
ISNUMBER(SEARCH("Generative AI",F194)),12
=_xlfn.IFS(
OR(F194="Selenium (Hands-on)",F194="Guest Lecture: HR Interview"),6,
OR(F194="Soft Skill",F194="Soft Skill (Examination)",F194="AWS Training",F194="AWS Session"),7,
OR(ISNUMBER(SEARCH("MAD",F194)),ISNUMBER(SEARCH("STQA",F194)),F194="CI/CD Session"),8,
OR(ISNUMBER(SEARCH("Cloud",F194)),F194="Industry Readiness Program",ISNUMBER(SEARCH("Talenlio",F194))),9,
OR(ISNUMBER(SEARCH("Innovation",F194)),F194="Mini Project"),10,
OR(ISNUMBER(SEARCH("Data Science",F194)),ISNUMBER(SEARCH("DS",F194))),11,
ISNUMBER(SEARCH("Generative AI",F194)),12
=_xlfn.IFS(
OR(F194="Selenium (Hands-on)",F194="Guest Lecture: HR Interview"),6,
OR(F194="Soft Skill",F194="Soft Skill (Examination)",F194="AWS Training",F194="AWS Session"),7,
OR(ISNUMBER(SEARCH("MAD",F194)),ISNUMBER(SEARCH("STQA",F194)),F194="CI/CD Session"),8,
OR(ISNUMBER(SEARCH("Cloud",F194)),F194="Industry Readiness Program",ISNUMBER(SEARCH("Talenlio",F194))),9,
OR(ISNUMBER(SEARCH("Innovation",F194)),F194="Mini Project"),10,
OR(ISNUMBER(SEARCH("Data Science",F194)),ISNUMBER(SEARCH("DS",F194))),11,
ISNUMBER(SEARCH("Generative AI",F194)),12
))))</f>
        <v>11</v>
      </c>
      <c r="X194" s="3">
        <v>7</v>
      </c>
      <c r="Y194" s="3">
        <v>44</v>
      </c>
      <c r="Z194" s="3" t="s">
        <v>38</v>
      </c>
    </row>
    <row r="195" spans="1:26" x14ac:dyDescent="0.3">
      <c r="A195" s="2">
        <v>46231</v>
      </c>
      <c r="B195" s="3" t="s">
        <v>39</v>
      </c>
      <c r="C195" s="3">
        <v>8</v>
      </c>
      <c r="D195" s="4">
        <v>0.64583333333333304</v>
      </c>
      <c r="E195" s="4">
        <v>0.66666666666666696</v>
      </c>
      <c r="F195" s="3" t="s">
        <v>59</v>
      </c>
      <c r="G195" s="3" t="s">
        <v>73</v>
      </c>
      <c r="H195" s="3" t="s">
        <v>29</v>
      </c>
      <c r="I195" s="3" t="s">
        <v>30</v>
      </c>
      <c r="J195" s="3" t="s">
        <v>31</v>
      </c>
      <c r="K195" s="3" t="s">
        <v>52</v>
      </c>
      <c r="L195" s="5">
        <v>103</v>
      </c>
      <c r="M195" s="5">
        <f t="shared" ca="1" si="15"/>
        <v>48</v>
      </c>
      <c r="N195" s="6">
        <f t="shared" ca="1" si="16"/>
        <v>46.601941747572816</v>
      </c>
      <c r="O195" s="3" cm="1">
        <f t="array" aca="1" ref="O195" ca="1">IFERROR(LOOKUP(2, 1/((F$1:F194=F195)*(J$1:J194=J195)*(ROW(F$1:F194)&lt;ROW(F195))), N$1:N194), "")</f>
        <v>76.699029126213588</v>
      </c>
      <c r="P195" s="3">
        <f t="shared" ref="P195:P258" si="19">IF(C195=1, 0, IF(AND(A195=A194, J195=J194), ROUND(MAX(0, (D195-E194)*24), 2), 0))</f>
        <v>0</v>
      </c>
      <c r="Q195" s="3" t="s">
        <v>33</v>
      </c>
      <c r="R195" s="3" t="s">
        <v>40</v>
      </c>
      <c r="S195" s="3" t="str">
        <f t="shared" si="17"/>
        <v>No</v>
      </c>
      <c r="T195" s="3" t="s">
        <v>40</v>
      </c>
      <c r="U195" s="3" t="str">
        <f t="shared" si="18"/>
        <v>Rainy</v>
      </c>
      <c r="V195" s="3" t="s">
        <v>40</v>
      </c>
      <c r="W195" s="3" cm="1">
        <f t="array" ref="W195">_xlfn.IFS(
OR(F195="Selenium (Hands-on)",F195="Guest Lecture: HR Interview"),6,
OR(F195="Soft Skill",F195="Soft Skill (Examination)",F195="AWS Training",F195="AWS Session"),7,
OR(ISNUMBER(SEARCH("MAD",F195)),ISNUMBER(SEARCH("STQA",F195)),F195="CI/CD Session"),8,
OR(ISNUMBER(SEARCH("Cloud",F195)),F195="Industry Readiness Program",ISNUMBER(SEARCH("Talenlio",F195))),9,
OR(ISNUMBER(SEARCH("Innovation",F195)),F195="Mini Project"),10,
OR(ISNUMBER(SEARCH("Data Science",F195)),ISNUMBER(SEARCH("DS",F195))),11,
ISNUMBER(SEARCH("Generative AI",F195)),12
=_xlfn.IFS(
OR(F195="Selenium (Hands-on)",F195="Guest Lecture: HR Interview"),6,
OR(F195="Soft Skill",F195="Soft Skill (Examination)",F195="AWS Training",F195="AWS Session"),7,
OR(ISNUMBER(SEARCH("MAD",F195)),ISNUMBER(SEARCH("STQA",F195)),F195="CI/CD Session"),8,
OR(ISNUMBER(SEARCH("Cloud",F195)),F195="Industry Readiness Program",ISNUMBER(SEARCH("Talenlio",F195))),9,
OR(ISNUMBER(SEARCH("Innovation",F195)),F195="Mini Project"),10,
OR(ISNUMBER(SEARCH("Data Science",F195)),ISNUMBER(SEARCH("DS",F195))),11,
ISNUMBER(SEARCH("Generative AI",F195)),12
=_xlfn.IFS(
OR(F195="Selenium (Hands-on)",F195="Guest Lecture: HR Interview"),6,
OR(F195="Soft Skill",F195="Soft Skill (Examination)",F195="AWS Training",F195="AWS Session"),7,
OR(ISNUMBER(SEARCH("MAD",F195)),ISNUMBER(SEARCH("STQA",F195)),F195="CI/CD Session"),8,
OR(ISNUMBER(SEARCH("Cloud",F195)),F195="Industry Readiness Program",ISNUMBER(SEARCH("Talenlio",F195))),9,
OR(ISNUMBER(SEARCH("Innovation",F195)),F195="Mini Project"),10,
OR(ISNUMBER(SEARCH("Data Science",F195)),ISNUMBER(SEARCH("DS",F195))),11,
ISNUMBER(SEARCH("Generative AI",F195)),12
=_xlfn.IFS(
OR(F195="Selenium (Hands-on)",F195="Guest Lecture: HR Interview"),6,
OR(F195="Soft Skill",F195="Soft Skill (Examination)",F195="AWS Training",F195="AWS Session"),7,
OR(ISNUMBER(SEARCH("MAD",F195)),ISNUMBER(SEARCH("STQA",F195)),F195="CI/CD Session"),8,
OR(ISNUMBER(SEARCH("Cloud",F195)),F195="Industry Readiness Program",ISNUMBER(SEARCH("Talenlio",F195))),9,
OR(ISNUMBER(SEARCH("Innovation",F195)),F195="Mini Project"),10,
OR(ISNUMBER(SEARCH("Data Science",F195)),ISNUMBER(SEARCH("DS",F195))),11,
ISNUMBER(SEARCH("Generative AI",F195)),12
))))</f>
        <v>11</v>
      </c>
      <c r="X195" s="3">
        <v>7</v>
      </c>
      <c r="Y195" s="3">
        <v>44</v>
      </c>
      <c r="Z195" s="3" t="s">
        <v>38</v>
      </c>
    </row>
    <row r="196" spans="1:26" x14ac:dyDescent="0.3">
      <c r="A196" s="2">
        <v>46232</v>
      </c>
      <c r="B196" s="3" t="s">
        <v>44</v>
      </c>
      <c r="C196" s="3">
        <v>1</v>
      </c>
      <c r="D196" s="4">
        <v>0.33333333333333298</v>
      </c>
      <c r="E196" s="4">
        <v>0.375</v>
      </c>
      <c r="F196" s="3" t="s">
        <v>50</v>
      </c>
      <c r="G196" s="3" t="s">
        <v>51</v>
      </c>
      <c r="H196" s="3" t="s">
        <v>29</v>
      </c>
      <c r="I196" s="3" t="s">
        <v>30</v>
      </c>
      <c r="J196" s="3" t="s">
        <v>31</v>
      </c>
      <c r="K196" s="3" t="s">
        <v>52</v>
      </c>
      <c r="L196" s="5">
        <v>103</v>
      </c>
      <c r="M196" s="5">
        <f t="shared" ca="1" si="15"/>
        <v>77</v>
      </c>
      <c r="N196" s="6">
        <f t="shared" ca="1" si="16"/>
        <v>74.757281553398059</v>
      </c>
      <c r="O196" s="3" cm="1">
        <f t="array" aca="1" ref="O196" ca="1">IFERROR(LOOKUP(2, 1/((F$1:F195=F196)*(J$1:J195=J196)*(ROW(F$1:F195)&lt;ROW(F196))), N$1:N195), "")</f>
        <v>81.553398058252426</v>
      </c>
      <c r="P196" s="3">
        <f t="shared" si="19"/>
        <v>0</v>
      </c>
      <c r="Q196" s="3" t="s">
        <v>43</v>
      </c>
      <c r="R196" s="3" t="s">
        <v>40</v>
      </c>
      <c r="S196" s="3" t="str">
        <f t="shared" si="17"/>
        <v>No</v>
      </c>
      <c r="T196" s="3" t="s">
        <v>40</v>
      </c>
      <c r="U196" s="3" t="str">
        <f t="shared" si="18"/>
        <v>Rainy</v>
      </c>
      <c r="V196" s="3" t="s">
        <v>40</v>
      </c>
      <c r="W196" s="3" cm="1">
        <f t="array" ref="W196">_xlfn.IFS(
OR(F196="Selenium (Hands-on)",F196="Guest Lecture: HR Interview"),6,
OR(F196="Soft Skill",F196="Soft Skill (Examination)",F196="AWS Training",F196="AWS Session"),7,
OR(ISNUMBER(SEARCH("MAD",F196)),ISNUMBER(SEARCH("STQA",F196)),F196="CI/CD Session"),8,
OR(ISNUMBER(SEARCH("Cloud",F196)),F196="Industry Readiness Program",ISNUMBER(SEARCH("Talenlio",F196))),9,
OR(ISNUMBER(SEARCH("Innovation",F196)),F196="Mini Project"),10,
OR(ISNUMBER(SEARCH("Data Science",F196)),ISNUMBER(SEARCH("DS",F196))),11,
ISNUMBER(SEARCH("Generative AI",F196)),12
=_xlfn.IFS(
OR(F196="Selenium (Hands-on)",F196="Guest Lecture: HR Interview"),6,
OR(F196="Soft Skill",F196="Soft Skill (Examination)",F196="AWS Training",F196="AWS Session"),7,
OR(ISNUMBER(SEARCH("MAD",F196)),ISNUMBER(SEARCH("STQA",F196)),F196="CI/CD Session"),8,
OR(ISNUMBER(SEARCH("Cloud",F196)),F196="Industry Readiness Program",ISNUMBER(SEARCH("Talenlio",F196))),9,
OR(ISNUMBER(SEARCH("Innovation",F196)),F196="Mini Project"),10,
OR(ISNUMBER(SEARCH("Data Science",F196)),ISNUMBER(SEARCH("DS",F196))),11,
ISNUMBER(SEARCH("Generative AI",F196)),12
=_xlfn.IFS(
OR(F196="Selenium (Hands-on)",F196="Guest Lecture: HR Interview"),6,
OR(F196="Soft Skill",F196="Soft Skill (Examination)",F196="AWS Training",F196="AWS Session"),7,
OR(ISNUMBER(SEARCH("MAD",F196)),ISNUMBER(SEARCH("STQA",F196)),F196="CI/CD Session"),8,
OR(ISNUMBER(SEARCH("Cloud",F196)),F196="Industry Readiness Program",ISNUMBER(SEARCH("Talenlio",F196))),9,
OR(ISNUMBER(SEARCH("Innovation",F196)),F196="Mini Project"),10,
OR(ISNUMBER(SEARCH("Data Science",F196)),ISNUMBER(SEARCH("DS",F196))),11,
ISNUMBER(SEARCH("Generative AI",F196)),12
=_xlfn.IFS(
OR(F196="Selenium (Hands-on)",F196="Guest Lecture: HR Interview"),6,
OR(F196="Soft Skill",F196="Soft Skill (Examination)",F196="AWS Training",F196="AWS Session"),7,
OR(ISNUMBER(SEARCH("MAD",F196)),ISNUMBER(SEARCH("STQA",F196)),F196="CI/CD Session"),8,
OR(ISNUMBER(SEARCH("Cloud",F196)),F196="Industry Readiness Program",ISNUMBER(SEARCH("Talenlio",F196))),9,
OR(ISNUMBER(SEARCH("Innovation",F196)),F196="Mini Project"),10,
OR(ISNUMBER(SEARCH("Data Science",F196)),ISNUMBER(SEARCH("DS",F196))),11,
ISNUMBER(SEARCH("Generative AI",F196)),12
))))</f>
        <v>8</v>
      </c>
      <c r="X196" s="3">
        <v>7</v>
      </c>
      <c r="Y196" s="3">
        <v>45</v>
      </c>
      <c r="Z196" s="3" t="s">
        <v>35</v>
      </c>
    </row>
    <row r="197" spans="1:26" x14ac:dyDescent="0.3">
      <c r="A197" s="2">
        <v>46232</v>
      </c>
      <c r="B197" s="3" t="s">
        <v>44</v>
      </c>
      <c r="C197" s="3">
        <v>2</v>
      </c>
      <c r="D197" s="4">
        <v>0.375</v>
      </c>
      <c r="E197" s="4">
        <v>0.41666666666666702</v>
      </c>
      <c r="F197" s="3" t="s">
        <v>74</v>
      </c>
      <c r="G197" s="3" t="s">
        <v>75</v>
      </c>
      <c r="H197" s="3" t="s">
        <v>29</v>
      </c>
      <c r="I197" s="3" t="s">
        <v>30</v>
      </c>
      <c r="J197" s="3" t="s">
        <v>31</v>
      </c>
      <c r="K197" s="3" t="s">
        <v>76</v>
      </c>
      <c r="L197" s="5">
        <v>103</v>
      </c>
      <c r="M197" s="5">
        <f t="shared" ca="1" si="15"/>
        <v>95</v>
      </c>
      <c r="N197" s="6">
        <f t="shared" ca="1" si="16"/>
        <v>92.233009708737868</v>
      </c>
      <c r="O197" s="3" cm="1">
        <f t="array" aca="1" ref="O197" ca="1">IFERROR(LOOKUP(2, 1/((F$1:F196=F197)*(J$1:J196=J197)*(ROW(F$1:F196)&lt;ROW(F197))), N$1:N196), "")</f>
        <v>38.834951456310677</v>
      </c>
      <c r="P197" s="3">
        <f t="shared" si="19"/>
        <v>0</v>
      </c>
      <c r="Q197" s="3" t="s">
        <v>43</v>
      </c>
      <c r="R197" s="3" t="s">
        <v>40</v>
      </c>
      <c r="S197" s="3" t="str">
        <f t="shared" si="17"/>
        <v>Yes</v>
      </c>
      <c r="T197" s="3" t="s">
        <v>40</v>
      </c>
      <c r="U197" s="3" t="str">
        <f t="shared" si="18"/>
        <v>Rainy</v>
      </c>
      <c r="V197" s="3" t="s">
        <v>40</v>
      </c>
      <c r="W197" s="3" cm="1">
        <f t="array" ref="W197">_xlfn.IFS(
OR(F197="Selenium (Hands-on)",F197="Guest Lecture: HR Interview"),6,
OR(F197="Soft Skill",F197="Soft Skill (Examination)",F197="AWS Training",F197="AWS Session"),7,
OR(ISNUMBER(SEARCH("MAD",F197)),ISNUMBER(SEARCH("STQA",F197)),F197="CI/CD Session"),8,
OR(ISNUMBER(SEARCH("Cloud",F197)),F197="Industry Readiness Program",ISNUMBER(SEARCH("Talenlio",F197))),9,
OR(ISNUMBER(SEARCH("Innovation",F197)),F197="Mini Project"),10,
OR(ISNUMBER(SEARCH("Data Science",F197)),ISNUMBER(SEARCH("DS",F197))),11,
ISNUMBER(SEARCH("Generative AI",F197)),12
=_xlfn.IFS(
OR(F197="Selenium (Hands-on)",F197="Guest Lecture: HR Interview"),6,
OR(F197="Soft Skill",F197="Soft Skill (Examination)",F197="AWS Training",F197="AWS Session"),7,
OR(ISNUMBER(SEARCH("MAD",F197)),ISNUMBER(SEARCH("STQA",F197)),F197="CI/CD Session"),8,
OR(ISNUMBER(SEARCH("Cloud",F197)),F197="Industry Readiness Program",ISNUMBER(SEARCH("Talenlio",F197))),9,
OR(ISNUMBER(SEARCH("Innovation",F197)),F197="Mini Project"),10,
OR(ISNUMBER(SEARCH("Data Science",F197)),ISNUMBER(SEARCH("DS",F197))),11,
ISNUMBER(SEARCH("Generative AI",F197)),12
=_xlfn.IFS(
OR(F197="Selenium (Hands-on)",F197="Guest Lecture: HR Interview"),6,
OR(F197="Soft Skill",F197="Soft Skill (Examination)",F197="AWS Training",F197="AWS Session"),7,
OR(ISNUMBER(SEARCH("MAD",F197)),ISNUMBER(SEARCH("STQA",F197)),F197="CI/CD Session"),8,
OR(ISNUMBER(SEARCH("Cloud",F197)),F197="Industry Readiness Program",ISNUMBER(SEARCH("Talenlio",F197))),9,
OR(ISNUMBER(SEARCH("Innovation",F197)),F197="Mini Project"),10,
OR(ISNUMBER(SEARCH("Data Science",F197)),ISNUMBER(SEARCH("DS",F197))),11,
ISNUMBER(SEARCH("Generative AI",F197)),12
=_xlfn.IFS(
OR(F197="Selenium (Hands-on)",F197="Guest Lecture: HR Interview"),6,
OR(F197="Soft Skill",F197="Soft Skill (Examination)",F197="AWS Training",F197="AWS Session"),7,
OR(ISNUMBER(SEARCH("MAD",F197)),ISNUMBER(SEARCH("STQA",F197)),F197="CI/CD Session"),8,
OR(ISNUMBER(SEARCH("Cloud",F197)),F197="Industry Readiness Program",ISNUMBER(SEARCH("Talenlio",F197))),9,
OR(ISNUMBER(SEARCH("Innovation",F197)),F197="Mini Project"),10,
OR(ISNUMBER(SEARCH("Data Science",F197)),ISNUMBER(SEARCH("DS",F197))),11,
ISNUMBER(SEARCH("Generative AI",F197)),12
))))</f>
        <v>6</v>
      </c>
      <c r="X197" s="3">
        <v>7</v>
      </c>
      <c r="Y197" s="3">
        <v>45</v>
      </c>
      <c r="Z197" s="3" t="s">
        <v>35</v>
      </c>
    </row>
    <row r="198" spans="1:26" x14ac:dyDescent="0.3">
      <c r="A198" s="2">
        <v>46232</v>
      </c>
      <c r="B198" s="3" t="s">
        <v>44</v>
      </c>
      <c r="C198" s="3">
        <v>3</v>
      </c>
      <c r="D198" s="4">
        <v>0.41666666666666702</v>
      </c>
      <c r="E198" s="4">
        <v>0.45833333333333298</v>
      </c>
      <c r="F198" s="3" t="s">
        <v>74</v>
      </c>
      <c r="G198" s="3" t="s">
        <v>75</v>
      </c>
      <c r="H198" s="3" t="s">
        <v>29</v>
      </c>
      <c r="I198" s="3" t="s">
        <v>30</v>
      </c>
      <c r="J198" s="3" t="s">
        <v>31</v>
      </c>
      <c r="K198" s="3" t="s">
        <v>76</v>
      </c>
      <c r="L198" s="5">
        <v>103</v>
      </c>
      <c r="M198" s="5">
        <f t="shared" ca="1" si="15"/>
        <v>89</v>
      </c>
      <c r="N198" s="6">
        <f t="shared" ca="1" si="16"/>
        <v>86.40776699029125</v>
      </c>
      <c r="O198" s="3" cm="1">
        <f t="array" aca="1" ref="O198" ca="1">IFERROR(LOOKUP(2, 1/((F$1:F197=F198)*(J$1:J197=J198)*(ROW(F$1:F197)&lt;ROW(F198))), N$1:N197), "")</f>
        <v>92.233009708737868</v>
      </c>
      <c r="P198" s="3">
        <f t="shared" si="19"/>
        <v>0</v>
      </c>
      <c r="Q198" s="3" t="s">
        <v>43</v>
      </c>
      <c r="R198" s="3" t="s">
        <v>40</v>
      </c>
      <c r="S198" s="3" t="str">
        <f t="shared" si="17"/>
        <v>Yes</v>
      </c>
      <c r="T198" s="3" t="s">
        <v>40</v>
      </c>
      <c r="U198" s="3" t="str">
        <f t="shared" si="18"/>
        <v>Rainy</v>
      </c>
      <c r="V198" s="3" t="s">
        <v>40</v>
      </c>
      <c r="W198" s="3" cm="1">
        <f t="array" ref="W198">_xlfn.IFS(
OR(F198="Selenium (Hands-on)",F198="Guest Lecture: HR Interview"),6,
OR(F198="Soft Skill",F198="Soft Skill (Examination)",F198="AWS Training",F198="AWS Session"),7,
OR(ISNUMBER(SEARCH("MAD",F198)),ISNUMBER(SEARCH("STQA",F198)),F198="CI/CD Session"),8,
OR(ISNUMBER(SEARCH("Cloud",F198)),F198="Industry Readiness Program",ISNUMBER(SEARCH("Talenlio",F198))),9,
OR(ISNUMBER(SEARCH("Innovation",F198)),F198="Mini Project"),10,
OR(ISNUMBER(SEARCH("Data Science",F198)),ISNUMBER(SEARCH("DS",F198))),11,
ISNUMBER(SEARCH("Generative AI",F198)),12
=_xlfn.IFS(
OR(F198="Selenium (Hands-on)",F198="Guest Lecture: HR Interview"),6,
OR(F198="Soft Skill",F198="Soft Skill (Examination)",F198="AWS Training",F198="AWS Session"),7,
OR(ISNUMBER(SEARCH("MAD",F198)),ISNUMBER(SEARCH("STQA",F198)),F198="CI/CD Session"),8,
OR(ISNUMBER(SEARCH("Cloud",F198)),F198="Industry Readiness Program",ISNUMBER(SEARCH("Talenlio",F198))),9,
OR(ISNUMBER(SEARCH("Innovation",F198)),F198="Mini Project"),10,
OR(ISNUMBER(SEARCH("Data Science",F198)),ISNUMBER(SEARCH("DS",F198))),11,
ISNUMBER(SEARCH("Generative AI",F198)),12
=_xlfn.IFS(
OR(F198="Selenium (Hands-on)",F198="Guest Lecture: HR Interview"),6,
OR(F198="Soft Skill",F198="Soft Skill (Examination)",F198="AWS Training",F198="AWS Session"),7,
OR(ISNUMBER(SEARCH("MAD",F198)),ISNUMBER(SEARCH("STQA",F198)),F198="CI/CD Session"),8,
OR(ISNUMBER(SEARCH("Cloud",F198)),F198="Industry Readiness Program",ISNUMBER(SEARCH("Talenlio",F198))),9,
OR(ISNUMBER(SEARCH("Innovation",F198)),F198="Mini Project"),10,
OR(ISNUMBER(SEARCH("Data Science",F198)),ISNUMBER(SEARCH("DS",F198))),11,
ISNUMBER(SEARCH("Generative AI",F198)),12
=_xlfn.IFS(
OR(F198="Selenium (Hands-on)",F198="Guest Lecture: HR Interview"),6,
OR(F198="Soft Skill",F198="Soft Skill (Examination)",F198="AWS Training",F198="AWS Session"),7,
OR(ISNUMBER(SEARCH("MAD",F198)),ISNUMBER(SEARCH("STQA",F198)),F198="CI/CD Session"),8,
OR(ISNUMBER(SEARCH("Cloud",F198)),F198="Industry Readiness Program",ISNUMBER(SEARCH("Talenlio",F198))),9,
OR(ISNUMBER(SEARCH("Innovation",F198)),F198="Mini Project"),10,
OR(ISNUMBER(SEARCH("Data Science",F198)),ISNUMBER(SEARCH("DS",F198))),11,
ISNUMBER(SEARCH("Generative AI",F198)),12
))))</f>
        <v>6</v>
      </c>
      <c r="X198" s="3">
        <v>7</v>
      </c>
      <c r="Y198" s="3">
        <v>45</v>
      </c>
      <c r="Z198" s="3" t="s">
        <v>35</v>
      </c>
    </row>
    <row r="199" spans="1:26" x14ac:dyDescent="0.3">
      <c r="A199" s="2">
        <v>46232</v>
      </c>
      <c r="B199" s="3" t="s">
        <v>44</v>
      </c>
      <c r="C199" s="3">
        <v>4</v>
      </c>
      <c r="D199" s="4">
        <v>0.45833333333333298</v>
      </c>
      <c r="E199" s="4">
        <v>0.47916666666666702</v>
      </c>
      <c r="F199" s="3" t="s">
        <v>74</v>
      </c>
      <c r="G199" s="3" t="s">
        <v>75</v>
      </c>
      <c r="H199" s="3" t="s">
        <v>29</v>
      </c>
      <c r="I199" s="3" t="s">
        <v>30</v>
      </c>
      <c r="J199" s="3" t="s">
        <v>31</v>
      </c>
      <c r="K199" s="3" t="s">
        <v>76</v>
      </c>
      <c r="L199" s="5">
        <v>103</v>
      </c>
      <c r="M199" s="5">
        <f t="shared" ca="1" si="15"/>
        <v>91</v>
      </c>
      <c r="N199" s="6">
        <f t="shared" ca="1" si="16"/>
        <v>88.349514563106794</v>
      </c>
      <c r="O199" s="3" cm="1">
        <f t="array" aca="1" ref="O199" ca="1">IFERROR(LOOKUP(2, 1/((F$1:F198=F199)*(J$1:J198=J199)*(ROW(F$1:F198)&lt;ROW(F199))), N$1:N198), "")</f>
        <v>86.40776699029125</v>
      </c>
      <c r="P199" s="3">
        <f t="shared" si="19"/>
        <v>0</v>
      </c>
      <c r="Q199" s="3" t="s">
        <v>43</v>
      </c>
      <c r="R199" s="3" t="s">
        <v>40</v>
      </c>
      <c r="S199" s="3" t="str">
        <f t="shared" si="17"/>
        <v>Yes</v>
      </c>
      <c r="T199" s="3" t="s">
        <v>40</v>
      </c>
      <c r="U199" s="3" t="str">
        <f t="shared" si="18"/>
        <v>Rainy</v>
      </c>
      <c r="V199" s="3" t="s">
        <v>40</v>
      </c>
      <c r="W199" s="3" cm="1">
        <f t="array" ref="W199">_xlfn.IFS(
OR(F199="Selenium (Hands-on)",F199="Guest Lecture: HR Interview"),6,
OR(F199="Soft Skill",F199="Soft Skill (Examination)",F199="AWS Training",F199="AWS Session"),7,
OR(ISNUMBER(SEARCH("MAD",F199)),ISNUMBER(SEARCH("STQA",F199)),F199="CI/CD Session"),8,
OR(ISNUMBER(SEARCH("Cloud",F199)),F199="Industry Readiness Program",ISNUMBER(SEARCH("Talenlio",F199))),9,
OR(ISNUMBER(SEARCH("Innovation",F199)),F199="Mini Project"),10,
OR(ISNUMBER(SEARCH("Data Science",F199)),ISNUMBER(SEARCH("DS",F199))),11,
ISNUMBER(SEARCH("Generative AI",F199)),12
=_xlfn.IFS(
OR(F199="Selenium (Hands-on)",F199="Guest Lecture: HR Interview"),6,
OR(F199="Soft Skill",F199="Soft Skill (Examination)",F199="AWS Training",F199="AWS Session"),7,
OR(ISNUMBER(SEARCH("MAD",F199)),ISNUMBER(SEARCH("STQA",F199)),F199="CI/CD Session"),8,
OR(ISNUMBER(SEARCH("Cloud",F199)),F199="Industry Readiness Program",ISNUMBER(SEARCH("Talenlio",F199))),9,
OR(ISNUMBER(SEARCH("Innovation",F199)),F199="Mini Project"),10,
OR(ISNUMBER(SEARCH("Data Science",F199)),ISNUMBER(SEARCH("DS",F199))),11,
ISNUMBER(SEARCH("Generative AI",F199)),12
=_xlfn.IFS(
OR(F199="Selenium (Hands-on)",F199="Guest Lecture: HR Interview"),6,
OR(F199="Soft Skill",F199="Soft Skill (Examination)",F199="AWS Training",F199="AWS Session"),7,
OR(ISNUMBER(SEARCH("MAD",F199)),ISNUMBER(SEARCH("STQA",F199)),F199="CI/CD Session"),8,
OR(ISNUMBER(SEARCH("Cloud",F199)),F199="Industry Readiness Program",ISNUMBER(SEARCH("Talenlio",F199))),9,
OR(ISNUMBER(SEARCH("Innovation",F199)),F199="Mini Project"),10,
OR(ISNUMBER(SEARCH("Data Science",F199)),ISNUMBER(SEARCH("DS",F199))),11,
ISNUMBER(SEARCH("Generative AI",F199)),12
=_xlfn.IFS(
OR(F199="Selenium (Hands-on)",F199="Guest Lecture: HR Interview"),6,
OR(F199="Soft Skill",F199="Soft Skill (Examination)",F199="AWS Training",F199="AWS Session"),7,
OR(ISNUMBER(SEARCH("MAD",F199)),ISNUMBER(SEARCH("STQA",F199)),F199="CI/CD Session"),8,
OR(ISNUMBER(SEARCH("Cloud",F199)),F199="Industry Readiness Program",ISNUMBER(SEARCH("Talenlio",F199))),9,
OR(ISNUMBER(SEARCH("Innovation",F199)),F199="Mini Project"),10,
OR(ISNUMBER(SEARCH("Data Science",F199)),ISNUMBER(SEARCH("DS",F199))),11,
ISNUMBER(SEARCH("Generative AI",F199)),12
))))</f>
        <v>6</v>
      </c>
      <c r="X199" s="3">
        <v>7</v>
      </c>
      <c r="Y199" s="3">
        <v>45</v>
      </c>
      <c r="Z199" s="3" t="s">
        <v>35</v>
      </c>
    </row>
    <row r="200" spans="1:26" x14ac:dyDescent="0.3">
      <c r="A200" s="2">
        <v>46232</v>
      </c>
      <c r="B200" s="3" t="s">
        <v>44</v>
      </c>
      <c r="C200" s="3">
        <v>5</v>
      </c>
      <c r="D200" s="4">
        <v>0.47916666666666702</v>
      </c>
      <c r="E200" s="4">
        <v>0.52083333333333304</v>
      </c>
      <c r="F200" s="3" t="s">
        <v>59</v>
      </c>
      <c r="G200" s="3" t="s">
        <v>73</v>
      </c>
      <c r="H200" s="3" t="s">
        <v>29</v>
      </c>
      <c r="I200" s="3" t="s">
        <v>30</v>
      </c>
      <c r="J200" s="3" t="s">
        <v>31</v>
      </c>
      <c r="K200" s="3" t="s">
        <v>52</v>
      </c>
      <c r="L200" s="5">
        <v>103</v>
      </c>
      <c r="M200" s="5">
        <f t="shared" ca="1" si="15"/>
        <v>100</v>
      </c>
      <c r="N200" s="6">
        <f t="shared" ca="1" si="16"/>
        <v>97.087378640776706</v>
      </c>
      <c r="O200" s="3" cm="1">
        <f t="array" aca="1" ref="O200" ca="1">IFERROR(LOOKUP(2, 1/((F$1:F199=F200)*(J$1:J199=J200)*(ROW(F$1:F199)&lt;ROW(F200))), N$1:N199), "")</f>
        <v>46.601941747572816</v>
      </c>
      <c r="P200" s="3">
        <f t="shared" si="19"/>
        <v>0</v>
      </c>
      <c r="Q200" s="3" t="s">
        <v>33</v>
      </c>
      <c r="R200" s="3" t="s">
        <v>40</v>
      </c>
      <c r="S200" s="3" t="str">
        <f t="shared" si="17"/>
        <v>No</v>
      </c>
      <c r="T200" s="3" t="s">
        <v>40</v>
      </c>
      <c r="U200" s="3" t="str">
        <f t="shared" si="18"/>
        <v>Rainy</v>
      </c>
      <c r="V200" s="3" t="s">
        <v>40</v>
      </c>
      <c r="W200" s="3" cm="1">
        <f t="array" ref="W200">_xlfn.IFS(
OR(F200="Selenium (Hands-on)",F200="Guest Lecture: HR Interview"),6,
OR(F200="Soft Skill",F200="Soft Skill (Examination)",F200="AWS Training",F200="AWS Session"),7,
OR(ISNUMBER(SEARCH("MAD",F200)),ISNUMBER(SEARCH("STQA",F200)),F200="CI/CD Session"),8,
OR(ISNUMBER(SEARCH("Cloud",F200)),F200="Industry Readiness Program",ISNUMBER(SEARCH("Talenlio",F200))),9,
OR(ISNUMBER(SEARCH("Innovation",F200)),F200="Mini Project"),10,
OR(ISNUMBER(SEARCH("Data Science",F200)),ISNUMBER(SEARCH("DS",F200))),11,
ISNUMBER(SEARCH("Generative AI",F200)),12
=_xlfn.IFS(
OR(F200="Selenium (Hands-on)",F200="Guest Lecture: HR Interview"),6,
OR(F200="Soft Skill",F200="Soft Skill (Examination)",F200="AWS Training",F200="AWS Session"),7,
OR(ISNUMBER(SEARCH("MAD",F200)),ISNUMBER(SEARCH("STQA",F200)),F200="CI/CD Session"),8,
OR(ISNUMBER(SEARCH("Cloud",F200)),F200="Industry Readiness Program",ISNUMBER(SEARCH("Talenlio",F200))),9,
OR(ISNUMBER(SEARCH("Innovation",F200)),F200="Mini Project"),10,
OR(ISNUMBER(SEARCH("Data Science",F200)),ISNUMBER(SEARCH("DS",F200))),11,
ISNUMBER(SEARCH("Generative AI",F200)),12
=_xlfn.IFS(
OR(F200="Selenium (Hands-on)",F200="Guest Lecture: HR Interview"),6,
OR(F200="Soft Skill",F200="Soft Skill (Examination)",F200="AWS Training",F200="AWS Session"),7,
OR(ISNUMBER(SEARCH("MAD",F200)),ISNUMBER(SEARCH("STQA",F200)),F200="CI/CD Session"),8,
OR(ISNUMBER(SEARCH("Cloud",F200)),F200="Industry Readiness Program",ISNUMBER(SEARCH("Talenlio",F200))),9,
OR(ISNUMBER(SEARCH("Innovation",F200)),F200="Mini Project"),10,
OR(ISNUMBER(SEARCH("Data Science",F200)),ISNUMBER(SEARCH("DS",F200))),11,
ISNUMBER(SEARCH("Generative AI",F200)),12
=_xlfn.IFS(
OR(F200="Selenium (Hands-on)",F200="Guest Lecture: HR Interview"),6,
OR(F200="Soft Skill",F200="Soft Skill (Examination)",F200="AWS Training",F200="AWS Session"),7,
OR(ISNUMBER(SEARCH("MAD",F200)),ISNUMBER(SEARCH("STQA",F200)),F200="CI/CD Session"),8,
OR(ISNUMBER(SEARCH("Cloud",F200)),F200="Industry Readiness Program",ISNUMBER(SEARCH("Talenlio",F200))),9,
OR(ISNUMBER(SEARCH("Innovation",F200)),F200="Mini Project"),10,
OR(ISNUMBER(SEARCH("Data Science",F200)),ISNUMBER(SEARCH("DS",F200))),11,
ISNUMBER(SEARCH("Generative AI",F200)),12
))))</f>
        <v>11</v>
      </c>
      <c r="X200" s="3">
        <v>7</v>
      </c>
      <c r="Y200" s="3">
        <v>45</v>
      </c>
      <c r="Z200" s="3" t="s">
        <v>35</v>
      </c>
    </row>
    <row r="201" spans="1:26" x14ac:dyDescent="0.3">
      <c r="A201" s="2">
        <v>46232</v>
      </c>
      <c r="B201" s="3" t="s">
        <v>44</v>
      </c>
      <c r="C201" s="3">
        <v>6</v>
      </c>
      <c r="D201" s="4">
        <v>0.5625</v>
      </c>
      <c r="E201" s="4">
        <v>0.60416666666666696</v>
      </c>
      <c r="F201" s="3" t="s">
        <v>53</v>
      </c>
      <c r="G201" s="3" t="s">
        <v>68</v>
      </c>
      <c r="H201" s="3" t="s">
        <v>29</v>
      </c>
      <c r="I201" s="3" t="s">
        <v>30</v>
      </c>
      <c r="J201" s="3" t="s">
        <v>31</v>
      </c>
      <c r="K201" s="3" t="s">
        <v>32</v>
      </c>
      <c r="L201" s="5">
        <v>103</v>
      </c>
      <c r="M201" s="5">
        <f t="shared" ca="1" si="15"/>
        <v>90</v>
      </c>
      <c r="N201" s="6">
        <f t="shared" ca="1" si="16"/>
        <v>87.378640776699029</v>
      </c>
      <c r="O201" s="3" cm="1">
        <f t="array" aca="1" ref="O201" ca="1">IFERROR(LOOKUP(2, 1/((F$1:F200=F201)*(J$1:J200=J201)*(ROW(F$1:F200)&lt;ROW(F201))), N$1:N200), "")</f>
        <v>61.165048543689316</v>
      </c>
      <c r="P201" s="3">
        <f t="shared" si="19"/>
        <v>1</v>
      </c>
      <c r="Q201" s="3" t="s">
        <v>33</v>
      </c>
      <c r="R201" s="3" t="s">
        <v>40</v>
      </c>
      <c r="S201" s="3" t="str">
        <f t="shared" si="17"/>
        <v>No</v>
      </c>
      <c r="T201" s="3" t="s">
        <v>40</v>
      </c>
      <c r="U201" s="3" t="str">
        <f t="shared" si="18"/>
        <v>Rainy</v>
      </c>
      <c r="V201" s="3" t="s">
        <v>40</v>
      </c>
      <c r="W201" s="3" cm="1">
        <f t="array" ref="W201">_xlfn.IFS(
OR(F201="Selenium (Hands-on)",F201="Guest Lecture: HR Interview"),6,
OR(F201="Soft Skill",F201="Soft Skill (Examination)",F201="AWS Training",F201="AWS Session"),7,
OR(ISNUMBER(SEARCH("MAD",F201)),ISNUMBER(SEARCH("STQA",F201)),F201="CI/CD Session"),8,
OR(ISNUMBER(SEARCH("Cloud",F201)),F201="Industry Readiness Program",ISNUMBER(SEARCH("Talenlio",F201))),9,
OR(ISNUMBER(SEARCH("Innovation",F201)),F201="Mini Project"),10,
OR(ISNUMBER(SEARCH("Data Science",F201)),ISNUMBER(SEARCH("DS",F201))),11,
ISNUMBER(SEARCH("Generative AI",F201)),12
=_xlfn.IFS(
OR(F201="Selenium (Hands-on)",F201="Guest Lecture: HR Interview"),6,
OR(F201="Soft Skill",F201="Soft Skill (Examination)",F201="AWS Training",F201="AWS Session"),7,
OR(ISNUMBER(SEARCH("MAD",F201)),ISNUMBER(SEARCH("STQA",F201)),F201="CI/CD Session"),8,
OR(ISNUMBER(SEARCH("Cloud",F201)),F201="Industry Readiness Program",ISNUMBER(SEARCH("Talenlio",F201))),9,
OR(ISNUMBER(SEARCH("Innovation",F201)),F201="Mini Project"),10,
OR(ISNUMBER(SEARCH("Data Science",F201)),ISNUMBER(SEARCH("DS",F201))),11,
ISNUMBER(SEARCH("Generative AI",F201)),12
=_xlfn.IFS(
OR(F201="Selenium (Hands-on)",F201="Guest Lecture: HR Interview"),6,
OR(F201="Soft Skill",F201="Soft Skill (Examination)",F201="AWS Training",F201="AWS Session"),7,
OR(ISNUMBER(SEARCH("MAD",F201)),ISNUMBER(SEARCH("STQA",F201)),F201="CI/CD Session"),8,
OR(ISNUMBER(SEARCH("Cloud",F201)),F201="Industry Readiness Program",ISNUMBER(SEARCH("Talenlio",F201))),9,
OR(ISNUMBER(SEARCH("Innovation",F201)),F201="Mini Project"),10,
OR(ISNUMBER(SEARCH("Data Science",F201)),ISNUMBER(SEARCH("DS",F201))),11,
ISNUMBER(SEARCH("Generative AI",F201)),12
=_xlfn.IFS(
OR(F201="Selenium (Hands-on)",F201="Guest Lecture: HR Interview"),6,
OR(F201="Soft Skill",F201="Soft Skill (Examination)",F201="AWS Training",F201="AWS Session"),7,
OR(ISNUMBER(SEARCH("MAD",F201)),ISNUMBER(SEARCH("STQA",F201)),F201="CI/CD Session"),8,
OR(ISNUMBER(SEARCH("Cloud",F201)),F201="Industry Readiness Program",ISNUMBER(SEARCH("Talenlio",F201))),9,
OR(ISNUMBER(SEARCH("Innovation",F201)),F201="Mini Project"),10,
OR(ISNUMBER(SEARCH("Data Science",F201)),ISNUMBER(SEARCH("DS",F201))),11,
ISNUMBER(SEARCH("Generative AI",F201)),12
))))</f>
        <v>10</v>
      </c>
      <c r="X201" s="3">
        <v>7</v>
      </c>
      <c r="Y201" s="3">
        <v>45</v>
      </c>
      <c r="Z201" s="3" t="s">
        <v>38</v>
      </c>
    </row>
    <row r="202" spans="1:26" x14ac:dyDescent="0.3">
      <c r="A202" s="2">
        <v>46232</v>
      </c>
      <c r="B202" s="3" t="s">
        <v>44</v>
      </c>
      <c r="C202" s="3">
        <v>7</v>
      </c>
      <c r="D202" s="4">
        <v>0.60416666666666696</v>
      </c>
      <c r="E202" s="4">
        <v>0.64583333333333304</v>
      </c>
      <c r="F202" s="3" t="s">
        <v>53</v>
      </c>
      <c r="G202" s="3" t="s">
        <v>68</v>
      </c>
      <c r="H202" s="3" t="s">
        <v>29</v>
      </c>
      <c r="I202" s="3" t="s">
        <v>30</v>
      </c>
      <c r="J202" s="3" t="s">
        <v>31</v>
      </c>
      <c r="K202" s="3" t="s">
        <v>32</v>
      </c>
      <c r="L202" s="5">
        <v>103</v>
      </c>
      <c r="M202" s="5">
        <f t="shared" ca="1" si="15"/>
        <v>102</v>
      </c>
      <c r="N202" s="6">
        <f t="shared" ca="1" si="16"/>
        <v>99.029126213592235</v>
      </c>
      <c r="O202" s="3" cm="1">
        <f t="array" aca="1" ref="O202" ca="1">IFERROR(LOOKUP(2, 1/((F$1:F201=F202)*(J$1:J201=J202)*(ROW(F$1:F201)&lt;ROW(F202))), N$1:N201), "")</f>
        <v>87.378640776699029</v>
      </c>
      <c r="P202" s="3">
        <f t="shared" si="19"/>
        <v>0</v>
      </c>
      <c r="Q202" s="3" t="s">
        <v>33</v>
      </c>
      <c r="R202" s="3" t="s">
        <v>40</v>
      </c>
      <c r="S202" s="3" t="str">
        <f t="shared" si="17"/>
        <v>No</v>
      </c>
      <c r="T202" s="3" t="s">
        <v>40</v>
      </c>
      <c r="U202" s="3" t="str">
        <f t="shared" si="18"/>
        <v>Rainy</v>
      </c>
      <c r="V202" s="3" t="s">
        <v>40</v>
      </c>
      <c r="W202" s="3" cm="1">
        <f t="array" ref="W202">_xlfn.IFS(
OR(F202="Selenium (Hands-on)",F202="Guest Lecture: HR Interview"),6,
OR(F202="Soft Skill",F202="Soft Skill (Examination)",F202="AWS Training",F202="AWS Session"),7,
OR(ISNUMBER(SEARCH("MAD",F202)),ISNUMBER(SEARCH("STQA",F202)),F202="CI/CD Session"),8,
OR(ISNUMBER(SEARCH("Cloud",F202)),F202="Industry Readiness Program",ISNUMBER(SEARCH("Talenlio",F202))),9,
OR(ISNUMBER(SEARCH("Innovation",F202)),F202="Mini Project"),10,
OR(ISNUMBER(SEARCH("Data Science",F202)),ISNUMBER(SEARCH("DS",F202))),11,
ISNUMBER(SEARCH("Generative AI",F202)),12
=_xlfn.IFS(
OR(F202="Selenium (Hands-on)",F202="Guest Lecture: HR Interview"),6,
OR(F202="Soft Skill",F202="Soft Skill (Examination)",F202="AWS Training",F202="AWS Session"),7,
OR(ISNUMBER(SEARCH("MAD",F202)),ISNUMBER(SEARCH("STQA",F202)),F202="CI/CD Session"),8,
OR(ISNUMBER(SEARCH("Cloud",F202)),F202="Industry Readiness Program",ISNUMBER(SEARCH("Talenlio",F202))),9,
OR(ISNUMBER(SEARCH("Innovation",F202)),F202="Mini Project"),10,
OR(ISNUMBER(SEARCH("Data Science",F202)),ISNUMBER(SEARCH("DS",F202))),11,
ISNUMBER(SEARCH("Generative AI",F202)),12
=_xlfn.IFS(
OR(F202="Selenium (Hands-on)",F202="Guest Lecture: HR Interview"),6,
OR(F202="Soft Skill",F202="Soft Skill (Examination)",F202="AWS Training",F202="AWS Session"),7,
OR(ISNUMBER(SEARCH("MAD",F202)),ISNUMBER(SEARCH("STQA",F202)),F202="CI/CD Session"),8,
OR(ISNUMBER(SEARCH("Cloud",F202)),F202="Industry Readiness Program",ISNUMBER(SEARCH("Talenlio",F202))),9,
OR(ISNUMBER(SEARCH("Innovation",F202)),F202="Mini Project"),10,
OR(ISNUMBER(SEARCH("Data Science",F202)),ISNUMBER(SEARCH("DS",F202))),11,
ISNUMBER(SEARCH("Generative AI",F202)),12
=_xlfn.IFS(
OR(F202="Selenium (Hands-on)",F202="Guest Lecture: HR Interview"),6,
OR(F202="Soft Skill",F202="Soft Skill (Examination)",F202="AWS Training",F202="AWS Session"),7,
OR(ISNUMBER(SEARCH("MAD",F202)),ISNUMBER(SEARCH("STQA",F202)),F202="CI/CD Session"),8,
OR(ISNUMBER(SEARCH("Cloud",F202)),F202="Industry Readiness Program",ISNUMBER(SEARCH("Talenlio",F202))),9,
OR(ISNUMBER(SEARCH("Innovation",F202)),F202="Mini Project"),10,
OR(ISNUMBER(SEARCH("Data Science",F202)),ISNUMBER(SEARCH("DS",F202))),11,
ISNUMBER(SEARCH("Generative AI",F202)),12
))))</f>
        <v>10</v>
      </c>
      <c r="X202" s="3">
        <v>7</v>
      </c>
      <c r="Y202" s="3">
        <v>45</v>
      </c>
      <c r="Z202" s="3" t="s">
        <v>38</v>
      </c>
    </row>
    <row r="203" spans="1:26" x14ac:dyDescent="0.3">
      <c r="A203" s="2">
        <v>46232</v>
      </c>
      <c r="B203" s="3" t="s">
        <v>44</v>
      </c>
      <c r="C203" s="3">
        <v>8</v>
      </c>
      <c r="D203" s="4">
        <v>0.64583333333333304</v>
      </c>
      <c r="E203" s="4">
        <v>0.66666666666666696</v>
      </c>
      <c r="F203" s="3" t="s">
        <v>53</v>
      </c>
      <c r="G203" s="3" t="s">
        <v>68</v>
      </c>
      <c r="H203" s="3" t="s">
        <v>29</v>
      </c>
      <c r="I203" s="3" t="s">
        <v>30</v>
      </c>
      <c r="J203" s="3" t="s">
        <v>31</v>
      </c>
      <c r="K203" s="3" t="s">
        <v>32</v>
      </c>
      <c r="L203" s="5">
        <v>103</v>
      </c>
      <c r="M203" s="5">
        <f t="shared" ca="1" si="15"/>
        <v>61</v>
      </c>
      <c r="N203" s="6">
        <f t="shared" ca="1" si="16"/>
        <v>59.22330097087378</v>
      </c>
      <c r="O203" s="3" cm="1">
        <f t="array" aca="1" ref="O203" ca="1">IFERROR(LOOKUP(2, 1/((F$1:F202=F203)*(J$1:J202=J203)*(ROW(F$1:F202)&lt;ROW(F203))), N$1:N202), "")</f>
        <v>99.029126213592235</v>
      </c>
      <c r="P203" s="3">
        <f t="shared" si="19"/>
        <v>0</v>
      </c>
      <c r="Q203" s="3" t="s">
        <v>33</v>
      </c>
      <c r="R203" s="3" t="s">
        <v>40</v>
      </c>
      <c r="S203" s="3" t="str">
        <f t="shared" si="17"/>
        <v>No</v>
      </c>
      <c r="T203" s="3" t="s">
        <v>40</v>
      </c>
      <c r="U203" s="3" t="str">
        <f t="shared" si="18"/>
        <v>Rainy</v>
      </c>
      <c r="V203" s="3" t="s">
        <v>40</v>
      </c>
      <c r="W203" s="3" cm="1">
        <f t="array" ref="W203">_xlfn.IFS(
OR(F203="Selenium (Hands-on)",F203="Guest Lecture: HR Interview"),6,
OR(F203="Soft Skill",F203="Soft Skill (Examination)",F203="AWS Training",F203="AWS Session"),7,
OR(ISNUMBER(SEARCH("MAD",F203)),ISNUMBER(SEARCH("STQA",F203)),F203="CI/CD Session"),8,
OR(ISNUMBER(SEARCH("Cloud",F203)),F203="Industry Readiness Program",ISNUMBER(SEARCH("Talenlio",F203))),9,
OR(ISNUMBER(SEARCH("Innovation",F203)),F203="Mini Project"),10,
OR(ISNUMBER(SEARCH("Data Science",F203)),ISNUMBER(SEARCH("DS",F203))),11,
ISNUMBER(SEARCH("Generative AI",F203)),12
=_xlfn.IFS(
OR(F203="Selenium (Hands-on)",F203="Guest Lecture: HR Interview"),6,
OR(F203="Soft Skill",F203="Soft Skill (Examination)",F203="AWS Training",F203="AWS Session"),7,
OR(ISNUMBER(SEARCH("MAD",F203)),ISNUMBER(SEARCH("STQA",F203)),F203="CI/CD Session"),8,
OR(ISNUMBER(SEARCH("Cloud",F203)),F203="Industry Readiness Program",ISNUMBER(SEARCH("Talenlio",F203))),9,
OR(ISNUMBER(SEARCH("Innovation",F203)),F203="Mini Project"),10,
OR(ISNUMBER(SEARCH("Data Science",F203)),ISNUMBER(SEARCH("DS",F203))),11,
ISNUMBER(SEARCH("Generative AI",F203)),12
=_xlfn.IFS(
OR(F203="Selenium (Hands-on)",F203="Guest Lecture: HR Interview"),6,
OR(F203="Soft Skill",F203="Soft Skill (Examination)",F203="AWS Training",F203="AWS Session"),7,
OR(ISNUMBER(SEARCH("MAD",F203)),ISNUMBER(SEARCH("STQA",F203)),F203="CI/CD Session"),8,
OR(ISNUMBER(SEARCH("Cloud",F203)),F203="Industry Readiness Program",ISNUMBER(SEARCH("Talenlio",F203))),9,
OR(ISNUMBER(SEARCH("Innovation",F203)),F203="Mini Project"),10,
OR(ISNUMBER(SEARCH("Data Science",F203)),ISNUMBER(SEARCH("DS",F203))),11,
ISNUMBER(SEARCH("Generative AI",F203)),12
=_xlfn.IFS(
OR(F203="Selenium (Hands-on)",F203="Guest Lecture: HR Interview"),6,
OR(F203="Soft Skill",F203="Soft Skill (Examination)",F203="AWS Training",F203="AWS Session"),7,
OR(ISNUMBER(SEARCH("MAD",F203)),ISNUMBER(SEARCH("STQA",F203)),F203="CI/CD Session"),8,
OR(ISNUMBER(SEARCH("Cloud",F203)),F203="Industry Readiness Program",ISNUMBER(SEARCH("Talenlio",F203))),9,
OR(ISNUMBER(SEARCH("Innovation",F203)),F203="Mini Project"),10,
OR(ISNUMBER(SEARCH("Data Science",F203)),ISNUMBER(SEARCH("DS",F203))),11,
ISNUMBER(SEARCH("Generative AI",F203)),12
))))</f>
        <v>10</v>
      </c>
      <c r="X203" s="3">
        <v>7</v>
      </c>
      <c r="Y203" s="3">
        <v>45</v>
      </c>
      <c r="Z203" s="3" t="s">
        <v>38</v>
      </c>
    </row>
    <row r="204" spans="1:26" x14ac:dyDescent="0.3">
      <c r="A204" s="2">
        <v>46233</v>
      </c>
      <c r="B204" s="3" t="s">
        <v>45</v>
      </c>
      <c r="C204" s="3">
        <v>1</v>
      </c>
      <c r="D204" s="4">
        <v>0.35416666666666702</v>
      </c>
      <c r="E204" s="4">
        <v>0.38541666666666702</v>
      </c>
      <c r="F204" s="3" t="s">
        <v>50</v>
      </c>
      <c r="G204" s="3" t="s">
        <v>51</v>
      </c>
      <c r="H204" s="3" t="s">
        <v>29</v>
      </c>
      <c r="I204" s="3" t="s">
        <v>30</v>
      </c>
      <c r="J204" s="3" t="s">
        <v>31</v>
      </c>
      <c r="K204" s="3" t="s">
        <v>52</v>
      </c>
      <c r="L204" s="5">
        <v>103</v>
      </c>
      <c r="M204" s="5">
        <f t="shared" ca="1" si="15"/>
        <v>103</v>
      </c>
      <c r="N204" s="6">
        <f t="shared" ca="1" si="16"/>
        <v>100</v>
      </c>
      <c r="O204" s="3" cm="1">
        <f t="array" aca="1" ref="O204" ca="1">IFERROR(LOOKUP(2, 1/((F$1:F203=F204)*(J$1:J203=J204)*(ROW(F$1:F203)&lt;ROW(F204))), N$1:N203), "")</f>
        <v>74.757281553398059</v>
      </c>
      <c r="P204" s="3">
        <f t="shared" si="19"/>
        <v>0</v>
      </c>
      <c r="Q204" s="3" t="s">
        <v>43</v>
      </c>
      <c r="R204" s="3" t="s">
        <v>40</v>
      </c>
      <c r="S204" s="3" t="str">
        <f t="shared" si="17"/>
        <v>No</v>
      </c>
      <c r="T204" s="3" t="s">
        <v>40</v>
      </c>
      <c r="U204" s="3" t="str">
        <f t="shared" si="18"/>
        <v>Rainy</v>
      </c>
      <c r="V204" s="3" t="s">
        <v>40</v>
      </c>
      <c r="W204" s="3" cm="1">
        <f t="array" ref="W204">_xlfn.IFS(
OR(F204="Selenium (Hands-on)",F204="Guest Lecture: HR Interview"),6,
OR(F204="Soft Skill",F204="Soft Skill (Examination)",F204="AWS Training",F204="AWS Session"),7,
OR(ISNUMBER(SEARCH("MAD",F204)),ISNUMBER(SEARCH("STQA",F204)),F204="CI/CD Session"),8,
OR(ISNUMBER(SEARCH("Cloud",F204)),F204="Industry Readiness Program",ISNUMBER(SEARCH("Talenlio",F204))),9,
OR(ISNUMBER(SEARCH("Innovation",F204)),F204="Mini Project"),10,
OR(ISNUMBER(SEARCH("Data Science",F204)),ISNUMBER(SEARCH("DS",F204))),11,
ISNUMBER(SEARCH("Generative AI",F204)),12
=_xlfn.IFS(
OR(F204="Selenium (Hands-on)",F204="Guest Lecture: HR Interview"),6,
OR(F204="Soft Skill",F204="Soft Skill (Examination)",F204="AWS Training",F204="AWS Session"),7,
OR(ISNUMBER(SEARCH("MAD",F204)),ISNUMBER(SEARCH("STQA",F204)),F204="CI/CD Session"),8,
OR(ISNUMBER(SEARCH("Cloud",F204)),F204="Industry Readiness Program",ISNUMBER(SEARCH("Talenlio",F204))),9,
OR(ISNUMBER(SEARCH("Innovation",F204)),F204="Mini Project"),10,
OR(ISNUMBER(SEARCH("Data Science",F204)),ISNUMBER(SEARCH("DS",F204))),11,
ISNUMBER(SEARCH("Generative AI",F204)),12
=_xlfn.IFS(
OR(F204="Selenium (Hands-on)",F204="Guest Lecture: HR Interview"),6,
OR(F204="Soft Skill",F204="Soft Skill (Examination)",F204="AWS Training",F204="AWS Session"),7,
OR(ISNUMBER(SEARCH("MAD",F204)),ISNUMBER(SEARCH("STQA",F204)),F204="CI/CD Session"),8,
OR(ISNUMBER(SEARCH("Cloud",F204)),F204="Industry Readiness Program",ISNUMBER(SEARCH("Talenlio",F204))),9,
OR(ISNUMBER(SEARCH("Innovation",F204)),F204="Mini Project"),10,
OR(ISNUMBER(SEARCH("Data Science",F204)),ISNUMBER(SEARCH("DS",F204))),11,
ISNUMBER(SEARCH("Generative AI",F204)),12
=_xlfn.IFS(
OR(F204="Selenium (Hands-on)",F204="Guest Lecture: HR Interview"),6,
OR(F204="Soft Skill",F204="Soft Skill (Examination)",F204="AWS Training",F204="AWS Session"),7,
OR(ISNUMBER(SEARCH("MAD",F204)),ISNUMBER(SEARCH("STQA",F204)),F204="CI/CD Session"),8,
OR(ISNUMBER(SEARCH("Cloud",F204)),F204="Industry Readiness Program",ISNUMBER(SEARCH("Talenlio",F204))),9,
OR(ISNUMBER(SEARCH("Innovation",F204)),F204="Mini Project"),10,
OR(ISNUMBER(SEARCH("Data Science",F204)),ISNUMBER(SEARCH("DS",F204))),11,
ISNUMBER(SEARCH("Generative AI",F204)),12
))))</f>
        <v>8</v>
      </c>
      <c r="X204" s="3">
        <v>7</v>
      </c>
      <c r="Y204" s="3">
        <v>46</v>
      </c>
      <c r="Z204" s="3" t="s">
        <v>35</v>
      </c>
    </row>
    <row r="205" spans="1:26" x14ac:dyDescent="0.3">
      <c r="A205" s="2">
        <v>46233</v>
      </c>
      <c r="B205" s="3" t="s">
        <v>45</v>
      </c>
      <c r="C205" s="3">
        <v>2</v>
      </c>
      <c r="D205" s="4">
        <v>0.38541666666666702</v>
      </c>
      <c r="E205" s="4">
        <v>0.42708333333333298</v>
      </c>
      <c r="F205" s="3" t="s">
        <v>50</v>
      </c>
      <c r="G205" s="3" t="s">
        <v>51</v>
      </c>
      <c r="H205" s="3" t="s">
        <v>29</v>
      </c>
      <c r="I205" s="3" t="s">
        <v>30</v>
      </c>
      <c r="J205" s="3" t="s">
        <v>31</v>
      </c>
      <c r="K205" s="3" t="s">
        <v>52</v>
      </c>
      <c r="L205" s="5">
        <v>103</v>
      </c>
      <c r="M205" s="5">
        <f t="shared" ca="1" si="15"/>
        <v>51</v>
      </c>
      <c r="N205" s="6">
        <f t="shared" ca="1" si="16"/>
        <v>49.514563106796118</v>
      </c>
      <c r="O205" s="3" cm="1">
        <f t="array" aca="1" ref="O205" ca="1">IFERROR(LOOKUP(2, 1/((F$1:F204=F205)*(J$1:J204=J205)*(ROW(F$1:F204)&lt;ROW(F205))), N$1:N204), "")</f>
        <v>100</v>
      </c>
      <c r="P205" s="3">
        <f t="shared" si="19"/>
        <v>0</v>
      </c>
      <c r="Q205" s="3" t="s">
        <v>43</v>
      </c>
      <c r="R205" s="3" t="s">
        <v>40</v>
      </c>
      <c r="S205" s="3" t="str">
        <f t="shared" si="17"/>
        <v>No</v>
      </c>
      <c r="T205" s="3" t="s">
        <v>40</v>
      </c>
      <c r="U205" s="3" t="str">
        <f t="shared" si="18"/>
        <v>Rainy</v>
      </c>
      <c r="V205" s="3" t="s">
        <v>40</v>
      </c>
      <c r="W205" s="3" cm="1">
        <f t="array" ref="W205">_xlfn.IFS(
OR(F205="Selenium (Hands-on)",F205="Guest Lecture: HR Interview"),6,
OR(F205="Soft Skill",F205="Soft Skill (Examination)",F205="AWS Training",F205="AWS Session"),7,
OR(ISNUMBER(SEARCH("MAD",F205)),ISNUMBER(SEARCH("STQA",F205)),F205="CI/CD Session"),8,
OR(ISNUMBER(SEARCH("Cloud",F205)),F205="Industry Readiness Program",ISNUMBER(SEARCH("Talenlio",F205))),9,
OR(ISNUMBER(SEARCH("Innovation",F205)),F205="Mini Project"),10,
OR(ISNUMBER(SEARCH("Data Science",F205)),ISNUMBER(SEARCH("DS",F205))),11,
ISNUMBER(SEARCH("Generative AI",F205)),12
=_xlfn.IFS(
OR(F205="Selenium (Hands-on)",F205="Guest Lecture: HR Interview"),6,
OR(F205="Soft Skill",F205="Soft Skill (Examination)",F205="AWS Training",F205="AWS Session"),7,
OR(ISNUMBER(SEARCH("MAD",F205)),ISNUMBER(SEARCH("STQA",F205)),F205="CI/CD Session"),8,
OR(ISNUMBER(SEARCH("Cloud",F205)),F205="Industry Readiness Program",ISNUMBER(SEARCH("Talenlio",F205))),9,
OR(ISNUMBER(SEARCH("Innovation",F205)),F205="Mini Project"),10,
OR(ISNUMBER(SEARCH("Data Science",F205)),ISNUMBER(SEARCH("DS",F205))),11,
ISNUMBER(SEARCH("Generative AI",F205)),12
=_xlfn.IFS(
OR(F205="Selenium (Hands-on)",F205="Guest Lecture: HR Interview"),6,
OR(F205="Soft Skill",F205="Soft Skill (Examination)",F205="AWS Training",F205="AWS Session"),7,
OR(ISNUMBER(SEARCH("MAD",F205)),ISNUMBER(SEARCH("STQA",F205)),F205="CI/CD Session"),8,
OR(ISNUMBER(SEARCH("Cloud",F205)),F205="Industry Readiness Program",ISNUMBER(SEARCH("Talenlio",F205))),9,
OR(ISNUMBER(SEARCH("Innovation",F205)),F205="Mini Project"),10,
OR(ISNUMBER(SEARCH("Data Science",F205)),ISNUMBER(SEARCH("DS",F205))),11,
ISNUMBER(SEARCH("Generative AI",F205)),12
=_xlfn.IFS(
OR(F205="Selenium (Hands-on)",F205="Guest Lecture: HR Interview"),6,
OR(F205="Soft Skill",F205="Soft Skill (Examination)",F205="AWS Training",F205="AWS Session"),7,
OR(ISNUMBER(SEARCH("MAD",F205)),ISNUMBER(SEARCH("STQA",F205)),F205="CI/CD Session"),8,
OR(ISNUMBER(SEARCH("Cloud",F205)),F205="Industry Readiness Program",ISNUMBER(SEARCH("Talenlio",F205))),9,
OR(ISNUMBER(SEARCH("Innovation",F205)),F205="Mini Project"),10,
OR(ISNUMBER(SEARCH("Data Science",F205)),ISNUMBER(SEARCH("DS",F205))),11,
ISNUMBER(SEARCH("Generative AI",F205)),12
))))</f>
        <v>8</v>
      </c>
      <c r="X205" s="3">
        <v>7</v>
      </c>
      <c r="Y205" s="3">
        <v>46</v>
      </c>
      <c r="Z205" s="3" t="s">
        <v>35</v>
      </c>
    </row>
    <row r="206" spans="1:26" x14ac:dyDescent="0.3">
      <c r="A206" s="2">
        <v>46233</v>
      </c>
      <c r="B206" s="3" t="s">
        <v>45</v>
      </c>
      <c r="C206" s="3">
        <v>3</v>
      </c>
      <c r="D206" s="4">
        <v>0.42708333333333298</v>
      </c>
      <c r="E206" s="4">
        <v>0.46875</v>
      </c>
      <c r="F206" s="3" t="s">
        <v>59</v>
      </c>
      <c r="G206" s="3" t="s">
        <v>73</v>
      </c>
      <c r="H206" s="3" t="s">
        <v>29</v>
      </c>
      <c r="I206" s="3" t="s">
        <v>30</v>
      </c>
      <c r="J206" s="3" t="s">
        <v>31</v>
      </c>
      <c r="K206" s="3" t="s">
        <v>52</v>
      </c>
      <c r="L206" s="5">
        <v>103</v>
      </c>
      <c r="M206" s="5">
        <f t="shared" ca="1" si="15"/>
        <v>80</v>
      </c>
      <c r="N206" s="6">
        <f t="shared" ca="1" si="16"/>
        <v>77.669902912621353</v>
      </c>
      <c r="O206" s="3" cm="1">
        <f t="array" aca="1" ref="O206" ca="1">IFERROR(LOOKUP(2, 1/((F$1:F205=F206)*(J$1:J205=J206)*(ROW(F$1:F205)&lt;ROW(F206))), N$1:N205), "")</f>
        <v>97.087378640776706</v>
      </c>
      <c r="P206" s="3">
        <f t="shared" si="19"/>
        <v>0</v>
      </c>
      <c r="Q206" s="3" t="s">
        <v>33</v>
      </c>
      <c r="R206" s="3" t="s">
        <v>40</v>
      </c>
      <c r="S206" s="3" t="str">
        <f t="shared" si="17"/>
        <v>No</v>
      </c>
      <c r="T206" s="3" t="s">
        <v>40</v>
      </c>
      <c r="U206" s="3" t="str">
        <f t="shared" si="18"/>
        <v>Rainy</v>
      </c>
      <c r="V206" s="3" t="s">
        <v>40</v>
      </c>
      <c r="W206" s="3" cm="1">
        <f t="array" ref="W206">_xlfn.IFS(
OR(F206="Selenium (Hands-on)",F206="Guest Lecture: HR Interview"),6,
OR(F206="Soft Skill",F206="Soft Skill (Examination)",F206="AWS Training",F206="AWS Session"),7,
OR(ISNUMBER(SEARCH("MAD",F206)),ISNUMBER(SEARCH("STQA",F206)),F206="CI/CD Session"),8,
OR(ISNUMBER(SEARCH("Cloud",F206)),F206="Industry Readiness Program",ISNUMBER(SEARCH("Talenlio",F206))),9,
OR(ISNUMBER(SEARCH("Innovation",F206)),F206="Mini Project"),10,
OR(ISNUMBER(SEARCH("Data Science",F206)),ISNUMBER(SEARCH("DS",F206))),11,
ISNUMBER(SEARCH("Generative AI",F206)),12
=_xlfn.IFS(
OR(F206="Selenium (Hands-on)",F206="Guest Lecture: HR Interview"),6,
OR(F206="Soft Skill",F206="Soft Skill (Examination)",F206="AWS Training",F206="AWS Session"),7,
OR(ISNUMBER(SEARCH("MAD",F206)),ISNUMBER(SEARCH("STQA",F206)),F206="CI/CD Session"),8,
OR(ISNUMBER(SEARCH("Cloud",F206)),F206="Industry Readiness Program",ISNUMBER(SEARCH("Talenlio",F206))),9,
OR(ISNUMBER(SEARCH("Innovation",F206)),F206="Mini Project"),10,
OR(ISNUMBER(SEARCH("Data Science",F206)),ISNUMBER(SEARCH("DS",F206))),11,
ISNUMBER(SEARCH("Generative AI",F206)),12
=_xlfn.IFS(
OR(F206="Selenium (Hands-on)",F206="Guest Lecture: HR Interview"),6,
OR(F206="Soft Skill",F206="Soft Skill (Examination)",F206="AWS Training",F206="AWS Session"),7,
OR(ISNUMBER(SEARCH("MAD",F206)),ISNUMBER(SEARCH("STQA",F206)),F206="CI/CD Session"),8,
OR(ISNUMBER(SEARCH("Cloud",F206)),F206="Industry Readiness Program",ISNUMBER(SEARCH("Talenlio",F206))),9,
OR(ISNUMBER(SEARCH("Innovation",F206)),F206="Mini Project"),10,
OR(ISNUMBER(SEARCH("Data Science",F206)),ISNUMBER(SEARCH("DS",F206))),11,
ISNUMBER(SEARCH("Generative AI",F206)),12
=_xlfn.IFS(
OR(F206="Selenium (Hands-on)",F206="Guest Lecture: HR Interview"),6,
OR(F206="Soft Skill",F206="Soft Skill (Examination)",F206="AWS Training",F206="AWS Session"),7,
OR(ISNUMBER(SEARCH("MAD",F206)),ISNUMBER(SEARCH("STQA",F206)),F206="CI/CD Session"),8,
OR(ISNUMBER(SEARCH("Cloud",F206)),F206="Industry Readiness Program",ISNUMBER(SEARCH("Talenlio",F206))),9,
OR(ISNUMBER(SEARCH("Innovation",F206)),F206="Mini Project"),10,
OR(ISNUMBER(SEARCH("Data Science",F206)),ISNUMBER(SEARCH("DS",F206))),11,
ISNUMBER(SEARCH("Generative AI",F206)),12
))))</f>
        <v>11</v>
      </c>
      <c r="X206" s="3">
        <v>7</v>
      </c>
      <c r="Y206" s="3">
        <v>46</v>
      </c>
      <c r="Z206" s="3" t="s">
        <v>35</v>
      </c>
    </row>
    <row r="207" spans="1:26" x14ac:dyDescent="0.3">
      <c r="A207" s="2">
        <v>46233</v>
      </c>
      <c r="B207" s="3" t="s">
        <v>45</v>
      </c>
      <c r="C207" s="3">
        <v>4</v>
      </c>
      <c r="D207" s="4">
        <v>0.46875</v>
      </c>
      <c r="E207" s="4">
        <v>0.51041666666666696</v>
      </c>
      <c r="F207" s="3" t="s">
        <v>62</v>
      </c>
      <c r="G207" s="3" t="s">
        <v>77</v>
      </c>
      <c r="H207" s="3" t="s">
        <v>29</v>
      </c>
      <c r="I207" s="3" t="s">
        <v>30</v>
      </c>
      <c r="J207" s="3" t="s">
        <v>31</v>
      </c>
      <c r="K207" s="3" t="s">
        <v>52</v>
      </c>
      <c r="L207" s="5">
        <v>103</v>
      </c>
      <c r="M207" s="5">
        <f t="shared" ca="1" si="15"/>
        <v>97</v>
      </c>
      <c r="N207" s="6">
        <f t="shared" ca="1" si="16"/>
        <v>94.174757281553397</v>
      </c>
      <c r="O207" s="3" cm="1">
        <f t="array" aca="1" ref="O207" ca="1">IFERROR(LOOKUP(2, 1/((F$1:F206=F207)*(J$1:J206=J207)*(ROW(F$1:F206)&lt;ROW(F207))), N$1:N206), "")</f>
        <v>53.398058252427184</v>
      </c>
      <c r="P207" s="3">
        <f t="shared" si="19"/>
        <v>0</v>
      </c>
      <c r="Q207" s="3" t="s">
        <v>33</v>
      </c>
      <c r="R207" s="3" t="s">
        <v>40</v>
      </c>
      <c r="S207" s="3" t="str">
        <f t="shared" si="17"/>
        <v>No</v>
      </c>
      <c r="T207" s="3" t="s">
        <v>40</v>
      </c>
      <c r="U207" s="3" t="str">
        <f t="shared" si="18"/>
        <v>Rainy</v>
      </c>
      <c r="V207" s="3" t="s">
        <v>40</v>
      </c>
      <c r="W207" s="3">
        <v>7</v>
      </c>
      <c r="X207" s="3">
        <v>7</v>
      </c>
      <c r="Y207" s="3">
        <v>46</v>
      </c>
      <c r="Z207" s="3" t="s">
        <v>35</v>
      </c>
    </row>
    <row r="208" spans="1:26" x14ac:dyDescent="0.3">
      <c r="A208" s="2">
        <v>46233</v>
      </c>
      <c r="B208" s="3" t="s">
        <v>45</v>
      </c>
      <c r="C208" s="3">
        <v>5</v>
      </c>
      <c r="D208" s="4">
        <v>0.5625</v>
      </c>
      <c r="E208" s="4">
        <v>0.60416666666666696</v>
      </c>
      <c r="F208" s="3" t="s">
        <v>63</v>
      </c>
      <c r="G208" s="3" t="s">
        <v>64</v>
      </c>
      <c r="H208" s="3" t="s">
        <v>29</v>
      </c>
      <c r="I208" s="3" t="s">
        <v>30</v>
      </c>
      <c r="J208" s="3" t="s">
        <v>31</v>
      </c>
      <c r="K208" s="3" t="s">
        <v>52</v>
      </c>
      <c r="L208" s="5">
        <v>103</v>
      </c>
      <c r="M208" s="5">
        <f t="shared" ca="1" si="15"/>
        <v>78</v>
      </c>
      <c r="N208" s="6">
        <f t="shared" ca="1" si="16"/>
        <v>75.728155339805824</v>
      </c>
      <c r="O208" s="3" cm="1">
        <f t="array" aca="1" ref="O208" ca="1">IFERROR(LOOKUP(2, 1/((F$1:F207=F208)*(J$1:J207=J208)*(ROW(F$1:F207)&lt;ROW(F208))), N$1:N207), "")</f>
        <v>64.077669902912632</v>
      </c>
      <c r="P208" s="3">
        <f t="shared" si="19"/>
        <v>1.25</v>
      </c>
      <c r="Q208" s="3" t="s">
        <v>33</v>
      </c>
      <c r="R208" s="3" t="s">
        <v>40</v>
      </c>
      <c r="S208" s="3" t="str">
        <f t="shared" si="17"/>
        <v>No</v>
      </c>
      <c r="T208" s="3" t="s">
        <v>40</v>
      </c>
      <c r="U208" s="3" t="str">
        <f t="shared" si="18"/>
        <v>Rainy</v>
      </c>
      <c r="V208" s="3" t="s">
        <v>40</v>
      </c>
      <c r="W208" s="3" cm="1">
        <f t="array" ref="W208">_xlfn.IFS(
OR(F208="Selenium (Hands-on)",F208="Guest Lecture: HR Interview"),6,
OR(F208="Soft Skill",F208="Soft Skill (Examination)",F208="AWS Training",F208="AWS Session"),7,
OR(ISNUMBER(SEARCH("MAD",F208)),ISNUMBER(SEARCH("STQA",F208)),F208="CI/CD Session"),8,
OR(ISNUMBER(SEARCH("Cloud",F208)),F208="Industry Readiness Program",ISNUMBER(SEARCH("Talenlio",F208))),9,
OR(ISNUMBER(SEARCH("Innovation",F208)),F208="Mini Project"),10,
OR(ISNUMBER(SEARCH("Data Science",F208)),ISNUMBER(SEARCH("DS",F208))),11,
ISNUMBER(SEARCH("Generative AI",F208)),12
=_xlfn.IFS(
OR(F208="Selenium (Hands-on)",F208="Guest Lecture: HR Interview"),6,
OR(F208="Soft Skill",F208="Soft Skill (Examination)",F208="AWS Training",F208="AWS Session"),7,
OR(ISNUMBER(SEARCH("MAD",F208)),ISNUMBER(SEARCH("STQA",F208)),F208="CI/CD Session"),8,
OR(ISNUMBER(SEARCH("Cloud",F208)),F208="Industry Readiness Program",ISNUMBER(SEARCH("Talenlio",F208))),9,
OR(ISNUMBER(SEARCH("Innovation",F208)),F208="Mini Project"),10,
OR(ISNUMBER(SEARCH("Data Science",F208)),ISNUMBER(SEARCH("DS",F208))),11,
ISNUMBER(SEARCH("Generative AI",F208)),12
=_xlfn.IFS(
OR(F208="Selenium (Hands-on)",F208="Guest Lecture: HR Interview"),6,
OR(F208="Soft Skill",F208="Soft Skill (Examination)",F208="AWS Training",F208="AWS Session"),7,
OR(ISNUMBER(SEARCH("MAD",F208)),ISNUMBER(SEARCH("STQA",F208)),F208="CI/CD Session"),8,
OR(ISNUMBER(SEARCH("Cloud",F208)),F208="Industry Readiness Program",ISNUMBER(SEARCH("Talenlio",F208))),9,
OR(ISNUMBER(SEARCH("Innovation",F208)),F208="Mini Project"),10,
OR(ISNUMBER(SEARCH("Data Science",F208)),ISNUMBER(SEARCH("DS",F208))),11,
ISNUMBER(SEARCH("Generative AI",F208)),12
=_xlfn.IFS(
OR(F208="Selenium (Hands-on)",F208="Guest Lecture: HR Interview"),6,
OR(F208="Soft Skill",F208="Soft Skill (Examination)",F208="AWS Training",F208="AWS Session"),7,
OR(ISNUMBER(SEARCH("MAD",F208)),ISNUMBER(SEARCH("STQA",F208)),F208="CI/CD Session"),8,
OR(ISNUMBER(SEARCH("Cloud",F208)),F208="Industry Readiness Program",ISNUMBER(SEARCH("Talenlio",F208))),9,
OR(ISNUMBER(SEARCH("Innovation",F208)),F208="Mini Project"),10,
OR(ISNUMBER(SEARCH("Data Science",F208)),ISNUMBER(SEARCH("DS",F208))),11,
ISNUMBER(SEARCH("Generative AI",F208)),12
))))</f>
        <v>9</v>
      </c>
      <c r="X208" s="3">
        <v>7</v>
      </c>
      <c r="Y208" s="3">
        <v>46</v>
      </c>
      <c r="Z208" s="3" t="s">
        <v>38</v>
      </c>
    </row>
    <row r="209" spans="1:26" x14ac:dyDescent="0.3">
      <c r="A209" s="2">
        <v>46233</v>
      </c>
      <c r="B209" s="3" t="s">
        <v>45</v>
      </c>
      <c r="C209" s="3">
        <v>6</v>
      </c>
      <c r="D209" s="4">
        <v>0.60416666666666696</v>
      </c>
      <c r="E209" s="4">
        <v>0.64583333333333304</v>
      </c>
      <c r="F209" s="3" t="s">
        <v>63</v>
      </c>
      <c r="G209" s="3" t="s">
        <v>64</v>
      </c>
      <c r="H209" s="3" t="s">
        <v>29</v>
      </c>
      <c r="I209" s="3" t="s">
        <v>30</v>
      </c>
      <c r="J209" s="3" t="s">
        <v>31</v>
      </c>
      <c r="K209" s="3" t="s">
        <v>52</v>
      </c>
      <c r="L209" s="5">
        <v>103</v>
      </c>
      <c r="M209" s="5">
        <f t="shared" ca="1" si="15"/>
        <v>102</v>
      </c>
      <c r="N209" s="6">
        <f t="shared" ca="1" si="16"/>
        <v>99.029126213592235</v>
      </c>
      <c r="O209" s="3" cm="1">
        <f t="array" aca="1" ref="O209" ca="1">IFERROR(LOOKUP(2, 1/((F$1:F208=F209)*(J$1:J208=J209)*(ROW(F$1:F208)&lt;ROW(F209))), N$1:N208), "")</f>
        <v>75.728155339805824</v>
      </c>
      <c r="P209" s="3">
        <f t="shared" si="19"/>
        <v>0</v>
      </c>
      <c r="Q209" s="3" t="s">
        <v>33</v>
      </c>
      <c r="R209" s="3" t="s">
        <v>40</v>
      </c>
      <c r="S209" s="3" t="str">
        <f t="shared" si="17"/>
        <v>No</v>
      </c>
      <c r="T209" s="3" t="s">
        <v>40</v>
      </c>
      <c r="U209" s="3" t="str">
        <f t="shared" si="18"/>
        <v>Rainy</v>
      </c>
      <c r="V209" s="3" t="s">
        <v>40</v>
      </c>
      <c r="W209" s="3" cm="1">
        <f t="array" ref="W209">_xlfn.IFS(
OR(F209="Selenium (Hands-on)",F209="Guest Lecture: HR Interview"),6,
OR(F209="Soft Skill",F209="Soft Skill (Examination)",F209="AWS Training",F209="AWS Session"),7,
OR(ISNUMBER(SEARCH("MAD",F209)),ISNUMBER(SEARCH("STQA",F209)),F209="CI/CD Session"),8,
OR(ISNUMBER(SEARCH("Cloud",F209)),F209="Industry Readiness Program",ISNUMBER(SEARCH("Talenlio",F209))),9,
OR(ISNUMBER(SEARCH("Innovation",F209)),F209="Mini Project"),10,
OR(ISNUMBER(SEARCH("Data Science",F209)),ISNUMBER(SEARCH("DS",F209))),11,
ISNUMBER(SEARCH("Generative AI",F209)),12
=_xlfn.IFS(
OR(F209="Selenium (Hands-on)",F209="Guest Lecture: HR Interview"),6,
OR(F209="Soft Skill",F209="Soft Skill (Examination)",F209="AWS Training",F209="AWS Session"),7,
OR(ISNUMBER(SEARCH("MAD",F209)),ISNUMBER(SEARCH("STQA",F209)),F209="CI/CD Session"),8,
OR(ISNUMBER(SEARCH("Cloud",F209)),F209="Industry Readiness Program",ISNUMBER(SEARCH("Talenlio",F209))),9,
OR(ISNUMBER(SEARCH("Innovation",F209)),F209="Mini Project"),10,
OR(ISNUMBER(SEARCH("Data Science",F209)),ISNUMBER(SEARCH("DS",F209))),11,
ISNUMBER(SEARCH("Generative AI",F209)),12
=_xlfn.IFS(
OR(F209="Selenium (Hands-on)",F209="Guest Lecture: HR Interview"),6,
OR(F209="Soft Skill",F209="Soft Skill (Examination)",F209="AWS Training",F209="AWS Session"),7,
OR(ISNUMBER(SEARCH("MAD",F209)),ISNUMBER(SEARCH("STQA",F209)),F209="CI/CD Session"),8,
OR(ISNUMBER(SEARCH("Cloud",F209)),F209="Industry Readiness Program",ISNUMBER(SEARCH("Talenlio",F209))),9,
OR(ISNUMBER(SEARCH("Innovation",F209)),F209="Mini Project"),10,
OR(ISNUMBER(SEARCH("Data Science",F209)),ISNUMBER(SEARCH("DS",F209))),11,
ISNUMBER(SEARCH("Generative AI",F209)),12
=_xlfn.IFS(
OR(F209="Selenium (Hands-on)",F209="Guest Lecture: HR Interview"),6,
OR(F209="Soft Skill",F209="Soft Skill (Examination)",F209="AWS Training",F209="AWS Session"),7,
OR(ISNUMBER(SEARCH("MAD",F209)),ISNUMBER(SEARCH("STQA",F209)),F209="CI/CD Session"),8,
OR(ISNUMBER(SEARCH("Cloud",F209)),F209="Industry Readiness Program",ISNUMBER(SEARCH("Talenlio",F209))),9,
OR(ISNUMBER(SEARCH("Innovation",F209)),F209="Mini Project"),10,
OR(ISNUMBER(SEARCH("Data Science",F209)),ISNUMBER(SEARCH("DS",F209))),11,
ISNUMBER(SEARCH("Generative AI",F209)),12
))))</f>
        <v>9</v>
      </c>
      <c r="X209" s="3">
        <v>7</v>
      </c>
      <c r="Y209" s="3">
        <v>46</v>
      </c>
      <c r="Z209" s="3" t="s">
        <v>38</v>
      </c>
    </row>
    <row r="210" spans="1:26" x14ac:dyDescent="0.3">
      <c r="A210" s="2">
        <v>46234</v>
      </c>
      <c r="B210" s="3" t="s">
        <v>46</v>
      </c>
      <c r="C210" s="3">
        <v>1</v>
      </c>
      <c r="D210" s="4">
        <v>0.375</v>
      </c>
      <c r="E210" s="4">
        <v>0.41666666666666702</v>
      </c>
      <c r="F210" s="3" t="s">
        <v>74</v>
      </c>
      <c r="G210" s="3" t="s">
        <v>75</v>
      </c>
      <c r="H210" s="3" t="s">
        <v>29</v>
      </c>
      <c r="I210" s="3" t="s">
        <v>30</v>
      </c>
      <c r="J210" s="3" t="s">
        <v>31</v>
      </c>
      <c r="K210" s="3" t="s">
        <v>76</v>
      </c>
      <c r="L210" s="5">
        <v>103</v>
      </c>
      <c r="M210" s="5">
        <f t="shared" ca="1" si="15"/>
        <v>52</v>
      </c>
      <c r="N210" s="6">
        <f t="shared" ca="1" si="16"/>
        <v>50.485436893203882</v>
      </c>
      <c r="O210" s="3" cm="1">
        <f t="array" aca="1" ref="O210" ca="1">IFERROR(LOOKUP(2, 1/((F$1:F209=F210)*(J$1:J209=J210)*(ROW(F$1:F209)&lt;ROW(F210))), N$1:N209), "")</f>
        <v>88.349514563106794</v>
      </c>
      <c r="P210" s="3">
        <f t="shared" si="19"/>
        <v>0</v>
      </c>
      <c r="Q210" s="3" t="s">
        <v>43</v>
      </c>
      <c r="R210" s="3" t="s">
        <v>40</v>
      </c>
      <c r="S210" s="3" t="str">
        <f t="shared" si="17"/>
        <v>Yes</v>
      </c>
      <c r="T210" s="3" t="s">
        <v>40</v>
      </c>
      <c r="U210" s="3" t="str">
        <f t="shared" si="18"/>
        <v>Rainy</v>
      </c>
      <c r="V210" s="3" t="s">
        <v>40</v>
      </c>
      <c r="W210" s="3" cm="1">
        <f t="array" ref="W210">_xlfn.IFS(
OR(F210="Selenium (Hands-on)",F210="Guest Lecture: HR Interview"),6,
OR(F210="Soft Skill",F210="Soft Skill (Examination)",F210="AWS Training",F210="AWS Session"),7,
OR(ISNUMBER(SEARCH("MAD",F210)),ISNUMBER(SEARCH("STQA",F210)),F210="CI/CD Session"),8,
OR(ISNUMBER(SEARCH("Cloud",F210)),F210="Industry Readiness Program",ISNUMBER(SEARCH("Talenlio",F210))),9,
OR(ISNUMBER(SEARCH("Innovation",F210)),F210="Mini Project"),10,
OR(ISNUMBER(SEARCH("Data Science",F210)),ISNUMBER(SEARCH("DS",F210))),11,
ISNUMBER(SEARCH("Generative AI",F210)),12
=_xlfn.IFS(
OR(F210="Selenium (Hands-on)",F210="Guest Lecture: HR Interview"),6,
OR(F210="Soft Skill",F210="Soft Skill (Examination)",F210="AWS Training",F210="AWS Session"),7,
OR(ISNUMBER(SEARCH("MAD",F210)),ISNUMBER(SEARCH("STQA",F210)),F210="CI/CD Session"),8,
OR(ISNUMBER(SEARCH("Cloud",F210)),F210="Industry Readiness Program",ISNUMBER(SEARCH("Talenlio",F210))),9,
OR(ISNUMBER(SEARCH("Innovation",F210)),F210="Mini Project"),10,
OR(ISNUMBER(SEARCH("Data Science",F210)),ISNUMBER(SEARCH("DS",F210))),11,
ISNUMBER(SEARCH("Generative AI",F210)),12
=_xlfn.IFS(
OR(F210="Selenium (Hands-on)",F210="Guest Lecture: HR Interview"),6,
OR(F210="Soft Skill",F210="Soft Skill (Examination)",F210="AWS Training",F210="AWS Session"),7,
OR(ISNUMBER(SEARCH("MAD",F210)),ISNUMBER(SEARCH("STQA",F210)),F210="CI/CD Session"),8,
OR(ISNUMBER(SEARCH("Cloud",F210)),F210="Industry Readiness Program",ISNUMBER(SEARCH("Talenlio",F210))),9,
OR(ISNUMBER(SEARCH("Innovation",F210)),F210="Mini Project"),10,
OR(ISNUMBER(SEARCH("Data Science",F210)),ISNUMBER(SEARCH("DS",F210))),11,
ISNUMBER(SEARCH("Generative AI",F210)),12
=_xlfn.IFS(
OR(F210="Selenium (Hands-on)",F210="Guest Lecture: HR Interview"),6,
OR(F210="Soft Skill",F210="Soft Skill (Examination)",F210="AWS Training",F210="AWS Session"),7,
OR(ISNUMBER(SEARCH("MAD",F210)),ISNUMBER(SEARCH("STQA",F210)),F210="CI/CD Session"),8,
OR(ISNUMBER(SEARCH("Cloud",F210)),F210="Industry Readiness Program",ISNUMBER(SEARCH("Talenlio",F210))),9,
OR(ISNUMBER(SEARCH("Innovation",F210)),F210="Mini Project"),10,
OR(ISNUMBER(SEARCH("Data Science",F210)),ISNUMBER(SEARCH("DS",F210))),11,
ISNUMBER(SEARCH("Generative AI",F210)),12
))))</f>
        <v>6</v>
      </c>
      <c r="X210" s="3">
        <v>7</v>
      </c>
      <c r="Y210" s="3">
        <v>47</v>
      </c>
      <c r="Z210" s="3" t="s">
        <v>35</v>
      </c>
    </row>
    <row r="211" spans="1:26" x14ac:dyDescent="0.3">
      <c r="A211" s="2">
        <v>46234</v>
      </c>
      <c r="B211" s="3" t="s">
        <v>46</v>
      </c>
      <c r="C211" s="3">
        <v>2</v>
      </c>
      <c r="D211" s="4">
        <v>0.41666666666666702</v>
      </c>
      <c r="E211" s="4">
        <v>0.45833333333333298</v>
      </c>
      <c r="F211" s="3" t="s">
        <v>74</v>
      </c>
      <c r="G211" s="3" t="s">
        <v>75</v>
      </c>
      <c r="H211" s="3" t="s">
        <v>29</v>
      </c>
      <c r="I211" s="3" t="s">
        <v>30</v>
      </c>
      <c r="J211" s="3" t="s">
        <v>31</v>
      </c>
      <c r="K211" s="3" t="s">
        <v>76</v>
      </c>
      <c r="L211" s="5">
        <v>103</v>
      </c>
      <c r="M211" s="5">
        <f t="shared" ca="1" si="15"/>
        <v>52</v>
      </c>
      <c r="N211" s="6">
        <f t="shared" ca="1" si="16"/>
        <v>50.485436893203882</v>
      </c>
      <c r="O211" s="3" cm="1">
        <f t="array" aca="1" ref="O211" ca="1">IFERROR(LOOKUP(2, 1/((F$1:F210=F211)*(J$1:J210=J211)*(ROW(F$1:F210)&lt;ROW(F211))), N$1:N210), "")</f>
        <v>50.485436893203882</v>
      </c>
      <c r="P211" s="3">
        <f t="shared" si="19"/>
        <v>0</v>
      </c>
      <c r="Q211" s="3" t="s">
        <v>43</v>
      </c>
      <c r="R211" s="3" t="s">
        <v>40</v>
      </c>
      <c r="S211" s="3" t="str">
        <f t="shared" si="17"/>
        <v>Yes</v>
      </c>
      <c r="T211" s="3" t="s">
        <v>40</v>
      </c>
      <c r="U211" s="3" t="str">
        <f t="shared" si="18"/>
        <v>Rainy</v>
      </c>
      <c r="V211" s="3" t="s">
        <v>40</v>
      </c>
      <c r="W211" s="3" cm="1">
        <f t="array" ref="W211">_xlfn.IFS(
OR(F211="Selenium (Hands-on)",F211="Guest Lecture: HR Interview"),6,
OR(F211="Soft Skill",F211="Soft Skill (Examination)",F211="AWS Training",F211="AWS Session"),7,
OR(ISNUMBER(SEARCH("MAD",F211)),ISNUMBER(SEARCH("STQA",F211)),F211="CI/CD Session"),8,
OR(ISNUMBER(SEARCH("Cloud",F211)),F211="Industry Readiness Program",ISNUMBER(SEARCH("Talenlio",F211))),9,
OR(ISNUMBER(SEARCH("Innovation",F211)),F211="Mini Project"),10,
OR(ISNUMBER(SEARCH("Data Science",F211)),ISNUMBER(SEARCH("DS",F211))),11,
ISNUMBER(SEARCH("Generative AI",F211)),12
=_xlfn.IFS(
OR(F211="Selenium (Hands-on)",F211="Guest Lecture: HR Interview"),6,
OR(F211="Soft Skill",F211="Soft Skill (Examination)",F211="AWS Training",F211="AWS Session"),7,
OR(ISNUMBER(SEARCH("MAD",F211)),ISNUMBER(SEARCH("STQA",F211)),F211="CI/CD Session"),8,
OR(ISNUMBER(SEARCH("Cloud",F211)),F211="Industry Readiness Program",ISNUMBER(SEARCH("Talenlio",F211))),9,
OR(ISNUMBER(SEARCH("Innovation",F211)),F211="Mini Project"),10,
OR(ISNUMBER(SEARCH("Data Science",F211)),ISNUMBER(SEARCH("DS",F211))),11,
ISNUMBER(SEARCH("Generative AI",F211)),12
=_xlfn.IFS(
OR(F211="Selenium (Hands-on)",F211="Guest Lecture: HR Interview"),6,
OR(F211="Soft Skill",F211="Soft Skill (Examination)",F211="AWS Training",F211="AWS Session"),7,
OR(ISNUMBER(SEARCH("MAD",F211)),ISNUMBER(SEARCH("STQA",F211)),F211="CI/CD Session"),8,
OR(ISNUMBER(SEARCH("Cloud",F211)),F211="Industry Readiness Program",ISNUMBER(SEARCH("Talenlio",F211))),9,
OR(ISNUMBER(SEARCH("Innovation",F211)),F211="Mini Project"),10,
OR(ISNUMBER(SEARCH("Data Science",F211)),ISNUMBER(SEARCH("DS",F211))),11,
ISNUMBER(SEARCH("Generative AI",F211)),12
=_xlfn.IFS(
OR(F211="Selenium (Hands-on)",F211="Guest Lecture: HR Interview"),6,
OR(F211="Soft Skill",F211="Soft Skill (Examination)",F211="AWS Training",F211="AWS Session"),7,
OR(ISNUMBER(SEARCH("MAD",F211)),ISNUMBER(SEARCH("STQA",F211)),F211="CI/CD Session"),8,
OR(ISNUMBER(SEARCH("Cloud",F211)),F211="Industry Readiness Program",ISNUMBER(SEARCH("Talenlio",F211))),9,
OR(ISNUMBER(SEARCH("Innovation",F211)),F211="Mini Project"),10,
OR(ISNUMBER(SEARCH("Data Science",F211)),ISNUMBER(SEARCH("DS",F211))),11,
ISNUMBER(SEARCH("Generative AI",F211)),12
))))</f>
        <v>6</v>
      </c>
      <c r="X211" s="3">
        <v>7</v>
      </c>
      <c r="Y211" s="3">
        <v>47</v>
      </c>
      <c r="Z211" s="3" t="s">
        <v>35</v>
      </c>
    </row>
    <row r="212" spans="1:26" x14ac:dyDescent="0.3">
      <c r="A212" s="2">
        <v>46234</v>
      </c>
      <c r="B212" s="3" t="s">
        <v>46</v>
      </c>
      <c r="C212" s="3">
        <v>3</v>
      </c>
      <c r="D212" s="4">
        <v>0.45833333333333298</v>
      </c>
      <c r="E212" s="4">
        <v>0.47916666666666702</v>
      </c>
      <c r="F212" s="3" t="s">
        <v>74</v>
      </c>
      <c r="G212" s="3" t="s">
        <v>75</v>
      </c>
      <c r="H212" s="3" t="s">
        <v>29</v>
      </c>
      <c r="I212" s="3" t="s">
        <v>30</v>
      </c>
      <c r="J212" s="3" t="s">
        <v>31</v>
      </c>
      <c r="K212" s="3" t="s">
        <v>76</v>
      </c>
      <c r="L212" s="5">
        <v>103</v>
      </c>
      <c r="M212" s="5">
        <f t="shared" ca="1" si="15"/>
        <v>102</v>
      </c>
      <c r="N212" s="6">
        <f t="shared" ca="1" si="16"/>
        <v>99.029126213592235</v>
      </c>
      <c r="O212" s="3" cm="1">
        <f t="array" aca="1" ref="O212" ca="1">IFERROR(LOOKUP(2, 1/((F$1:F211=F212)*(J$1:J211=J212)*(ROW(F$1:F211)&lt;ROW(F212))), N$1:N211), "")</f>
        <v>50.485436893203882</v>
      </c>
      <c r="P212" s="3">
        <f t="shared" si="19"/>
        <v>0</v>
      </c>
      <c r="Q212" s="3" t="s">
        <v>43</v>
      </c>
      <c r="R212" s="3" t="s">
        <v>40</v>
      </c>
      <c r="S212" s="3" t="str">
        <f t="shared" si="17"/>
        <v>Yes</v>
      </c>
      <c r="T212" s="3" t="s">
        <v>40</v>
      </c>
      <c r="U212" s="3" t="str">
        <f t="shared" si="18"/>
        <v>Rainy</v>
      </c>
      <c r="V212" s="3" t="s">
        <v>40</v>
      </c>
      <c r="W212" s="3" cm="1">
        <f t="array" ref="W212">_xlfn.IFS(
OR(F212="Selenium (Hands-on)",F212="Guest Lecture: HR Interview"),6,
OR(F212="Soft Skill",F212="Soft Skill (Examination)",F212="AWS Training",F212="AWS Session"),7,
OR(ISNUMBER(SEARCH("MAD",F212)),ISNUMBER(SEARCH("STQA",F212)),F212="CI/CD Session"),8,
OR(ISNUMBER(SEARCH("Cloud",F212)),F212="Industry Readiness Program",ISNUMBER(SEARCH("Talenlio",F212))),9,
OR(ISNUMBER(SEARCH("Innovation",F212)),F212="Mini Project"),10,
OR(ISNUMBER(SEARCH("Data Science",F212)),ISNUMBER(SEARCH("DS",F212))),11,
ISNUMBER(SEARCH("Generative AI",F212)),12
=_xlfn.IFS(
OR(F212="Selenium (Hands-on)",F212="Guest Lecture: HR Interview"),6,
OR(F212="Soft Skill",F212="Soft Skill (Examination)",F212="AWS Training",F212="AWS Session"),7,
OR(ISNUMBER(SEARCH("MAD",F212)),ISNUMBER(SEARCH("STQA",F212)),F212="CI/CD Session"),8,
OR(ISNUMBER(SEARCH("Cloud",F212)),F212="Industry Readiness Program",ISNUMBER(SEARCH("Talenlio",F212))),9,
OR(ISNUMBER(SEARCH("Innovation",F212)),F212="Mini Project"),10,
OR(ISNUMBER(SEARCH("Data Science",F212)),ISNUMBER(SEARCH("DS",F212))),11,
ISNUMBER(SEARCH("Generative AI",F212)),12
=_xlfn.IFS(
OR(F212="Selenium (Hands-on)",F212="Guest Lecture: HR Interview"),6,
OR(F212="Soft Skill",F212="Soft Skill (Examination)",F212="AWS Training",F212="AWS Session"),7,
OR(ISNUMBER(SEARCH("MAD",F212)),ISNUMBER(SEARCH("STQA",F212)),F212="CI/CD Session"),8,
OR(ISNUMBER(SEARCH("Cloud",F212)),F212="Industry Readiness Program",ISNUMBER(SEARCH("Talenlio",F212))),9,
OR(ISNUMBER(SEARCH("Innovation",F212)),F212="Mini Project"),10,
OR(ISNUMBER(SEARCH("Data Science",F212)),ISNUMBER(SEARCH("DS",F212))),11,
ISNUMBER(SEARCH("Generative AI",F212)),12
=_xlfn.IFS(
OR(F212="Selenium (Hands-on)",F212="Guest Lecture: HR Interview"),6,
OR(F212="Soft Skill",F212="Soft Skill (Examination)",F212="AWS Training",F212="AWS Session"),7,
OR(ISNUMBER(SEARCH("MAD",F212)),ISNUMBER(SEARCH("STQA",F212)),F212="CI/CD Session"),8,
OR(ISNUMBER(SEARCH("Cloud",F212)),F212="Industry Readiness Program",ISNUMBER(SEARCH("Talenlio",F212))),9,
OR(ISNUMBER(SEARCH("Innovation",F212)),F212="Mini Project"),10,
OR(ISNUMBER(SEARCH("Data Science",F212)),ISNUMBER(SEARCH("DS",F212))),11,
ISNUMBER(SEARCH("Generative AI",F212)),12
))))</f>
        <v>6</v>
      </c>
      <c r="X212" s="3">
        <v>7</v>
      </c>
      <c r="Y212" s="3">
        <v>47</v>
      </c>
      <c r="Z212" s="3" t="s">
        <v>35</v>
      </c>
    </row>
    <row r="213" spans="1:26" x14ac:dyDescent="0.3">
      <c r="A213" s="2">
        <v>46234</v>
      </c>
      <c r="B213" s="3" t="s">
        <v>46</v>
      </c>
      <c r="C213" s="3">
        <v>4</v>
      </c>
      <c r="D213" s="4">
        <v>0.47916666666666702</v>
      </c>
      <c r="E213" s="4">
        <v>0.52083333333333304</v>
      </c>
      <c r="F213" s="3" t="s">
        <v>59</v>
      </c>
      <c r="G213" s="3" t="s">
        <v>73</v>
      </c>
      <c r="H213" s="3" t="s">
        <v>29</v>
      </c>
      <c r="I213" s="3" t="s">
        <v>30</v>
      </c>
      <c r="J213" s="3" t="s">
        <v>31</v>
      </c>
      <c r="K213" s="3" t="s">
        <v>52</v>
      </c>
      <c r="L213" s="5">
        <v>103</v>
      </c>
      <c r="M213" s="5">
        <f t="shared" ca="1" si="15"/>
        <v>83</v>
      </c>
      <c r="N213" s="6">
        <f t="shared" ca="1" si="16"/>
        <v>80.582524271844662</v>
      </c>
      <c r="O213" s="3" cm="1">
        <f t="array" aca="1" ref="O213" ca="1">IFERROR(LOOKUP(2, 1/((F$1:F212=F213)*(J$1:J212=J213)*(ROW(F$1:F212)&lt;ROW(F213))), N$1:N212), "")</f>
        <v>77.669902912621353</v>
      </c>
      <c r="P213" s="3">
        <f t="shared" si="19"/>
        <v>0</v>
      </c>
      <c r="Q213" s="3" t="s">
        <v>33</v>
      </c>
      <c r="R213" s="3" t="s">
        <v>40</v>
      </c>
      <c r="S213" s="3" t="str">
        <f t="shared" si="17"/>
        <v>Yes</v>
      </c>
      <c r="T213" s="3" t="s">
        <v>40</v>
      </c>
      <c r="U213" s="3" t="str">
        <f t="shared" si="18"/>
        <v>Rainy</v>
      </c>
      <c r="V213" s="3" t="s">
        <v>40</v>
      </c>
      <c r="W213" s="3" cm="1">
        <f t="array" ref="W213">_xlfn.IFS(
OR(F213="Selenium (Hands-on)",F213="Guest Lecture: HR Interview"),6,
OR(F213="Soft Skill",F213="Soft Skill (Examination)",F213="AWS Training",F213="AWS Session"),7,
OR(ISNUMBER(SEARCH("MAD",F213)),ISNUMBER(SEARCH("STQA",F213)),F213="CI/CD Session"),8,
OR(ISNUMBER(SEARCH("Cloud",F213)),F213="Industry Readiness Program",ISNUMBER(SEARCH("Talenlio",F213))),9,
OR(ISNUMBER(SEARCH("Innovation",F213)),F213="Mini Project"),10,
OR(ISNUMBER(SEARCH("Data Science",F213)),ISNUMBER(SEARCH("DS",F213))),11,
ISNUMBER(SEARCH("Generative AI",F213)),12
=_xlfn.IFS(
OR(F213="Selenium (Hands-on)",F213="Guest Lecture: HR Interview"),6,
OR(F213="Soft Skill",F213="Soft Skill (Examination)",F213="AWS Training",F213="AWS Session"),7,
OR(ISNUMBER(SEARCH("MAD",F213)),ISNUMBER(SEARCH("STQA",F213)),F213="CI/CD Session"),8,
OR(ISNUMBER(SEARCH("Cloud",F213)),F213="Industry Readiness Program",ISNUMBER(SEARCH("Talenlio",F213))),9,
OR(ISNUMBER(SEARCH("Innovation",F213)),F213="Mini Project"),10,
OR(ISNUMBER(SEARCH("Data Science",F213)),ISNUMBER(SEARCH("DS",F213))),11,
ISNUMBER(SEARCH("Generative AI",F213)),12
=_xlfn.IFS(
OR(F213="Selenium (Hands-on)",F213="Guest Lecture: HR Interview"),6,
OR(F213="Soft Skill",F213="Soft Skill (Examination)",F213="AWS Training",F213="AWS Session"),7,
OR(ISNUMBER(SEARCH("MAD",F213)),ISNUMBER(SEARCH("STQA",F213)),F213="CI/CD Session"),8,
OR(ISNUMBER(SEARCH("Cloud",F213)),F213="Industry Readiness Program",ISNUMBER(SEARCH("Talenlio",F213))),9,
OR(ISNUMBER(SEARCH("Innovation",F213)),F213="Mini Project"),10,
OR(ISNUMBER(SEARCH("Data Science",F213)),ISNUMBER(SEARCH("DS",F213))),11,
ISNUMBER(SEARCH("Generative AI",F213)),12
=_xlfn.IFS(
OR(F213="Selenium (Hands-on)",F213="Guest Lecture: HR Interview"),6,
OR(F213="Soft Skill",F213="Soft Skill (Examination)",F213="AWS Training",F213="AWS Session"),7,
OR(ISNUMBER(SEARCH("MAD",F213)),ISNUMBER(SEARCH("STQA",F213)),F213="CI/CD Session"),8,
OR(ISNUMBER(SEARCH("Cloud",F213)),F213="Industry Readiness Program",ISNUMBER(SEARCH("Talenlio",F213))),9,
OR(ISNUMBER(SEARCH("Innovation",F213)),F213="Mini Project"),10,
OR(ISNUMBER(SEARCH("Data Science",F213)),ISNUMBER(SEARCH("DS",F213))),11,
ISNUMBER(SEARCH("Generative AI",F213)),12
))))</f>
        <v>11</v>
      </c>
      <c r="X213" s="3">
        <v>7</v>
      </c>
      <c r="Y213" s="3">
        <v>47</v>
      </c>
      <c r="Z213" s="3" t="s">
        <v>35</v>
      </c>
    </row>
    <row r="214" spans="1:26" x14ac:dyDescent="0.3">
      <c r="A214" s="2">
        <v>46234</v>
      </c>
      <c r="B214" s="3" t="s">
        <v>46</v>
      </c>
      <c r="C214" s="3">
        <v>5</v>
      </c>
      <c r="D214" s="4">
        <v>0.5625</v>
      </c>
      <c r="E214" s="4">
        <v>0.60416666666666696</v>
      </c>
      <c r="F214" s="3" t="s">
        <v>78</v>
      </c>
      <c r="G214" s="3" t="s">
        <v>73</v>
      </c>
      <c r="H214" s="3" t="s">
        <v>29</v>
      </c>
      <c r="I214" s="3" t="s">
        <v>30</v>
      </c>
      <c r="J214" s="3" t="s">
        <v>31</v>
      </c>
      <c r="K214" s="3" t="s">
        <v>52</v>
      </c>
      <c r="L214" s="5">
        <v>103</v>
      </c>
      <c r="M214" s="5">
        <f t="shared" ca="1" si="15"/>
        <v>88</v>
      </c>
      <c r="N214" s="6">
        <f t="shared" ca="1" si="16"/>
        <v>85.436893203883486</v>
      </c>
      <c r="O214" s="3">
        <v>41.846513100000003</v>
      </c>
      <c r="P214" s="3">
        <f t="shared" si="19"/>
        <v>1</v>
      </c>
      <c r="Q214" s="3" t="s">
        <v>43</v>
      </c>
      <c r="R214" s="3" t="s">
        <v>40</v>
      </c>
      <c r="S214" s="3" t="str">
        <f t="shared" si="17"/>
        <v>Yes</v>
      </c>
      <c r="T214" s="3" t="s">
        <v>40</v>
      </c>
      <c r="U214" s="3" t="str">
        <f t="shared" si="18"/>
        <v>Rainy</v>
      </c>
      <c r="V214" s="3" t="s">
        <v>40</v>
      </c>
      <c r="W214" s="3" cm="1">
        <f t="array" ref="W214">_xlfn.IFS(
OR(F214="Selenium (Hands-on)",F214="Guest Lecture: HR Interview"),6,
OR(F214="Soft Skill",F214="Soft Skill (Examination)",F214="AWS Training",F214="AWS Session"),7,
OR(ISNUMBER(SEARCH("MAD",F214)),ISNUMBER(SEARCH("STQA",F214)),F214="CI/CD Session"),8,
OR(ISNUMBER(SEARCH("Cloud",F214)),F214="Industry Readiness Program",ISNUMBER(SEARCH("Talenlio",F214))),9,
OR(ISNUMBER(SEARCH("Innovation",F214)),F214="Mini Project"),10,
OR(ISNUMBER(SEARCH("Data Science",F214)),ISNUMBER(SEARCH("DS",F214))),11,
ISNUMBER(SEARCH("Generative AI",F214)),12
=_xlfn.IFS(
OR(F214="Selenium (Hands-on)",F214="Guest Lecture: HR Interview"),6,
OR(F214="Soft Skill",F214="Soft Skill (Examination)",F214="AWS Training",F214="AWS Session"),7,
OR(ISNUMBER(SEARCH("MAD",F214)),ISNUMBER(SEARCH("STQA",F214)),F214="CI/CD Session"),8,
OR(ISNUMBER(SEARCH("Cloud",F214)),F214="Industry Readiness Program",ISNUMBER(SEARCH("Talenlio",F214))),9,
OR(ISNUMBER(SEARCH("Innovation",F214)),F214="Mini Project"),10,
OR(ISNUMBER(SEARCH("Data Science",F214)),ISNUMBER(SEARCH("DS",F214))),11,
ISNUMBER(SEARCH("Generative AI",F214)),12
=_xlfn.IFS(
OR(F214="Selenium (Hands-on)",F214="Guest Lecture: HR Interview"),6,
OR(F214="Soft Skill",F214="Soft Skill (Examination)",F214="AWS Training",F214="AWS Session"),7,
OR(ISNUMBER(SEARCH("MAD",F214)),ISNUMBER(SEARCH("STQA",F214)),F214="CI/CD Session"),8,
OR(ISNUMBER(SEARCH("Cloud",F214)),F214="Industry Readiness Program",ISNUMBER(SEARCH("Talenlio",F214))),9,
OR(ISNUMBER(SEARCH("Innovation",F214)),F214="Mini Project"),10,
OR(ISNUMBER(SEARCH("Data Science",F214)),ISNUMBER(SEARCH("DS",F214))),11,
ISNUMBER(SEARCH("Generative AI",F214)),12
=_xlfn.IFS(
OR(F214="Selenium (Hands-on)",F214="Guest Lecture: HR Interview"),6,
OR(F214="Soft Skill",F214="Soft Skill (Examination)",F214="AWS Training",F214="AWS Session"),7,
OR(ISNUMBER(SEARCH("MAD",F214)),ISNUMBER(SEARCH("STQA",F214)),F214="CI/CD Session"),8,
OR(ISNUMBER(SEARCH("Cloud",F214)),F214="Industry Readiness Program",ISNUMBER(SEARCH("Talenlio",F214))),9,
OR(ISNUMBER(SEARCH("Innovation",F214)),F214="Mini Project"),10,
OR(ISNUMBER(SEARCH("Data Science",F214)),ISNUMBER(SEARCH("DS",F214))),11,
ISNUMBER(SEARCH("Generative AI",F214)),12
))))</f>
        <v>11</v>
      </c>
      <c r="X214" s="3">
        <v>7</v>
      </c>
      <c r="Y214" s="3">
        <v>47</v>
      </c>
      <c r="Z214" s="3" t="s">
        <v>38</v>
      </c>
    </row>
    <row r="215" spans="1:26" x14ac:dyDescent="0.3">
      <c r="A215" s="2">
        <v>46234</v>
      </c>
      <c r="B215" s="3" t="s">
        <v>46</v>
      </c>
      <c r="C215" s="3">
        <v>6</v>
      </c>
      <c r="D215" s="4">
        <v>0.60416666666666696</v>
      </c>
      <c r="E215" s="4">
        <v>0.64583333333333304</v>
      </c>
      <c r="F215" s="3" t="s">
        <v>78</v>
      </c>
      <c r="G215" s="3" t="s">
        <v>73</v>
      </c>
      <c r="H215" s="3" t="s">
        <v>29</v>
      </c>
      <c r="I215" s="3" t="s">
        <v>30</v>
      </c>
      <c r="J215" s="3" t="s">
        <v>31</v>
      </c>
      <c r="K215" s="3" t="s">
        <v>52</v>
      </c>
      <c r="L215" s="5">
        <v>103</v>
      </c>
      <c r="M215" s="5">
        <f t="shared" ca="1" si="15"/>
        <v>62</v>
      </c>
      <c r="N215" s="6">
        <f t="shared" ca="1" si="16"/>
        <v>60.194174757281552</v>
      </c>
      <c r="O215" s="3" cm="1">
        <f t="array" aca="1" ref="O215" ca="1">IFERROR(LOOKUP(2, 1/((F$1:F214=F215)*(J$1:J214=J215)*(ROW(F$1:F214)&lt;ROW(F215))), N$1:N214), "")</f>
        <v>85.436893203883486</v>
      </c>
      <c r="P215" s="3">
        <f t="shared" si="19"/>
        <v>0</v>
      </c>
      <c r="Q215" s="3" t="s">
        <v>43</v>
      </c>
      <c r="R215" s="3" t="s">
        <v>40</v>
      </c>
      <c r="S215" s="3" t="str">
        <f t="shared" si="17"/>
        <v>Yes</v>
      </c>
      <c r="T215" s="3" t="s">
        <v>40</v>
      </c>
      <c r="U215" s="3" t="str">
        <f t="shared" si="18"/>
        <v>Rainy</v>
      </c>
      <c r="V215" s="3" t="s">
        <v>40</v>
      </c>
      <c r="W215" s="3" cm="1">
        <f t="array" ref="W215">_xlfn.IFS(
OR(F215="Selenium (Hands-on)",F215="Guest Lecture: HR Interview"),6,
OR(F215="Soft Skill",F215="Soft Skill (Examination)",F215="AWS Training",F215="AWS Session"),7,
OR(ISNUMBER(SEARCH("MAD",F215)),ISNUMBER(SEARCH("STQA",F215)),F215="CI/CD Session"),8,
OR(ISNUMBER(SEARCH("Cloud",F215)),F215="Industry Readiness Program",ISNUMBER(SEARCH("Talenlio",F215))),9,
OR(ISNUMBER(SEARCH("Innovation",F215)),F215="Mini Project"),10,
OR(ISNUMBER(SEARCH("Data Science",F215)),ISNUMBER(SEARCH("DS",F215))),11,
ISNUMBER(SEARCH("Generative AI",F215)),12
=_xlfn.IFS(
OR(F215="Selenium (Hands-on)",F215="Guest Lecture: HR Interview"),6,
OR(F215="Soft Skill",F215="Soft Skill (Examination)",F215="AWS Training",F215="AWS Session"),7,
OR(ISNUMBER(SEARCH("MAD",F215)),ISNUMBER(SEARCH("STQA",F215)),F215="CI/CD Session"),8,
OR(ISNUMBER(SEARCH("Cloud",F215)),F215="Industry Readiness Program",ISNUMBER(SEARCH("Talenlio",F215))),9,
OR(ISNUMBER(SEARCH("Innovation",F215)),F215="Mini Project"),10,
OR(ISNUMBER(SEARCH("Data Science",F215)),ISNUMBER(SEARCH("DS",F215))),11,
ISNUMBER(SEARCH("Generative AI",F215)),12
=_xlfn.IFS(
OR(F215="Selenium (Hands-on)",F215="Guest Lecture: HR Interview"),6,
OR(F215="Soft Skill",F215="Soft Skill (Examination)",F215="AWS Training",F215="AWS Session"),7,
OR(ISNUMBER(SEARCH("MAD",F215)),ISNUMBER(SEARCH("STQA",F215)),F215="CI/CD Session"),8,
OR(ISNUMBER(SEARCH("Cloud",F215)),F215="Industry Readiness Program",ISNUMBER(SEARCH("Talenlio",F215))),9,
OR(ISNUMBER(SEARCH("Innovation",F215)),F215="Mini Project"),10,
OR(ISNUMBER(SEARCH("Data Science",F215)),ISNUMBER(SEARCH("DS",F215))),11,
ISNUMBER(SEARCH("Generative AI",F215)),12
=_xlfn.IFS(
OR(F215="Selenium (Hands-on)",F215="Guest Lecture: HR Interview"),6,
OR(F215="Soft Skill",F215="Soft Skill (Examination)",F215="AWS Training",F215="AWS Session"),7,
OR(ISNUMBER(SEARCH("MAD",F215)),ISNUMBER(SEARCH("STQA",F215)),F215="CI/CD Session"),8,
OR(ISNUMBER(SEARCH("Cloud",F215)),F215="Industry Readiness Program",ISNUMBER(SEARCH("Talenlio",F215))),9,
OR(ISNUMBER(SEARCH("Innovation",F215)),F215="Mini Project"),10,
OR(ISNUMBER(SEARCH("Data Science",F215)),ISNUMBER(SEARCH("DS",F215))),11,
ISNUMBER(SEARCH("Generative AI",F215)),12
))))</f>
        <v>11</v>
      </c>
      <c r="X215" s="3">
        <v>7</v>
      </c>
      <c r="Y215" s="3">
        <v>47</v>
      </c>
      <c r="Z215" s="3" t="s">
        <v>38</v>
      </c>
    </row>
    <row r="216" spans="1:26" x14ac:dyDescent="0.3">
      <c r="A216" s="2">
        <v>46235</v>
      </c>
      <c r="B216" s="3" t="s">
        <v>47</v>
      </c>
      <c r="C216" s="3">
        <v>1</v>
      </c>
      <c r="D216" s="4">
        <v>0.35416666666666702</v>
      </c>
      <c r="E216" s="4">
        <v>0.38541666666666702</v>
      </c>
      <c r="F216" s="3" t="s">
        <v>65</v>
      </c>
      <c r="G216" s="3" t="s">
        <v>51</v>
      </c>
      <c r="H216" s="3" t="s">
        <v>29</v>
      </c>
      <c r="I216" s="3" t="s">
        <v>30</v>
      </c>
      <c r="J216" s="3" t="s">
        <v>31</v>
      </c>
      <c r="K216" s="3" t="s">
        <v>52</v>
      </c>
      <c r="L216" s="5">
        <v>103</v>
      </c>
      <c r="M216" s="5">
        <f t="shared" ca="1" si="15"/>
        <v>91</v>
      </c>
      <c r="N216" s="6">
        <f t="shared" ca="1" si="16"/>
        <v>88.349514563106794</v>
      </c>
      <c r="O216" s="3" cm="1">
        <f t="array" aca="1" ref="O216" ca="1">IFERROR(LOOKUP(2, 1/((F$1:F215=F216)*(J$1:J215=J216)*(ROW(F$1:F215)&lt;ROW(F216))), N$1:N215), "")</f>
        <v>68.932038834951456</v>
      </c>
      <c r="P216" s="3">
        <f t="shared" si="19"/>
        <v>0</v>
      </c>
      <c r="Q216" s="3" t="s">
        <v>43</v>
      </c>
      <c r="R216" s="3" t="s">
        <v>40</v>
      </c>
      <c r="S216" s="3" t="str">
        <f t="shared" si="17"/>
        <v>No</v>
      </c>
      <c r="T216" s="3" t="s">
        <v>34</v>
      </c>
      <c r="U216" s="3" t="str">
        <f t="shared" si="18"/>
        <v>Rainy</v>
      </c>
      <c r="V216" s="3" t="s">
        <v>40</v>
      </c>
      <c r="W216" s="3" cm="1">
        <f t="array" ref="W216">_xlfn.IFS(
OR(F216="Selenium (Hands-on)",F216="Guest Lecture: HR Interview"),6,
OR(F216="Soft Skill",F216="Soft Skill (Examination)",F216="AWS Training",F216="AWS Session"),7,
OR(ISNUMBER(SEARCH("MAD",F216)),ISNUMBER(SEARCH("STQA",F216)),F216="CI/CD Session"),8,
OR(ISNUMBER(SEARCH("Cloud",F216)),F216="Industry Readiness Program",ISNUMBER(SEARCH("Talenlio",F216))),9,
OR(ISNUMBER(SEARCH("Innovation",F216)),F216="Mini Project"),10,
OR(ISNUMBER(SEARCH("Data Science",F216)),ISNUMBER(SEARCH("DS",F216))),11,
ISNUMBER(SEARCH("Generative AI",F216)),12
=_xlfn.IFS(
OR(F216="Selenium (Hands-on)",F216="Guest Lecture: HR Interview"),6,
OR(F216="Soft Skill",F216="Soft Skill (Examination)",F216="AWS Training",F216="AWS Session"),7,
OR(ISNUMBER(SEARCH("MAD",F216)),ISNUMBER(SEARCH("STQA",F216)),F216="CI/CD Session"),8,
OR(ISNUMBER(SEARCH("Cloud",F216)),F216="Industry Readiness Program",ISNUMBER(SEARCH("Talenlio",F216))),9,
OR(ISNUMBER(SEARCH("Innovation",F216)),F216="Mini Project"),10,
OR(ISNUMBER(SEARCH("Data Science",F216)),ISNUMBER(SEARCH("DS",F216))),11,
ISNUMBER(SEARCH("Generative AI",F216)),12
=_xlfn.IFS(
OR(F216="Selenium (Hands-on)",F216="Guest Lecture: HR Interview"),6,
OR(F216="Soft Skill",F216="Soft Skill (Examination)",F216="AWS Training",F216="AWS Session"),7,
OR(ISNUMBER(SEARCH("MAD",F216)),ISNUMBER(SEARCH("STQA",F216)),F216="CI/CD Session"),8,
OR(ISNUMBER(SEARCH("Cloud",F216)),F216="Industry Readiness Program",ISNUMBER(SEARCH("Talenlio",F216))),9,
OR(ISNUMBER(SEARCH("Innovation",F216)),F216="Mini Project"),10,
OR(ISNUMBER(SEARCH("Data Science",F216)),ISNUMBER(SEARCH("DS",F216))),11,
ISNUMBER(SEARCH("Generative AI",F216)),12
=_xlfn.IFS(
OR(F216="Selenium (Hands-on)",F216="Guest Lecture: HR Interview"),6,
OR(F216="Soft Skill",F216="Soft Skill (Examination)",F216="AWS Training",F216="AWS Session"),7,
OR(ISNUMBER(SEARCH("MAD",F216)),ISNUMBER(SEARCH("STQA",F216)),F216="CI/CD Session"),8,
OR(ISNUMBER(SEARCH("Cloud",F216)),F216="Industry Readiness Program",ISNUMBER(SEARCH("Talenlio",F216))),9,
OR(ISNUMBER(SEARCH("Innovation",F216)),F216="Mini Project"),10,
OR(ISNUMBER(SEARCH("Data Science",F216)),ISNUMBER(SEARCH("DS",F216))),11,
ISNUMBER(SEARCH("Generative AI",F216)),12
))))</f>
        <v>8</v>
      </c>
      <c r="X216" s="3">
        <v>7</v>
      </c>
      <c r="Y216" s="3">
        <v>48</v>
      </c>
      <c r="Z216" s="3" t="s">
        <v>35</v>
      </c>
    </row>
    <row r="217" spans="1:26" x14ac:dyDescent="0.3">
      <c r="A217" s="2">
        <v>46235</v>
      </c>
      <c r="B217" s="3" t="s">
        <v>47</v>
      </c>
      <c r="C217" s="3">
        <v>2</v>
      </c>
      <c r="D217" s="4">
        <v>0.38541666666666702</v>
      </c>
      <c r="E217" s="4">
        <v>0.42708333333333298</v>
      </c>
      <c r="F217" s="3" t="s">
        <v>65</v>
      </c>
      <c r="G217" s="3" t="s">
        <v>51</v>
      </c>
      <c r="H217" s="3" t="s">
        <v>29</v>
      </c>
      <c r="I217" s="3" t="s">
        <v>30</v>
      </c>
      <c r="J217" s="3" t="s">
        <v>31</v>
      </c>
      <c r="K217" s="3" t="s">
        <v>52</v>
      </c>
      <c r="L217" s="5">
        <v>103</v>
      </c>
      <c r="M217" s="5">
        <f t="shared" ca="1" si="15"/>
        <v>79</v>
      </c>
      <c r="N217" s="6">
        <f t="shared" ca="1" si="16"/>
        <v>76.699029126213588</v>
      </c>
      <c r="O217" s="3" cm="1">
        <f t="array" aca="1" ref="O217" ca="1">IFERROR(LOOKUP(2, 1/((F$1:F216=F217)*(J$1:J216=J217)*(ROW(F$1:F216)&lt;ROW(F217))), N$1:N216), "")</f>
        <v>88.349514563106794</v>
      </c>
      <c r="P217" s="3">
        <f t="shared" si="19"/>
        <v>0</v>
      </c>
      <c r="Q217" s="3" t="s">
        <v>43</v>
      </c>
      <c r="R217" s="3" t="s">
        <v>40</v>
      </c>
      <c r="S217" s="3" t="str">
        <f t="shared" si="17"/>
        <v>No</v>
      </c>
      <c r="T217" s="3" t="s">
        <v>34</v>
      </c>
      <c r="U217" s="3" t="str">
        <f t="shared" si="18"/>
        <v>Rainy</v>
      </c>
      <c r="V217" s="3" t="s">
        <v>40</v>
      </c>
      <c r="W217" s="3" cm="1">
        <f t="array" ref="W217">_xlfn.IFS(
OR(F217="Selenium (Hands-on)",F217="Guest Lecture: HR Interview"),6,
OR(F217="Soft Skill",F217="Soft Skill (Examination)",F217="AWS Training",F217="AWS Session"),7,
OR(ISNUMBER(SEARCH("MAD",F217)),ISNUMBER(SEARCH("STQA",F217)),F217="CI/CD Session"),8,
OR(ISNUMBER(SEARCH("Cloud",F217)),F217="Industry Readiness Program",ISNUMBER(SEARCH("Talenlio",F217))),9,
OR(ISNUMBER(SEARCH("Innovation",F217)),F217="Mini Project"),10,
OR(ISNUMBER(SEARCH("Data Science",F217)),ISNUMBER(SEARCH("DS",F217))),11,
ISNUMBER(SEARCH("Generative AI",F217)),12
=_xlfn.IFS(
OR(F217="Selenium (Hands-on)",F217="Guest Lecture: HR Interview"),6,
OR(F217="Soft Skill",F217="Soft Skill (Examination)",F217="AWS Training",F217="AWS Session"),7,
OR(ISNUMBER(SEARCH("MAD",F217)),ISNUMBER(SEARCH("STQA",F217)),F217="CI/CD Session"),8,
OR(ISNUMBER(SEARCH("Cloud",F217)),F217="Industry Readiness Program",ISNUMBER(SEARCH("Talenlio",F217))),9,
OR(ISNUMBER(SEARCH("Innovation",F217)),F217="Mini Project"),10,
OR(ISNUMBER(SEARCH("Data Science",F217)),ISNUMBER(SEARCH("DS",F217))),11,
ISNUMBER(SEARCH("Generative AI",F217)),12
=_xlfn.IFS(
OR(F217="Selenium (Hands-on)",F217="Guest Lecture: HR Interview"),6,
OR(F217="Soft Skill",F217="Soft Skill (Examination)",F217="AWS Training",F217="AWS Session"),7,
OR(ISNUMBER(SEARCH("MAD",F217)),ISNUMBER(SEARCH("STQA",F217)),F217="CI/CD Session"),8,
OR(ISNUMBER(SEARCH("Cloud",F217)),F217="Industry Readiness Program",ISNUMBER(SEARCH("Talenlio",F217))),9,
OR(ISNUMBER(SEARCH("Innovation",F217)),F217="Mini Project"),10,
OR(ISNUMBER(SEARCH("Data Science",F217)),ISNUMBER(SEARCH("DS",F217))),11,
ISNUMBER(SEARCH("Generative AI",F217)),12
=_xlfn.IFS(
OR(F217="Selenium (Hands-on)",F217="Guest Lecture: HR Interview"),6,
OR(F217="Soft Skill",F217="Soft Skill (Examination)",F217="AWS Training",F217="AWS Session"),7,
OR(ISNUMBER(SEARCH("MAD",F217)),ISNUMBER(SEARCH("STQA",F217)),F217="CI/CD Session"),8,
OR(ISNUMBER(SEARCH("Cloud",F217)),F217="Industry Readiness Program",ISNUMBER(SEARCH("Talenlio",F217))),9,
OR(ISNUMBER(SEARCH("Innovation",F217)),F217="Mini Project"),10,
OR(ISNUMBER(SEARCH("Data Science",F217)),ISNUMBER(SEARCH("DS",F217))),11,
ISNUMBER(SEARCH("Generative AI",F217)),12
))))</f>
        <v>8</v>
      </c>
      <c r="X217" s="3">
        <v>7</v>
      </c>
      <c r="Y217" s="3">
        <v>48</v>
      </c>
      <c r="Z217" s="3" t="s">
        <v>35</v>
      </c>
    </row>
    <row r="218" spans="1:26" x14ac:dyDescent="0.3">
      <c r="A218" s="2">
        <v>46235</v>
      </c>
      <c r="B218" s="3" t="s">
        <v>47</v>
      </c>
      <c r="C218" s="3">
        <v>3</v>
      </c>
      <c r="D218" s="4">
        <v>0.42708333333333298</v>
      </c>
      <c r="E218" s="4">
        <v>0.46875</v>
      </c>
      <c r="F218" s="3" t="s">
        <v>66</v>
      </c>
      <c r="G218" s="3" t="s">
        <v>67</v>
      </c>
      <c r="H218" s="3" t="s">
        <v>29</v>
      </c>
      <c r="I218" s="3" t="s">
        <v>30</v>
      </c>
      <c r="J218" s="3" t="s">
        <v>31</v>
      </c>
      <c r="K218" s="3" t="s">
        <v>52</v>
      </c>
      <c r="L218" s="5">
        <v>103</v>
      </c>
      <c r="M218" s="5">
        <f t="shared" ca="1" si="15"/>
        <v>65</v>
      </c>
      <c r="N218" s="6">
        <f t="shared" ca="1" si="16"/>
        <v>63.10679611650486</v>
      </c>
      <c r="O218" s="3" cm="1">
        <f t="array" aca="1" ref="O218" ca="1">IFERROR(LOOKUP(2, 1/((F$1:F217=F218)*(J$1:J217=J218)*(ROW(F$1:F217)&lt;ROW(F218))), N$1:N217), "")</f>
        <v>63.10679611650486</v>
      </c>
      <c r="P218" s="3">
        <f t="shared" si="19"/>
        <v>0</v>
      </c>
      <c r="Q218" s="3" t="s">
        <v>43</v>
      </c>
      <c r="R218" s="3" t="s">
        <v>40</v>
      </c>
      <c r="S218" s="3" t="str">
        <f t="shared" si="17"/>
        <v>Yes</v>
      </c>
      <c r="T218" s="3" t="s">
        <v>34</v>
      </c>
      <c r="U218" s="3" t="str">
        <f t="shared" si="18"/>
        <v>Rainy</v>
      </c>
      <c r="V218" s="3" t="s">
        <v>40</v>
      </c>
      <c r="W218" s="3" cm="1">
        <f t="array" ref="W218">_xlfn.IFS(
OR(F218="Selenium (Hands-on)",F218="Guest Lecture: HR Interview"),6,
OR(F218="Soft Skill",F218="Soft Skill (Examination)",F218="AWS Training",F218="AWS Session"),7,
OR(ISNUMBER(SEARCH("MAD",F218)),ISNUMBER(SEARCH("STQA",F218)),F218="CI/CD Session"),8,
OR(ISNUMBER(SEARCH("Cloud",F218)),F218="Industry Readiness Program",ISNUMBER(SEARCH("Talenlio",F218))),9,
OR(ISNUMBER(SEARCH("Innovation",F218)),F218="Mini Project"),10,
OR(ISNUMBER(SEARCH("Data Science",F218)),ISNUMBER(SEARCH("DS",F218))),11,
ISNUMBER(SEARCH("Generative AI",F218)),12
=_xlfn.IFS(
OR(F218="Selenium (Hands-on)",F218="Guest Lecture: HR Interview"),6,
OR(F218="Soft Skill",F218="Soft Skill (Examination)",F218="AWS Training",F218="AWS Session"),7,
OR(ISNUMBER(SEARCH("MAD",F218)),ISNUMBER(SEARCH("STQA",F218)),F218="CI/CD Session"),8,
OR(ISNUMBER(SEARCH("Cloud",F218)),F218="Industry Readiness Program",ISNUMBER(SEARCH("Talenlio",F218))),9,
OR(ISNUMBER(SEARCH("Innovation",F218)),F218="Mini Project"),10,
OR(ISNUMBER(SEARCH("Data Science",F218)),ISNUMBER(SEARCH("DS",F218))),11,
ISNUMBER(SEARCH("Generative AI",F218)),12
=_xlfn.IFS(
OR(F218="Selenium (Hands-on)",F218="Guest Lecture: HR Interview"),6,
OR(F218="Soft Skill",F218="Soft Skill (Examination)",F218="AWS Training",F218="AWS Session"),7,
OR(ISNUMBER(SEARCH("MAD",F218)),ISNUMBER(SEARCH("STQA",F218)),F218="CI/CD Session"),8,
OR(ISNUMBER(SEARCH("Cloud",F218)),F218="Industry Readiness Program",ISNUMBER(SEARCH("Talenlio",F218))),9,
OR(ISNUMBER(SEARCH("Innovation",F218)),F218="Mini Project"),10,
OR(ISNUMBER(SEARCH("Data Science",F218)),ISNUMBER(SEARCH("DS",F218))),11,
ISNUMBER(SEARCH("Generative AI",F218)),12
=_xlfn.IFS(
OR(F218="Selenium (Hands-on)",F218="Guest Lecture: HR Interview"),6,
OR(F218="Soft Skill",F218="Soft Skill (Examination)",F218="AWS Training",F218="AWS Session"),7,
OR(ISNUMBER(SEARCH("MAD",F218)),ISNUMBER(SEARCH("STQA",F218)),F218="CI/CD Session"),8,
OR(ISNUMBER(SEARCH("Cloud",F218)),F218="Industry Readiness Program",ISNUMBER(SEARCH("Talenlio",F218))),9,
OR(ISNUMBER(SEARCH("Innovation",F218)),F218="Mini Project"),10,
OR(ISNUMBER(SEARCH("Data Science",F218)),ISNUMBER(SEARCH("DS",F218))),11,
ISNUMBER(SEARCH("Generative AI",F218)),12
))))</f>
        <v>10</v>
      </c>
      <c r="X218" s="3">
        <v>7</v>
      </c>
      <c r="Y218" s="3">
        <v>48</v>
      </c>
      <c r="Z218" s="3" t="s">
        <v>35</v>
      </c>
    </row>
    <row r="219" spans="1:26" x14ac:dyDescent="0.3">
      <c r="A219" s="2">
        <v>46235</v>
      </c>
      <c r="B219" s="3" t="s">
        <v>47</v>
      </c>
      <c r="C219" s="3">
        <v>4</v>
      </c>
      <c r="D219" s="4">
        <v>0.46875</v>
      </c>
      <c r="E219" s="4">
        <v>0.51041666666666696</v>
      </c>
      <c r="F219" s="3" t="s">
        <v>66</v>
      </c>
      <c r="G219" s="3" t="s">
        <v>67</v>
      </c>
      <c r="H219" s="3" t="s">
        <v>29</v>
      </c>
      <c r="I219" s="3" t="s">
        <v>30</v>
      </c>
      <c r="J219" s="3" t="s">
        <v>31</v>
      </c>
      <c r="K219" s="3" t="s">
        <v>52</v>
      </c>
      <c r="L219" s="5">
        <v>103</v>
      </c>
      <c r="M219" s="5">
        <f t="shared" ca="1" si="15"/>
        <v>90</v>
      </c>
      <c r="N219" s="6">
        <f t="shared" ca="1" si="16"/>
        <v>87.378640776699029</v>
      </c>
      <c r="O219" s="3" cm="1">
        <f t="array" aca="1" ref="O219" ca="1">IFERROR(LOOKUP(2, 1/((F$1:F218=F219)*(J$1:J218=J219)*(ROW(F$1:F218)&lt;ROW(F219))), N$1:N218), "")</f>
        <v>63.10679611650486</v>
      </c>
      <c r="P219" s="3">
        <f t="shared" si="19"/>
        <v>0</v>
      </c>
      <c r="Q219" s="3" t="s">
        <v>43</v>
      </c>
      <c r="R219" s="3" t="s">
        <v>40</v>
      </c>
      <c r="S219" s="3" t="str">
        <f t="shared" si="17"/>
        <v>Yes</v>
      </c>
      <c r="T219" s="3" t="s">
        <v>34</v>
      </c>
      <c r="U219" s="3" t="str">
        <f t="shared" si="18"/>
        <v>Rainy</v>
      </c>
      <c r="V219" s="3" t="s">
        <v>40</v>
      </c>
      <c r="W219" s="3" cm="1">
        <f t="array" ref="W219">_xlfn.IFS(
OR(F219="Selenium (Hands-on)",F219="Guest Lecture: HR Interview"),6,
OR(F219="Soft Skill",F219="Soft Skill (Examination)",F219="AWS Training",F219="AWS Session"),7,
OR(ISNUMBER(SEARCH("MAD",F219)),ISNUMBER(SEARCH("STQA",F219)),F219="CI/CD Session"),8,
OR(ISNUMBER(SEARCH("Cloud",F219)),F219="Industry Readiness Program",ISNUMBER(SEARCH("Talenlio",F219))),9,
OR(ISNUMBER(SEARCH("Innovation",F219)),F219="Mini Project"),10,
OR(ISNUMBER(SEARCH("Data Science",F219)),ISNUMBER(SEARCH("DS",F219))),11,
ISNUMBER(SEARCH("Generative AI",F219)),12
=_xlfn.IFS(
OR(F219="Selenium (Hands-on)",F219="Guest Lecture: HR Interview"),6,
OR(F219="Soft Skill",F219="Soft Skill (Examination)",F219="AWS Training",F219="AWS Session"),7,
OR(ISNUMBER(SEARCH("MAD",F219)),ISNUMBER(SEARCH("STQA",F219)),F219="CI/CD Session"),8,
OR(ISNUMBER(SEARCH("Cloud",F219)),F219="Industry Readiness Program",ISNUMBER(SEARCH("Talenlio",F219))),9,
OR(ISNUMBER(SEARCH("Innovation",F219)),F219="Mini Project"),10,
OR(ISNUMBER(SEARCH("Data Science",F219)),ISNUMBER(SEARCH("DS",F219))),11,
ISNUMBER(SEARCH("Generative AI",F219)),12
=_xlfn.IFS(
OR(F219="Selenium (Hands-on)",F219="Guest Lecture: HR Interview"),6,
OR(F219="Soft Skill",F219="Soft Skill (Examination)",F219="AWS Training",F219="AWS Session"),7,
OR(ISNUMBER(SEARCH("MAD",F219)),ISNUMBER(SEARCH("STQA",F219)),F219="CI/CD Session"),8,
OR(ISNUMBER(SEARCH("Cloud",F219)),F219="Industry Readiness Program",ISNUMBER(SEARCH("Talenlio",F219))),9,
OR(ISNUMBER(SEARCH("Innovation",F219)),F219="Mini Project"),10,
OR(ISNUMBER(SEARCH("Data Science",F219)),ISNUMBER(SEARCH("DS",F219))),11,
ISNUMBER(SEARCH("Generative AI",F219)),12
=_xlfn.IFS(
OR(F219="Selenium (Hands-on)",F219="Guest Lecture: HR Interview"),6,
OR(F219="Soft Skill",F219="Soft Skill (Examination)",F219="AWS Training",F219="AWS Session"),7,
OR(ISNUMBER(SEARCH("MAD",F219)),ISNUMBER(SEARCH("STQA",F219)),F219="CI/CD Session"),8,
OR(ISNUMBER(SEARCH("Cloud",F219)),F219="Industry Readiness Program",ISNUMBER(SEARCH("Talenlio",F219))),9,
OR(ISNUMBER(SEARCH("Innovation",F219)),F219="Mini Project"),10,
OR(ISNUMBER(SEARCH("Data Science",F219)),ISNUMBER(SEARCH("DS",F219))),11,
ISNUMBER(SEARCH("Generative AI",F219)),12
))))</f>
        <v>10</v>
      </c>
      <c r="X219" s="3">
        <v>7</v>
      </c>
      <c r="Y219" s="3">
        <v>48</v>
      </c>
      <c r="Z219" s="3" t="s">
        <v>35</v>
      </c>
    </row>
    <row r="220" spans="1:26" x14ac:dyDescent="0.3">
      <c r="A220" s="2">
        <v>46235</v>
      </c>
      <c r="B220" s="3" t="s">
        <v>47</v>
      </c>
      <c r="C220" s="3">
        <v>5</v>
      </c>
      <c r="D220" s="4">
        <v>0.5625</v>
      </c>
      <c r="E220" s="4">
        <v>0.60416666666666696</v>
      </c>
      <c r="F220" s="3" t="s">
        <v>66</v>
      </c>
      <c r="G220" s="3" t="s">
        <v>67</v>
      </c>
      <c r="H220" s="3" t="s">
        <v>29</v>
      </c>
      <c r="I220" s="3" t="s">
        <v>30</v>
      </c>
      <c r="J220" s="3" t="s">
        <v>31</v>
      </c>
      <c r="K220" s="3" t="s">
        <v>52</v>
      </c>
      <c r="L220" s="5">
        <v>103</v>
      </c>
      <c r="M220" s="5">
        <f t="shared" ca="1" si="15"/>
        <v>98</v>
      </c>
      <c r="N220" s="6">
        <f t="shared" ca="1" si="16"/>
        <v>95.145631067961162</v>
      </c>
      <c r="O220" s="3" cm="1">
        <f t="array" aca="1" ref="O220" ca="1">IFERROR(LOOKUP(2, 1/((F$1:F219=F220)*(J$1:J219=J220)*(ROW(F$1:F219)&lt;ROW(F220))), N$1:N219), "")</f>
        <v>87.378640776699029</v>
      </c>
      <c r="P220" s="3">
        <f t="shared" si="19"/>
        <v>1.25</v>
      </c>
      <c r="Q220" s="3" t="s">
        <v>43</v>
      </c>
      <c r="R220" s="3" t="s">
        <v>40</v>
      </c>
      <c r="S220" s="3" t="str">
        <f t="shared" si="17"/>
        <v>Yes</v>
      </c>
      <c r="T220" s="3" t="s">
        <v>34</v>
      </c>
      <c r="U220" s="3" t="str">
        <f t="shared" si="18"/>
        <v>Rainy</v>
      </c>
      <c r="V220" s="3" t="s">
        <v>40</v>
      </c>
      <c r="W220" s="3" cm="1">
        <f t="array" ref="W220">_xlfn.IFS(
OR(F220="Selenium (Hands-on)",F220="Guest Lecture: HR Interview"),6,
OR(F220="Soft Skill",F220="Soft Skill (Examination)",F220="AWS Training",F220="AWS Session"),7,
OR(ISNUMBER(SEARCH("MAD",F220)),ISNUMBER(SEARCH("STQA",F220)),F220="CI/CD Session"),8,
OR(ISNUMBER(SEARCH("Cloud",F220)),F220="Industry Readiness Program",ISNUMBER(SEARCH("Talenlio",F220))),9,
OR(ISNUMBER(SEARCH("Innovation",F220)),F220="Mini Project"),10,
OR(ISNUMBER(SEARCH("Data Science",F220)),ISNUMBER(SEARCH("DS",F220))),11,
ISNUMBER(SEARCH("Generative AI",F220)),12
=_xlfn.IFS(
OR(F220="Selenium (Hands-on)",F220="Guest Lecture: HR Interview"),6,
OR(F220="Soft Skill",F220="Soft Skill (Examination)",F220="AWS Training",F220="AWS Session"),7,
OR(ISNUMBER(SEARCH("MAD",F220)),ISNUMBER(SEARCH("STQA",F220)),F220="CI/CD Session"),8,
OR(ISNUMBER(SEARCH("Cloud",F220)),F220="Industry Readiness Program",ISNUMBER(SEARCH("Talenlio",F220))),9,
OR(ISNUMBER(SEARCH("Innovation",F220)),F220="Mini Project"),10,
OR(ISNUMBER(SEARCH("Data Science",F220)),ISNUMBER(SEARCH("DS",F220))),11,
ISNUMBER(SEARCH("Generative AI",F220)),12
=_xlfn.IFS(
OR(F220="Selenium (Hands-on)",F220="Guest Lecture: HR Interview"),6,
OR(F220="Soft Skill",F220="Soft Skill (Examination)",F220="AWS Training",F220="AWS Session"),7,
OR(ISNUMBER(SEARCH("MAD",F220)),ISNUMBER(SEARCH("STQA",F220)),F220="CI/CD Session"),8,
OR(ISNUMBER(SEARCH("Cloud",F220)),F220="Industry Readiness Program",ISNUMBER(SEARCH("Talenlio",F220))),9,
OR(ISNUMBER(SEARCH("Innovation",F220)),F220="Mini Project"),10,
OR(ISNUMBER(SEARCH("Data Science",F220)),ISNUMBER(SEARCH("DS",F220))),11,
ISNUMBER(SEARCH("Generative AI",F220)),12
=_xlfn.IFS(
OR(F220="Selenium (Hands-on)",F220="Guest Lecture: HR Interview"),6,
OR(F220="Soft Skill",F220="Soft Skill (Examination)",F220="AWS Training",F220="AWS Session"),7,
OR(ISNUMBER(SEARCH("MAD",F220)),ISNUMBER(SEARCH("STQA",F220)),F220="CI/CD Session"),8,
OR(ISNUMBER(SEARCH("Cloud",F220)),F220="Industry Readiness Program",ISNUMBER(SEARCH("Talenlio",F220))),9,
OR(ISNUMBER(SEARCH("Innovation",F220)),F220="Mini Project"),10,
OR(ISNUMBER(SEARCH("Data Science",F220)),ISNUMBER(SEARCH("DS",F220))),11,
ISNUMBER(SEARCH("Generative AI",F220)),12
))))</f>
        <v>10</v>
      </c>
      <c r="X220" s="3">
        <v>7</v>
      </c>
      <c r="Y220" s="3">
        <v>48</v>
      </c>
      <c r="Z220" s="3" t="s">
        <v>38</v>
      </c>
    </row>
    <row r="221" spans="1:26" x14ac:dyDescent="0.3">
      <c r="A221" s="2">
        <v>46235</v>
      </c>
      <c r="B221" s="3" t="s">
        <v>47</v>
      </c>
      <c r="C221" s="3">
        <v>6</v>
      </c>
      <c r="D221" s="4">
        <v>0.60416666666666696</v>
      </c>
      <c r="E221" s="4">
        <v>0.64583333333333304</v>
      </c>
      <c r="F221" s="3" t="s">
        <v>66</v>
      </c>
      <c r="G221" s="3" t="s">
        <v>67</v>
      </c>
      <c r="H221" s="3" t="s">
        <v>29</v>
      </c>
      <c r="I221" s="3" t="s">
        <v>30</v>
      </c>
      <c r="J221" s="3" t="s">
        <v>31</v>
      </c>
      <c r="K221" s="3" t="s">
        <v>52</v>
      </c>
      <c r="L221" s="5">
        <v>103</v>
      </c>
      <c r="M221" s="5">
        <f t="shared" ca="1" si="15"/>
        <v>79</v>
      </c>
      <c r="N221" s="6">
        <f t="shared" ca="1" si="16"/>
        <v>76.699029126213588</v>
      </c>
      <c r="O221" s="3" cm="1">
        <f t="array" aca="1" ref="O221" ca="1">IFERROR(LOOKUP(2, 1/((F$1:F220=F221)*(J$1:J220=J221)*(ROW(F$1:F220)&lt;ROW(F221))), N$1:N220), "")</f>
        <v>95.145631067961162</v>
      </c>
      <c r="P221" s="3">
        <f t="shared" si="19"/>
        <v>0</v>
      </c>
      <c r="Q221" s="3" t="s">
        <v>43</v>
      </c>
      <c r="R221" s="3" t="s">
        <v>40</v>
      </c>
      <c r="S221" s="3" t="str">
        <f t="shared" si="17"/>
        <v>Yes</v>
      </c>
      <c r="T221" s="3" t="s">
        <v>34</v>
      </c>
      <c r="U221" s="3" t="str">
        <f t="shared" si="18"/>
        <v>Rainy</v>
      </c>
      <c r="V221" s="3" t="s">
        <v>40</v>
      </c>
      <c r="W221" s="3" cm="1">
        <f t="array" ref="W221">_xlfn.IFS(
OR(F221="Selenium (Hands-on)",F221="Guest Lecture: HR Interview"),6,
OR(F221="Soft Skill",F221="Soft Skill (Examination)",F221="AWS Training",F221="AWS Session"),7,
OR(ISNUMBER(SEARCH("MAD",F221)),ISNUMBER(SEARCH("STQA",F221)),F221="CI/CD Session"),8,
OR(ISNUMBER(SEARCH("Cloud",F221)),F221="Industry Readiness Program",ISNUMBER(SEARCH("Talenlio",F221))),9,
OR(ISNUMBER(SEARCH("Innovation",F221)),F221="Mini Project"),10,
OR(ISNUMBER(SEARCH("Data Science",F221)),ISNUMBER(SEARCH("DS",F221))),11,
ISNUMBER(SEARCH("Generative AI",F221)),12
=_xlfn.IFS(
OR(F221="Selenium (Hands-on)",F221="Guest Lecture: HR Interview"),6,
OR(F221="Soft Skill",F221="Soft Skill (Examination)",F221="AWS Training",F221="AWS Session"),7,
OR(ISNUMBER(SEARCH("MAD",F221)),ISNUMBER(SEARCH("STQA",F221)),F221="CI/CD Session"),8,
OR(ISNUMBER(SEARCH("Cloud",F221)),F221="Industry Readiness Program",ISNUMBER(SEARCH("Talenlio",F221))),9,
OR(ISNUMBER(SEARCH("Innovation",F221)),F221="Mini Project"),10,
OR(ISNUMBER(SEARCH("Data Science",F221)),ISNUMBER(SEARCH("DS",F221))),11,
ISNUMBER(SEARCH("Generative AI",F221)),12
=_xlfn.IFS(
OR(F221="Selenium (Hands-on)",F221="Guest Lecture: HR Interview"),6,
OR(F221="Soft Skill",F221="Soft Skill (Examination)",F221="AWS Training",F221="AWS Session"),7,
OR(ISNUMBER(SEARCH("MAD",F221)),ISNUMBER(SEARCH("STQA",F221)),F221="CI/CD Session"),8,
OR(ISNUMBER(SEARCH("Cloud",F221)),F221="Industry Readiness Program",ISNUMBER(SEARCH("Talenlio",F221))),9,
OR(ISNUMBER(SEARCH("Innovation",F221)),F221="Mini Project"),10,
OR(ISNUMBER(SEARCH("Data Science",F221)),ISNUMBER(SEARCH("DS",F221))),11,
ISNUMBER(SEARCH("Generative AI",F221)),12
=_xlfn.IFS(
OR(F221="Selenium (Hands-on)",F221="Guest Lecture: HR Interview"),6,
OR(F221="Soft Skill",F221="Soft Skill (Examination)",F221="AWS Training",F221="AWS Session"),7,
OR(ISNUMBER(SEARCH("MAD",F221)),ISNUMBER(SEARCH("STQA",F221)),F221="CI/CD Session"),8,
OR(ISNUMBER(SEARCH("Cloud",F221)),F221="Industry Readiness Program",ISNUMBER(SEARCH("Talenlio",F221))),9,
OR(ISNUMBER(SEARCH("Innovation",F221)),F221="Mini Project"),10,
OR(ISNUMBER(SEARCH("Data Science",F221)),ISNUMBER(SEARCH("DS",F221))),11,
ISNUMBER(SEARCH("Generative AI",F221)),12
))))</f>
        <v>10</v>
      </c>
      <c r="X221" s="3">
        <v>7</v>
      </c>
      <c r="Y221" s="3">
        <v>48</v>
      </c>
      <c r="Z221" s="3" t="s">
        <v>38</v>
      </c>
    </row>
    <row r="222" spans="1:26" x14ac:dyDescent="0.3">
      <c r="A222" s="2">
        <v>46237</v>
      </c>
      <c r="B222" s="3" t="s">
        <v>26</v>
      </c>
      <c r="C222" s="3">
        <v>1</v>
      </c>
      <c r="D222" s="4">
        <v>0.375</v>
      </c>
      <c r="E222" s="4">
        <v>0.41666666666666702</v>
      </c>
      <c r="F222" s="3" t="s">
        <v>53</v>
      </c>
      <c r="G222" s="3" t="s">
        <v>68</v>
      </c>
      <c r="H222" s="3" t="s">
        <v>29</v>
      </c>
      <c r="I222" s="3" t="s">
        <v>30</v>
      </c>
      <c r="J222" s="3" t="s">
        <v>31</v>
      </c>
      <c r="K222" s="3" t="s">
        <v>32</v>
      </c>
      <c r="L222" s="5">
        <v>103</v>
      </c>
      <c r="M222" s="5">
        <f t="shared" ca="1" si="15"/>
        <v>57</v>
      </c>
      <c r="N222" s="6">
        <f t="shared" ca="1" si="16"/>
        <v>55.339805825242713</v>
      </c>
      <c r="O222" s="3" cm="1">
        <f t="array" aca="1" ref="O222" ca="1">IFERROR(LOOKUP(2, 1/((F$1:F221=F222)*(J$1:J221=J222)*(ROW(F$1:F221)&lt;ROW(F222))), N$1:N221), "")</f>
        <v>59.22330097087378</v>
      </c>
      <c r="P222" s="3">
        <f t="shared" si="19"/>
        <v>0</v>
      </c>
      <c r="Q222" s="3" t="s">
        <v>33</v>
      </c>
      <c r="R222" s="3" t="s">
        <v>40</v>
      </c>
      <c r="S222" s="3" t="str">
        <f t="shared" si="17"/>
        <v>No</v>
      </c>
      <c r="T222" s="3" t="s">
        <v>34</v>
      </c>
      <c r="U222" s="3" t="str">
        <f t="shared" si="18"/>
        <v>Rainy</v>
      </c>
      <c r="V222" s="3" t="s">
        <v>40</v>
      </c>
      <c r="W222" s="3" cm="1">
        <f t="array" ref="W222">_xlfn.IFS(
OR(F222="Selenium (Hands-on)",F222="Guest Lecture: HR Interview"),6,
OR(F222="Soft Skill",F222="Soft Skill (Examination)",F222="AWS Training",F222="AWS Session"),7,
OR(ISNUMBER(SEARCH("MAD",F222)),ISNUMBER(SEARCH("STQA",F222)),F222="CI/CD Session"),8,
OR(ISNUMBER(SEARCH("Cloud",F222)),F222="Industry Readiness Program",ISNUMBER(SEARCH("Talenlio",F222))),9,
OR(ISNUMBER(SEARCH("Innovation",F222)),F222="Mini Project"),10,
OR(ISNUMBER(SEARCH("Data Science",F222)),ISNUMBER(SEARCH("DS",F222))),11,
ISNUMBER(SEARCH("Generative AI",F222)),12
=_xlfn.IFS(
OR(F222="Selenium (Hands-on)",F222="Guest Lecture: HR Interview"),6,
OR(F222="Soft Skill",F222="Soft Skill (Examination)",F222="AWS Training",F222="AWS Session"),7,
OR(ISNUMBER(SEARCH("MAD",F222)),ISNUMBER(SEARCH("STQA",F222)),F222="CI/CD Session"),8,
OR(ISNUMBER(SEARCH("Cloud",F222)),F222="Industry Readiness Program",ISNUMBER(SEARCH("Talenlio",F222))),9,
OR(ISNUMBER(SEARCH("Innovation",F222)),F222="Mini Project"),10,
OR(ISNUMBER(SEARCH("Data Science",F222)),ISNUMBER(SEARCH("DS",F222))),11,
ISNUMBER(SEARCH("Generative AI",F222)),12
=_xlfn.IFS(
OR(F222="Selenium (Hands-on)",F222="Guest Lecture: HR Interview"),6,
OR(F222="Soft Skill",F222="Soft Skill (Examination)",F222="AWS Training",F222="AWS Session"),7,
OR(ISNUMBER(SEARCH("MAD",F222)),ISNUMBER(SEARCH("STQA",F222)),F222="CI/CD Session"),8,
OR(ISNUMBER(SEARCH("Cloud",F222)),F222="Industry Readiness Program",ISNUMBER(SEARCH("Talenlio",F222))),9,
OR(ISNUMBER(SEARCH("Innovation",F222)),F222="Mini Project"),10,
OR(ISNUMBER(SEARCH("Data Science",F222)),ISNUMBER(SEARCH("DS",F222))),11,
ISNUMBER(SEARCH("Generative AI",F222)),12
=_xlfn.IFS(
OR(F222="Selenium (Hands-on)",F222="Guest Lecture: HR Interview"),6,
OR(F222="Soft Skill",F222="Soft Skill (Examination)",F222="AWS Training",F222="AWS Session"),7,
OR(ISNUMBER(SEARCH("MAD",F222)),ISNUMBER(SEARCH("STQA",F222)),F222="CI/CD Session"),8,
OR(ISNUMBER(SEARCH("Cloud",F222)),F222="Industry Readiness Program",ISNUMBER(SEARCH("Talenlio",F222))),9,
OR(ISNUMBER(SEARCH("Innovation",F222)),F222="Mini Project"),10,
OR(ISNUMBER(SEARCH("Data Science",F222)),ISNUMBER(SEARCH("DS",F222))),11,
ISNUMBER(SEARCH("Generative AI",F222)),12
))))</f>
        <v>10</v>
      </c>
      <c r="X222" s="3">
        <v>8</v>
      </c>
      <c r="Y222" s="3">
        <v>50</v>
      </c>
      <c r="Z222" s="3" t="s">
        <v>35</v>
      </c>
    </row>
    <row r="223" spans="1:26" x14ac:dyDescent="0.3">
      <c r="A223" s="2">
        <v>46237</v>
      </c>
      <c r="B223" s="3" t="s">
        <v>26</v>
      </c>
      <c r="C223" s="3">
        <v>2</v>
      </c>
      <c r="D223" s="4">
        <v>0.41666666666666702</v>
      </c>
      <c r="E223" s="4">
        <v>0.45833333333333298</v>
      </c>
      <c r="F223" s="3" t="s">
        <v>53</v>
      </c>
      <c r="G223" s="3" t="s">
        <v>68</v>
      </c>
      <c r="H223" s="3" t="s">
        <v>29</v>
      </c>
      <c r="I223" s="3" t="s">
        <v>30</v>
      </c>
      <c r="J223" s="3" t="s">
        <v>31</v>
      </c>
      <c r="K223" s="3" t="s">
        <v>32</v>
      </c>
      <c r="L223" s="5">
        <v>103</v>
      </c>
      <c r="M223" s="5">
        <f t="shared" ca="1" si="15"/>
        <v>51</v>
      </c>
      <c r="N223" s="6">
        <f t="shared" ca="1" si="16"/>
        <v>49.514563106796118</v>
      </c>
      <c r="O223" s="3" cm="1">
        <f t="array" aca="1" ref="O223" ca="1">IFERROR(LOOKUP(2, 1/((F$1:F222=F223)*(J$1:J222=J223)*(ROW(F$1:F222)&lt;ROW(F223))), N$1:N222), "")</f>
        <v>55.339805825242713</v>
      </c>
      <c r="P223" s="3">
        <f t="shared" si="19"/>
        <v>0</v>
      </c>
      <c r="Q223" s="3" t="s">
        <v>33</v>
      </c>
      <c r="R223" s="3" t="s">
        <v>40</v>
      </c>
      <c r="S223" s="3" t="str">
        <f t="shared" si="17"/>
        <v>No</v>
      </c>
      <c r="T223" s="3" t="s">
        <v>34</v>
      </c>
      <c r="U223" s="3" t="str">
        <f t="shared" si="18"/>
        <v>Rainy</v>
      </c>
      <c r="V223" s="3" t="s">
        <v>40</v>
      </c>
      <c r="W223" s="3" cm="1">
        <f t="array" ref="W223">_xlfn.IFS(
OR(F223="Selenium (Hands-on)",F223="Guest Lecture: HR Interview"),6,
OR(F223="Soft Skill",F223="Soft Skill (Examination)",F223="AWS Training",F223="AWS Session"),7,
OR(ISNUMBER(SEARCH("MAD",F223)),ISNUMBER(SEARCH("STQA",F223)),F223="CI/CD Session"),8,
OR(ISNUMBER(SEARCH("Cloud",F223)),F223="Industry Readiness Program",ISNUMBER(SEARCH("Talenlio",F223))),9,
OR(ISNUMBER(SEARCH("Innovation",F223)),F223="Mini Project"),10,
OR(ISNUMBER(SEARCH("Data Science",F223)),ISNUMBER(SEARCH("DS",F223))),11,
ISNUMBER(SEARCH("Generative AI",F223)),12
=_xlfn.IFS(
OR(F223="Selenium (Hands-on)",F223="Guest Lecture: HR Interview"),6,
OR(F223="Soft Skill",F223="Soft Skill (Examination)",F223="AWS Training",F223="AWS Session"),7,
OR(ISNUMBER(SEARCH("MAD",F223)),ISNUMBER(SEARCH("STQA",F223)),F223="CI/CD Session"),8,
OR(ISNUMBER(SEARCH("Cloud",F223)),F223="Industry Readiness Program",ISNUMBER(SEARCH("Talenlio",F223))),9,
OR(ISNUMBER(SEARCH("Innovation",F223)),F223="Mini Project"),10,
OR(ISNUMBER(SEARCH("Data Science",F223)),ISNUMBER(SEARCH("DS",F223))),11,
ISNUMBER(SEARCH("Generative AI",F223)),12
=_xlfn.IFS(
OR(F223="Selenium (Hands-on)",F223="Guest Lecture: HR Interview"),6,
OR(F223="Soft Skill",F223="Soft Skill (Examination)",F223="AWS Training",F223="AWS Session"),7,
OR(ISNUMBER(SEARCH("MAD",F223)),ISNUMBER(SEARCH("STQA",F223)),F223="CI/CD Session"),8,
OR(ISNUMBER(SEARCH("Cloud",F223)),F223="Industry Readiness Program",ISNUMBER(SEARCH("Talenlio",F223))),9,
OR(ISNUMBER(SEARCH("Innovation",F223)),F223="Mini Project"),10,
OR(ISNUMBER(SEARCH("Data Science",F223)),ISNUMBER(SEARCH("DS",F223))),11,
ISNUMBER(SEARCH("Generative AI",F223)),12
=_xlfn.IFS(
OR(F223="Selenium (Hands-on)",F223="Guest Lecture: HR Interview"),6,
OR(F223="Soft Skill",F223="Soft Skill (Examination)",F223="AWS Training",F223="AWS Session"),7,
OR(ISNUMBER(SEARCH("MAD",F223)),ISNUMBER(SEARCH("STQA",F223)),F223="CI/CD Session"),8,
OR(ISNUMBER(SEARCH("Cloud",F223)),F223="Industry Readiness Program",ISNUMBER(SEARCH("Talenlio",F223))),9,
OR(ISNUMBER(SEARCH("Innovation",F223)),F223="Mini Project"),10,
OR(ISNUMBER(SEARCH("Data Science",F223)),ISNUMBER(SEARCH("DS",F223))),11,
ISNUMBER(SEARCH("Generative AI",F223)),12
))))</f>
        <v>10</v>
      </c>
      <c r="X223" s="3">
        <v>8</v>
      </c>
      <c r="Y223" s="3">
        <v>50</v>
      </c>
      <c r="Z223" s="3" t="s">
        <v>35</v>
      </c>
    </row>
    <row r="224" spans="1:26" x14ac:dyDescent="0.3">
      <c r="A224" s="2">
        <v>46237</v>
      </c>
      <c r="B224" s="3" t="s">
        <v>26</v>
      </c>
      <c r="C224" s="3">
        <v>3</v>
      </c>
      <c r="D224" s="4">
        <v>0.45833333333333298</v>
      </c>
      <c r="E224" s="4">
        <v>0.52083333333333304</v>
      </c>
      <c r="F224" s="3" t="s">
        <v>59</v>
      </c>
      <c r="G224" s="3" t="s">
        <v>73</v>
      </c>
      <c r="H224" s="3" t="s">
        <v>29</v>
      </c>
      <c r="I224" s="3" t="s">
        <v>30</v>
      </c>
      <c r="J224" s="3" t="s">
        <v>31</v>
      </c>
      <c r="K224" s="3" t="s">
        <v>52</v>
      </c>
      <c r="L224" s="5">
        <v>103</v>
      </c>
      <c r="M224" s="5">
        <f t="shared" ca="1" si="15"/>
        <v>102</v>
      </c>
      <c r="N224" s="6">
        <f t="shared" ca="1" si="16"/>
        <v>99.029126213592235</v>
      </c>
      <c r="O224" s="3" cm="1">
        <f t="array" aca="1" ref="O224" ca="1">IFERROR(LOOKUP(2, 1/((F$1:F223=F224)*(J$1:J223=J224)*(ROW(F$1:F223)&lt;ROW(F224))), N$1:N223), "")</f>
        <v>80.582524271844662</v>
      </c>
      <c r="P224" s="3">
        <f t="shared" si="19"/>
        <v>0</v>
      </c>
      <c r="Q224" s="3" t="s">
        <v>33</v>
      </c>
      <c r="R224" s="3" t="s">
        <v>40</v>
      </c>
      <c r="S224" s="3" t="str">
        <f t="shared" si="17"/>
        <v>No</v>
      </c>
      <c r="T224" s="3" t="s">
        <v>34</v>
      </c>
      <c r="U224" s="3" t="str">
        <f t="shared" si="18"/>
        <v>Rainy</v>
      </c>
      <c r="V224" s="3" t="s">
        <v>40</v>
      </c>
      <c r="W224" s="3" cm="1">
        <f t="array" ref="W224">_xlfn.IFS(
OR(F224="Selenium (Hands-on)",F224="Guest Lecture: HR Interview"),6,
OR(F224="Soft Skill",F224="Soft Skill (Examination)",F224="AWS Training",F224="AWS Session"),7,
OR(ISNUMBER(SEARCH("MAD",F224)),ISNUMBER(SEARCH("STQA",F224)),F224="CI/CD Session"),8,
OR(ISNUMBER(SEARCH("Cloud",F224)),F224="Industry Readiness Program",ISNUMBER(SEARCH("Talenlio",F224))),9,
OR(ISNUMBER(SEARCH("Innovation",F224)),F224="Mini Project"),10,
OR(ISNUMBER(SEARCH("Data Science",F224)),ISNUMBER(SEARCH("DS",F224))),11,
ISNUMBER(SEARCH("Generative AI",F224)),12
=_xlfn.IFS(
OR(F224="Selenium (Hands-on)",F224="Guest Lecture: HR Interview"),6,
OR(F224="Soft Skill",F224="Soft Skill (Examination)",F224="AWS Training",F224="AWS Session"),7,
OR(ISNUMBER(SEARCH("MAD",F224)),ISNUMBER(SEARCH("STQA",F224)),F224="CI/CD Session"),8,
OR(ISNUMBER(SEARCH("Cloud",F224)),F224="Industry Readiness Program",ISNUMBER(SEARCH("Talenlio",F224))),9,
OR(ISNUMBER(SEARCH("Innovation",F224)),F224="Mini Project"),10,
OR(ISNUMBER(SEARCH("Data Science",F224)),ISNUMBER(SEARCH("DS",F224))),11,
ISNUMBER(SEARCH("Generative AI",F224)),12
=_xlfn.IFS(
OR(F224="Selenium (Hands-on)",F224="Guest Lecture: HR Interview"),6,
OR(F224="Soft Skill",F224="Soft Skill (Examination)",F224="AWS Training",F224="AWS Session"),7,
OR(ISNUMBER(SEARCH("MAD",F224)),ISNUMBER(SEARCH("STQA",F224)),F224="CI/CD Session"),8,
OR(ISNUMBER(SEARCH("Cloud",F224)),F224="Industry Readiness Program",ISNUMBER(SEARCH("Talenlio",F224))),9,
OR(ISNUMBER(SEARCH("Innovation",F224)),F224="Mini Project"),10,
OR(ISNUMBER(SEARCH("Data Science",F224)),ISNUMBER(SEARCH("DS",F224))),11,
ISNUMBER(SEARCH("Generative AI",F224)),12
=_xlfn.IFS(
OR(F224="Selenium (Hands-on)",F224="Guest Lecture: HR Interview"),6,
OR(F224="Soft Skill",F224="Soft Skill (Examination)",F224="AWS Training",F224="AWS Session"),7,
OR(ISNUMBER(SEARCH("MAD",F224)),ISNUMBER(SEARCH("STQA",F224)),F224="CI/CD Session"),8,
OR(ISNUMBER(SEARCH("Cloud",F224)),F224="Industry Readiness Program",ISNUMBER(SEARCH("Talenlio",F224))),9,
OR(ISNUMBER(SEARCH("Innovation",F224)),F224="Mini Project"),10,
OR(ISNUMBER(SEARCH("Data Science",F224)),ISNUMBER(SEARCH("DS",F224))),11,
ISNUMBER(SEARCH("Generative AI",F224)),12
))))</f>
        <v>11</v>
      </c>
      <c r="X224" s="3">
        <v>8</v>
      </c>
      <c r="Y224" s="3">
        <v>50</v>
      </c>
      <c r="Z224" s="3" t="s">
        <v>35</v>
      </c>
    </row>
    <row r="225" spans="1:26" x14ac:dyDescent="0.3">
      <c r="A225" s="2">
        <v>46237</v>
      </c>
      <c r="B225" s="3" t="s">
        <v>26</v>
      </c>
      <c r="C225" s="3">
        <v>4</v>
      </c>
      <c r="D225" s="4">
        <v>0.5625</v>
      </c>
      <c r="E225" s="4">
        <v>0.60416666666666696</v>
      </c>
      <c r="F225" s="3" t="s">
        <v>79</v>
      </c>
      <c r="G225" s="3"/>
      <c r="H225" s="3" t="s">
        <v>29</v>
      </c>
      <c r="I225" s="3" t="s">
        <v>30</v>
      </c>
      <c r="J225" s="3" t="s">
        <v>31</v>
      </c>
      <c r="K225" s="3" t="s">
        <v>52</v>
      </c>
      <c r="L225" s="5">
        <v>103</v>
      </c>
      <c r="M225" s="5">
        <f t="shared" ca="1" si="15"/>
        <v>73</v>
      </c>
      <c r="N225" s="6">
        <f t="shared" ca="1" si="16"/>
        <v>70.873786407766985</v>
      </c>
      <c r="O225" s="3">
        <v>45.816684799999997</v>
      </c>
      <c r="P225" s="3">
        <f t="shared" si="19"/>
        <v>1</v>
      </c>
      <c r="Q225" s="3" t="s">
        <v>43</v>
      </c>
      <c r="R225" s="3" t="s">
        <v>40</v>
      </c>
      <c r="S225" s="3" t="str">
        <f t="shared" si="17"/>
        <v>No</v>
      </c>
      <c r="T225" s="3" t="s">
        <v>34</v>
      </c>
      <c r="U225" s="3" t="str">
        <f t="shared" si="18"/>
        <v>Rainy</v>
      </c>
      <c r="V225" s="3" t="s">
        <v>40</v>
      </c>
      <c r="W225" s="3" cm="1">
        <f t="array" ref="W225">_xlfn.IFS(
OR(F225="Selenium (Hands-on)",F225="Guest Lecture: HR Interview"),6,
OR(F225="Soft Skill",F225="Soft Skill (Examination)",F225="AWS Training",F225="AWS Session"),7,
OR(ISNUMBER(SEARCH("MAD",F225)),ISNUMBER(SEARCH("STQA",F225)),F225="CI/CD Session"),8,
OR(ISNUMBER(SEARCH("Cloud",F225)),F225="Industry Readiness Program",ISNUMBER(SEARCH("Talenlio",F225))),9,
OR(ISNUMBER(SEARCH("Innovation",F225)),F225="Mini Project"),10,
OR(ISNUMBER(SEARCH("Data Science",F225)),ISNUMBER(SEARCH("DS",F225))),11,
ISNUMBER(SEARCH("Generative AI",F225)),12
=_xlfn.IFS(
OR(F225="Selenium (Hands-on)",F225="Guest Lecture: HR Interview"),6,
OR(F225="Soft Skill",F225="Soft Skill (Examination)",F225="AWS Training",F225="AWS Session"),7,
OR(ISNUMBER(SEARCH("MAD",F225)),ISNUMBER(SEARCH("STQA",F225)),F225="CI/CD Session"),8,
OR(ISNUMBER(SEARCH("Cloud",F225)),F225="Industry Readiness Program",ISNUMBER(SEARCH("Talenlio",F225))),9,
OR(ISNUMBER(SEARCH("Innovation",F225)),F225="Mini Project"),10,
OR(ISNUMBER(SEARCH("Data Science",F225)),ISNUMBER(SEARCH("DS",F225))),11,
ISNUMBER(SEARCH("Generative AI",F225)),12
=_xlfn.IFS(
OR(F225="Selenium (Hands-on)",F225="Guest Lecture: HR Interview"),6,
OR(F225="Soft Skill",F225="Soft Skill (Examination)",F225="AWS Training",F225="AWS Session"),7,
OR(ISNUMBER(SEARCH("MAD",F225)),ISNUMBER(SEARCH("STQA",F225)),F225="CI/CD Session"),8,
OR(ISNUMBER(SEARCH("Cloud",F225)),F225="Industry Readiness Program",ISNUMBER(SEARCH("Talenlio",F225))),9,
OR(ISNUMBER(SEARCH("Innovation",F225)),F225="Mini Project"),10,
OR(ISNUMBER(SEARCH("Data Science",F225)),ISNUMBER(SEARCH("DS",F225))),11,
ISNUMBER(SEARCH("Generative AI",F225)),12
=_xlfn.IFS(
OR(F225="Selenium (Hands-on)",F225="Guest Lecture: HR Interview"),6,
OR(F225="Soft Skill",F225="Soft Skill (Examination)",F225="AWS Training",F225="AWS Session"),7,
OR(ISNUMBER(SEARCH("MAD",F225)),ISNUMBER(SEARCH("STQA",F225)),F225="CI/CD Session"),8,
OR(ISNUMBER(SEARCH("Cloud",F225)),F225="Industry Readiness Program",ISNUMBER(SEARCH("Talenlio",F225))),9,
OR(ISNUMBER(SEARCH("Innovation",F225)),F225="Mini Project"),10,
OR(ISNUMBER(SEARCH("Data Science",F225)),ISNUMBER(SEARCH("DS",F225))),11,
ISNUMBER(SEARCH("Generative AI",F225)),12
))))</f>
        <v>7</v>
      </c>
      <c r="X225" s="3">
        <v>8</v>
      </c>
      <c r="Y225" s="3">
        <v>50</v>
      </c>
      <c r="Z225" s="3" t="s">
        <v>38</v>
      </c>
    </row>
    <row r="226" spans="1:26" x14ac:dyDescent="0.3">
      <c r="A226" s="2">
        <v>46237</v>
      </c>
      <c r="B226" s="3" t="s">
        <v>26</v>
      </c>
      <c r="C226" s="3">
        <v>5</v>
      </c>
      <c r="D226" s="4">
        <v>0.60416666666666696</v>
      </c>
      <c r="E226" s="4">
        <v>0.64583333333333304</v>
      </c>
      <c r="F226" s="3" t="s">
        <v>79</v>
      </c>
      <c r="G226" s="3"/>
      <c r="H226" s="3" t="s">
        <v>29</v>
      </c>
      <c r="I226" s="3" t="s">
        <v>30</v>
      </c>
      <c r="J226" s="3" t="s">
        <v>31</v>
      </c>
      <c r="K226" s="3" t="s">
        <v>52</v>
      </c>
      <c r="L226" s="5">
        <v>103</v>
      </c>
      <c r="M226" s="5">
        <f t="shared" ca="1" si="15"/>
        <v>77</v>
      </c>
      <c r="N226" s="6">
        <f t="shared" ca="1" si="16"/>
        <v>74.757281553398059</v>
      </c>
      <c r="O226" s="3" cm="1">
        <f t="array" aca="1" ref="O226" ca="1">IFERROR(LOOKUP(2, 1/((F$1:F225=F226)*(J$1:J225=J226)*(ROW(F$1:F225)&lt;ROW(F226))), N$1:N225), "")</f>
        <v>70.873786407766985</v>
      </c>
      <c r="P226" s="3">
        <f t="shared" si="19"/>
        <v>0</v>
      </c>
      <c r="Q226" s="3" t="s">
        <v>43</v>
      </c>
      <c r="R226" s="3" t="s">
        <v>40</v>
      </c>
      <c r="S226" s="3" t="str">
        <f t="shared" si="17"/>
        <v>No</v>
      </c>
      <c r="T226" s="3" t="s">
        <v>34</v>
      </c>
      <c r="U226" s="3" t="str">
        <f t="shared" si="18"/>
        <v>Rainy</v>
      </c>
      <c r="V226" s="3" t="s">
        <v>40</v>
      </c>
      <c r="W226" s="3" cm="1">
        <f t="array" ref="W226">_xlfn.IFS(
OR(F226="Selenium (Hands-on)",F226="Guest Lecture: HR Interview"),6,
OR(F226="Soft Skill",F226="Soft Skill (Examination)",F226="AWS Training",F226="AWS Session"),7,
OR(ISNUMBER(SEARCH("MAD",F226)),ISNUMBER(SEARCH("STQA",F226)),F226="CI/CD Session"),8,
OR(ISNUMBER(SEARCH("Cloud",F226)),F226="Industry Readiness Program",ISNUMBER(SEARCH("Talenlio",F226))),9,
OR(ISNUMBER(SEARCH("Innovation",F226)),F226="Mini Project"),10,
OR(ISNUMBER(SEARCH("Data Science",F226)),ISNUMBER(SEARCH("DS",F226))),11,
ISNUMBER(SEARCH("Generative AI",F226)),12
=_xlfn.IFS(
OR(F226="Selenium (Hands-on)",F226="Guest Lecture: HR Interview"),6,
OR(F226="Soft Skill",F226="Soft Skill (Examination)",F226="AWS Training",F226="AWS Session"),7,
OR(ISNUMBER(SEARCH("MAD",F226)),ISNUMBER(SEARCH("STQA",F226)),F226="CI/CD Session"),8,
OR(ISNUMBER(SEARCH("Cloud",F226)),F226="Industry Readiness Program",ISNUMBER(SEARCH("Talenlio",F226))),9,
OR(ISNUMBER(SEARCH("Innovation",F226)),F226="Mini Project"),10,
OR(ISNUMBER(SEARCH("Data Science",F226)),ISNUMBER(SEARCH("DS",F226))),11,
ISNUMBER(SEARCH("Generative AI",F226)),12
=_xlfn.IFS(
OR(F226="Selenium (Hands-on)",F226="Guest Lecture: HR Interview"),6,
OR(F226="Soft Skill",F226="Soft Skill (Examination)",F226="AWS Training",F226="AWS Session"),7,
OR(ISNUMBER(SEARCH("MAD",F226)),ISNUMBER(SEARCH("STQA",F226)),F226="CI/CD Session"),8,
OR(ISNUMBER(SEARCH("Cloud",F226)),F226="Industry Readiness Program",ISNUMBER(SEARCH("Talenlio",F226))),9,
OR(ISNUMBER(SEARCH("Innovation",F226)),F226="Mini Project"),10,
OR(ISNUMBER(SEARCH("Data Science",F226)),ISNUMBER(SEARCH("DS",F226))),11,
ISNUMBER(SEARCH("Generative AI",F226)),12
=_xlfn.IFS(
OR(F226="Selenium (Hands-on)",F226="Guest Lecture: HR Interview"),6,
OR(F226="Soft Skill",F226="Soft Skill (Examination)",F226="AWS Training",F226="AWS Session"),7,
OR(ISNUMBER(SEARCH("MAD",F226)),ISNUMBER(SEARCH("STQA",F226)),F226="CI/CD Session"),8,
OR(ISNUMBER(SEARCH("Cloud",F226)),F226="Industry Readiness Program",ISNUMBER(SEARCH("Talenlio",F226))),9,
OR(ISNUMBER(SEARCH("Innovation",F226)),F226="Mini Project"),10,
OR(ISNUMBER(SEARCH("Data Science",F226)),ISNUMBER(SEARCH("DS",F226))),11,
ISNUMBER(SEARCH("Generative AI",F226)),12
))))</f>
        <v>7</v>
      </c>
      <c r="X226" s="3">
        <v>8</v>
      </c>
      <c r="Y226" s="3">
        <v>50</v>
      </c>
      <c r="Z226" s="3" t="s">
        <v>38</v>
      </c>
    </row>
    <row r="227" spans="1:26" x14ac:dyDescent="0.3">
      <c r="A227" s="2">
        <v>46237</v>
      </c>
      <c r="B227" s="3" t="s">
        <v>26</v>
      </c>
      <c r="C227" s="3">
        <v>6</v>
      </c>
      <c r="D227" s="4">
        <v>0.64583333333333304</v>
      </c>
      <c r="E227" s="4">
        <v>0.6875</v>
      </c>
      <c r="F227" s="3" t="s">
        <v>79</v>
      </c>
      <c r="G227" s="3"/>
      <c r="H227" s="3" t="s">
        <v>29</v>
      </c>
      <c r="I227" s="3" t="s">
        <v>30</v>
      </c>
      <c r="J227" s="3" t="s">
        <v>31</v>
      </c>
      <c r="K227" s="3" t="s">
        <v>52</v>
      </c>
      <c r="L227" s="5">
        <v>103</v>
      </c>
      <c r="M227" s="5">
        <f t="shared" ca="1" si="15"/>
        <v>100</v>
      </c>
      <c r="N227" s="6">
        <f t="shared" ca="1" si="16"/>
        <v>97.087378640776706</v>
      </c>
      <c r="O227" s="3" cm="1">
        <f t="array" aca="1" ref="O227" ca="1">IFERROR(LOOKUP(2, 1/((F$1:F226=F227)*(J$1:J226=J227)*(ROW(F$1:F226)&lt;ROW(F227))), N$1:N226), "")</f>
        <v>74.757281553398059</v>
      </c>
      <c r="P227" s="3">
        <f t="shared" si="19"/>
        <v>0</v>
      </c>
      <c r="Q227" s="3" t="s">
        <v>43</v>
      </c>
      <c r="R227" s="3" t="s">
        <v>40</v>
      </c>
      <c r="S227" s="3" t="str">
        <f t="shared" si="17"/>
        <v>No</v>
      </c>
      <c r="T227" s="3" t="s">
        <v>34</v>
      </c>
      <c r="U227" s="3" t="str">
        <f t="shared" si="18"/>
        <v>Rainy</v>
      </c>
      <c r="V227" s="3" t="s">
        <v>40</v>
      </c>
      <c r="W227" s="3" cm="1">
        <f t="array" ref="W227">_xlfn.IFS(
OR(F227="Selenium (Hands-on)",F227="Guest Lecture: HR Interview"),6,
OR(F227="Soft Skill",F227="Soft Skill (Examination)",F227="AWS Training",F227="AWS Session"),7,
OR(ISNUMBER(SEARCH("MAD",F227)),ISNUMBER(SEARCH("STQA",F227)),F227="CI/CD Session"),8,
OR(ISNUMBER(SEARCH("Cloud",F227)),F227="Industry Readiness Program",ISNUMBER(SEARCH("Talenlio",F227))),9,
OR(ISNUMBER(SEARCH("Innovation",F227)),F227="Mini Project"),10,
OR(ISNUMBER(SEARCH("Data Science",F227)),ISNUMBER(SEARCH("DS",F227))),11,
ISNUMBER(SEARCH("Generative AI",F227)),12
=_xlfn.IFS(
OR(F227="Selenium (Hands-on)",F227="Guest Lecture: HR Interview"),6,
OR(F227="Soft Skill",F227="Soft Skill (Examination)",F227="AWS Training",F227="AWS Session"),7,
OR(ISNUMBER(SEARCH("MAD",F227)),ISNUMBER(SEARCH("STQA",F227)),F227="CI/CD Session"),8,
OR(ISNUMBER(SEARCH("Cloud",F227)),F227="Industry Readiness Program",ISNUMBER(SEARCH("Talenlio",F227))),9,
OR(ISNUMBER(SEARCH("Innovation",F227)),F227="Mini Project"),10,
OR(ISNUMBER(SEARCH("Data Science",F227)),ISNUMBER(SEARCH("DS",F227))),11,
ISNUMBER(SEARCH("Generative AI",F227)),12
=_xlfn.IFS(
OR(F227="Selenium (Hands-on)",F227="Guest Lecture: HR Interview"),6,
OR(F227="Soft Skill",F227="Soft Skill (Examination)",F227="AWS Training",F227="AWS Session"),7,
OR(ISNUMBER(SEARCH("MAD",F227)),ISNUMBER(SEARCH("STQA",F227)),F227="CI/CD Session"),8,
OR(ISNUMBER(SEARCH("Cloud",F227)),F227="Industry Readiness Program",ISNUMBER(SEARCH("Talenlio",F227))),9,
OR(ISNUMBER(SEARCH("Innovation",F227)),F227="Mini Project"),10,
OR(ISNUMBER(SEARCH("Data Science",F227)),ISNUMBER(SEARCH("DS",F227))),11,
ISNUMBER(SEARCH("Generative AI",F227)),12
=_xlfn.IFS(
OR(F227="Selenium (Hands-on)",F227="Guest Lecture: HR Interview"),6,
OR(F227="Soft Skill",F227="Soft Skill (Examination)",F227="AWS Training",F227="AWS Session"),7,
OR(ISNUMBER(SEARCH("MAD",F227)),ISNUMBER(SEARCH("STQA",F227)),F227="CI/CD Session"),8,
OR(ISNUMBER(SEARCH("Cloud",F227)),F227="Industry Readiness Program",ISNUMBER(SEARCH("Talenlio",F227))),9,
OR(ISNUMBER(SEARCH("Innovation",F227)),F227="Mini Project"),10,
OR(ISNUMBER(SEARCH("Data Science",F227)),ISNUMBER(SEARCH("DS",F227))),11,
ISNUMBER(SEARCH("Generative AI",F227)),12
))))</f>
        <v>7</v>
      </c>
      <c r="X227" s="3">
        <v>8</v>
      </c>
      <c r="Y227" s="3">
        <v>50</v>
      </c>
      <c r="Z227" s="3" t="s">
        <v>38</v>
      </c>
    </row>
    <row r="228" spans="1:26" x14ac:dyDescent="0.3">
      <c r="A228" s="2">
        <v>46238</v>
      </c>
      <c r="B228" s="3" t="s">
        <v>39</v>
      </c>
      <c r="C228" s="3">
        <v>1</v>
      </c>
      <c r="D228" s="4">
        <v>0.35416666666666702</v>
      </c>
      <c r="E228" s="4">
        <v>0.38541666666666702</v>
      </c>
      <c r="F228" s="3" t="s">
        <v>50</v>
      </c>
      <c r="G228" s="3" t="s">
        <v>51</v>
      </c>
      <c r="H228" s="3" t="s">
        <v>29</v>
      </c>
      <c r="I228" s="3" t="s">
        <v>30</v>
      </c>
      <c r="J228" s="3" t="s">
        <v>31</v>
      </c>
      <c r="K228" s="3" t="s">
        <v>52</v>
      </c>
      <c r="L228" s="5">
        <v>103</v>
      </c>
      <c r="M228" s="5">
        <f t="shared" ca="1" si="15"/>
        <v>94</v>
      </c>
      <c r="N228" s="6">
        <f t="shared" ca="1" si="16"/>
        <v>91.262135922330103</v>
      </c>
      <c r="O228" s="3" cm="1">
        <f t="array" aca="1" ref="O228" ca="1">IFERROR(LOOKUP(2, 1/((F$1:F227=F228)*(J$1:J227=J228)*(ROW(F$1:F227)&lt;ROW(F228))), N$1:N227), "")</f>
        <v>49.514563106796118</v>
      </c>
      <c r="P228" s="3">
        <f t="shared" si="19"/>
        <v>0</v>
      </c>
      <c r="Q228" s="3" t="s">
        <v>43</v>
      </c>
      <c r="R228" s="3" t="s">
        <v>40</v>
      </c>
      <c r="S228" s="3" t="str">
        <f t="shared" si="17"/>
        <v>No</v>
      </c>
      <c r="T228" s="3" t="s">
        <v>40</v>
      </c>
      <c r="U228" s="3" t="str">
        <f t="shared" si="18"/>
        <v>Rainy</v>
      </c>
      <c r="V228" s="3" t="s">
        <v>40</v>
      </c>
      <c r="W228" s="3" cm="1">
        <f t="array" ref="W228">_xlfn.IFS(
OR(F228="Selenium (Hands-on)",F228="Guest Lecture: HR Interview"),6,
OR(F228="Soft Skill",F228="Soft Skill (Examination)",F228="AWS Training",F228="AWS Session"),7,
OR(ISNUMBER(SEARCH("MAD",F228)),ISNUMBER(SEARCH("STQA",F228)),F228="CI/CD Session"),8,
OR(ISNUMBER(SEARCH("Cloud",F228)),F228="Industry Readiness Program",ISNUMBER(SEARCH("Talenlio",F228))),9,
OR(ISNUMBER(SEARCH("Innovation",F228)),F228="Mini Project"),10,
OR(ISNUMBER(SEARCH("Data Science",F228)),ISNUMBER(SEARCH("DS",F228))),11,
ISNUMBER(SEARCH("Generative AI",F228)),12
=_xlfn.IFS(
OR(F228="Selenium (Hands-on)",F228="Guest Lecture: HR Interview"),6,
OR(F228="Soft Skill",F228="Soft Skill (Examination)",F228="AWS Training",F228="AWS Session"),7,
OR(ISNUMBER(SEARCH("MAD",F228)),ISNUMBER(SEARCH("STQA",F228)),F228="CI/CD Session"),8,
OR(ISNUMBER(SEARCH("Cloud",F228)),F228="Industry Readiness Program",ISNUMBER(SEARCH("Talenlio",F228))),9,
OR(ISNUMBER(SEARCH("Innovation",F228)),F228="Mini Project"),10,
OR(ISNUMBER(SEARCH("Data Science",F228)),ISNUMBER(SEARCH("DS",F228))),11,
ISNUMBER(SEARCH("Generative AI",F228)),12
=_xlfn.IFS(
OR(F228="Selenium (Hands-on)",F228="Guest Lecture: HR Interview"),6,
OR(F228="Soft Skill",F228="Soft Skill (Examination)",F228="AWS Training",F228="AWS Session"),7,
OR(ISNUMBER(SEARCH("MAD",F228)),ISNUMBER(SEARCH("STQA",F228)),F228="CI/CD Session"),8,
OR(ISNUMBER(SEARCH("Cloud",F228)),F228="Industry Readiness Program",ISNUMBER(SEARCH("Talenlio",F228))),9,
OR(ISNUMBER(SEARCH("Innovation",F228)),F228="Mini Project"),10,
OR(ISNUMBER(SEARCH("Data Science",F228)),ISNUMBER(SEARCH("DS",F228))),11,
ISNUMBER(SEARCH("Generative AI",F228)),12
=_xlfn.IFS(
OR(F228="Selenium (Hands-on)",F228="Guest Lecture: HR Interview"),6,
OR(F228="Soft Skill",F228="Soft Skill (Examination)",F228="AWS Training",F228="AWS Session"),7,
OR(ISNUMBER(SEARCH("MAD",F228)),ISNUMBER(SEARCH("STQA",F228)),F228="CI/CD Session"),8,
OR(ISNUMBER(SEARCH("Cloud",F228)),F228="Industry Readiness Program",ISNUMBER(SEARCH("Talenlio",F228))),9,
OR(ISNUMBER(SEARCH("Innovation",F228)),F228="Mini Project"),10,
OR(ISNUMBER(SEARCH("Data Science",F228)),ISNUMBER(SEARCH("DS",F228))),11,
ISNUMBER(SEARCH("Generative AI",F228)),12
))))</f>
        <v>8</v>
      </c>
      <c r="X228" s="3">
        <v>8</v>
      </c>
      <c r="Y228" s="3">
        <v>51</v>
      </c>
      <c r="Z228" s="3" t="s">
        <v>35</v>
      </c>
    </row>
    <row r="229" spans="1:26" x14ac:dyDescent="0.3">
      <c r="A229" s="2">
        <v>46238</v>
      </c>
      <c r="B229" s="3" t="s">
        <v>39</v>
      </c>
      <c r="C229" s="3">
        <v>2</v>
      </c>
      <c r="D229" s="4">
        <v>0.38541666666666702</v>
      </c>
      <c r="E229" s="4">
        <v>0.42708333333333298</v>
      </c>
      <c r="F229" s="3" t="s">
        <v>50</v>
      </c>
      <c r="G229" s="3" t="s">
        <v>51</v>
      </c>
      <c r="H229" s="3" t="s">
        <v>29</v>
      </c>
      <c r="I229" s="3" t="s">
        <v>30</v>
      </c>
      <c r="J229" s="3" t="s">
        <v>31</v>
      </c>
      <c r="K229" s="3" t="s">
        <v>52</v>
      </c>
      <c r="L229" s="5">
        <v>103</v>
      </c>
      <c r="M229" s="5">
        <f t="shared" ca="1" si="15"/>
        <v>45</v>
      </c>
      <c r="N229" s="6">
        <f t="shared" ca="1" si="16"/>
        <v>43.689320388349515</v>
      </c>
      <c r="O229" s="3" cm="1">
        <f t="array" aca="1" ref="O229" ca="1">IFERROR(LOOKUP(2, 1/((F$1:F228=F229)*(J$1:J228=J229)*(ROW(F$1:F228)&lt;ROW(F229))), N$1:N228), "")</f>
        <v>91.262135922330103</v>
      </c>
      <c r="P229" s="3">
        <f t="shared" si="19"/>
        <v>0</v>
      </c>
      <c r="Q229" s="3" t="s">
        <v>43</v>
      </c>
      <c r="R229" s="3" t="s">
        <v>40</v>
      </c>
      <c r="S229" s="3" t="str">
        <f t="shared" si="17"/>
        <v>No</v>
      </c>
      <c r="T229" s="3" t="s">
        <v>40</v>
      </c>
      <c r="U229" s="3" t="str">
        <f t="shared" si="18"/>
        <v>Rainy</v>
      </c>
      <c r="V229" s="3" t="s">
        <v>40</v>
      </c>
      <c r="W229" s="3" cm="1">
        <f t="array" ref="W229">_xlfn.IFS(
OR(F229="Selenium (Hands-on)",F229="Guest Lecture: HR Interview"),6,
OR(F229="Soft Skill",F229="Soft Skill (Examination)",F229="AWS Training",F229="AWS Session"),7,
OR(ISNUMBER(SEARCH("MAD",F229)),ISNUMBER(SEARCH("STQA",F229)),F229="CI/CD Session"),8,
OR(ISNUMBER(SEARCH("Cloud",F229)),F229="Industry Readiness Program",ISNUMBER(SEARCH("Talenlio",F229))),9,
OR(ISNUMBER(SEARCH("Innovation",F229)),F229="Mini Project"),10,
OR(ISNUMBER(SEARCH("Data Science",F229)),ISNUMBER(SEARCH("DS",F229))),11,
ISNUMBER(SEARCH("Generative AI",F229)),12
=_xlfn.IFS(
OR(F229="Selenium (Hands-on)",F229="Guest Lecture: HR Interview"),6,
OR(F229="Soft Skill",F229="Soft Skill (Examination)",F229="AWS Training",F229="AWS Session"),7,
OR(ISNUMBER(SEARCH("MAD",F229)),ISNUMBER(SEARCH("STQA",F229)),F229="CI/CD Session"),8,
OR(ISNUMBER(SEARCH("Cloud",F229)),F229="Industry Readiness Program",ISNUMBER(SEARCH("Talenlio",F229))),9,
OR(ISNUMBER(SEARCH("Innovation",F229)),F229="Mini Project"),10,
OR(ISNUMBER(SEARCH("Data Science",F229)),ISNUMBER(SEARCH("DS",F229))),11,
ISNUMBER(SEARCH("Generative AI",F229)),12
=_xlfn.IFS(
OR(F229="Selenium (Hands-on)",F229="Guest Lecture: HR Interview"),6,
OR(F229="Soft Skill",F229="Soft Skill (Examination)",F229="AWS Training",F229="AWS Session"),7,
OR(ISNUMBER(SEARCH("MAD",F229)),ISNUMBER(SEARCH("STQA",F229)),F229="CI/CD Session"),8,
OR(ISNUMBER(SEARCH("Cloud",F229)),F229="Industry Readiness Program",ISNUMBER(SEARCH("Talenlio",F229))),9,
OR(ISNUMBER(SEARCH("Innovation",F229)),F229="Mini Project"),10,
OR(ISNUMBER(SEARCH("Data Science",F229)),ISNUMBER(SEARCH("DS",F229))),11,
ISNUMBER(SEARCH("Generative AI",F229)),12
=_xlfn.IFS(
OR(F229="Selenium (Hands-on)",F229="Guest Lecture: HR Interview"),6,
OR(F229="Soft Skill",F229="Soft Skill (Examination)",F229="AWS Training",F229="AWS Session"),7,
OR(ISNUMBER(SEARCH("MAD",F229)),ISNUMBER(SEARCH("STQA",F229)),F229="CI/CD Session"),8,
OR(ISNUMBER(SEARCH("Cloud",F229)),F229="Industry Readiness Program",ISNUMBER(SEARCH("Talenlio",F229))),9,
OR(ISNUMBER(SEARCH("Innovation",F229)),F229="Mini Project"),10,
OR(ISNUMBER(SEARCH("Data Science",F229)),ISNUMBER(SEARCH("DS",F229))),11,
ISNUMBER(SEARCH("Generative AI",F229)),12
))))</f>
        <v>8</v>
      </c>
      <c r="X229" s="3">
        <v>8</v>
      </c>
      <c r="Y229" s="3">
        <v>51</v>
      </c>
      <c r="Z229" s="3" t="s">
        <v>35</v>
      </c>
    </row>
    <row r="230" spans="1:26" x14ac:dyDescent="0.3">
      <c r="A230" s="2">
        <v>46238</v>
      </c>
      <c r="B230" s="3" t="s">
        <v>39</v>
      </c>
      <c r="C230" s="3">
        <v>3</v>
      </c>
      <c r="D230" s="4">
        <v>0.42708333333333298</v>
      </c>
      <c r="E230" s="4">
        <v>0.46875</v>
      </c>
      <c r="F230" s="3" t="s">
        <v>57</v>
      </c>
      <c r="G230" s="3" t="s">
        <v>71</v>
      </c>
      <c r="H230" s="3" t="s">
        <v>29</v>
      </c>
      <c r="I230" s="3" t="s">
        <v>30</v>
      </c>
      <c r="J230" s="3" t="s">
        <v>31</v>
      </c>
      <c r="K230" s="3" t="s">
        <v>52</v>
      </c>
      <c r="L230" s="5">
        <v>103</v>
      </c>
      <c r="M230" s="5">
        <f t="shared" ca="1" si="15"/>
        <v>72</v>
      </c>
      <c r="N230" s="6">
        <f t="shared" ca="1" si="16"/>
        <v>69.902912621359221</v>
      </c>
      <c r="O230" s="3" cm="1">
        <f t="array" aca="1" ref="O230" ca="1">IFERROR(LOOKUP(2, 1/((F$1:F229=F230)*(J$1:J229=J230)*(ROW(F$1:F229)&lt;ROW(F230))), N$1:N229), "")</f>
        <v>78.640776699029118</v>
      </c>
      <c r="P230" s="3">
        <f t="shared" si="19"/>
        <v>0</v>
      </c>
      <c r="Q230" s="3" t="s">
        <v>33</v>
      </c>
      <c r="R230" s="3" t="s">
        <v>40</v>
      </c>
      <c r="S230" s="3" t="str">
        <f t="shared" si="17"/>
        <v>No</v>
      </c>
      <c r="T230" s="3" t="s">
        <v>40</v>
      </c>
      <c r="U230" s="3" t="str">
        <f t="shared" si="18"/>
        <v>Rainy</v>
      </c>
      <c r="V230" s="3" t="s">
        <v>40</v>
      </c>
      <c r="W230" s="3" cm="1">
        <f t="array" ref="W230">_xlfn.IFS(
OR(F230="Selenium (Hands-on)",F230="Guest Lecture: HR Interview"),6,
OR(F230="Soft Skill",F230="Soft Skill (Examination)",F230="AWS Training",F230="AWS Session"),7,
OR(ISNUMBER(SEARCH("MAD",F230)),ISNUMBER(SEARCH("STQA",F230)),F230="CI/CD Session"),8,
OR(ISNUMBER(SEARCH("Cloud",F230)),F230="Industry Readiness Program",ISNUMBER(SEARCH("Talenlio",F230))),9,
OR(ISNUMBER(SEARCH("Innovation",F230)),F230="Mini Project"),10,
OR(ISNUMBER(SEARCH("Data Science",F230)),ISNUMBER(SEARCH("DS",F230))),11,
ISNUMBER(SEARCH("Generative AI",F230)),12
=_xlfn.IFS(
OR(F230="Selenium (Hands-on)",F230="Guest Lecture: HR Interview"),6,
OR(F230="Soft Skill",F230="Soft Skill (Examination)",F230="AWS Training",F230="AWS Session"),7,
OR(ISNUMBER(SEARCH("MAD",F230)),ISNUMBER(SEARCH("STQA",F230)),F230="CI/CD Session"),8,
OR(ISNUMBER(SEARCH("Cloud",F230)),F230="Industry Readiness Program",ISNUMBER(SEARCH("Talenlio",F230))),9,
OR(ISNUMBER(SEARCH("Innovation",F230)),F230="Mini Project"),10,
OR(ISNUMBER(SEARCH("Data Science",F230)),ISNUMBER(SEARCH("DS",F230))),11,
ISNUMBER(SEARCH("Generative AI",F230)),12
=_xlfn.IFS(
OR(F230="Selenium (Hands-on)",F230="Guest Lecture: HR Interview"),6,
OR(F230="Soft Skill",F230="Soft Skill (Examination)",F230="AWS Training",F230="AWS Session"),7,
OR(ISNUMBER(SEARCH("MAD",F230)),ISNUMBER(SEARCH("STQA",F230)),F230="CI/CD Session"),8,
OR(ISNUMBER(SEARCH("Cloud",F230)),F230="Industry Readiness Program",ISNUMBER(SEARCH("Talenlio",F230))),9,
OR(ISNUMBER(SEARCH("Innovation",F230)),F230="Mini Project"),10,
OR(ISNUMBER(SEARCH("Data Science",F230)),ISNUMBER(SEARCH("DS",F230))),11,
ISNUMBER(SEARCH("Generative AI",F230)),12
=_xlfn.IFS(
OR(F230="Selenium (Hands-on)",F230="Guest Lecture: HR Interview"),6,
OR(F230="Soft Skill",F230="Soft Skill (Examination)",F230="AWS Training",F230="AWS Session"),7,
OR(ISNUMBER(SEARCH("MAD",F230)),ISNUMBER(SEARCH("STQA",F230)),F230="CI/CD Session"),8,
OR(ISNUMBER(SEARCH("Cloud",F230)),F230="Industry Readiness Program",ISNUMBER(SEARCH("Talenlio",F230))),9,
OR(ISNUMBER(SEARCH("Innovation",F230)),F230="Mini Project"),10,
OR(ISNUMBER(SEARCH("Data Science",F230)),ISNUMBER(SEARCH("DS",F230))),11,
ISNUMBER(SEARCH("Generative AI",F230)),12
))))</f>
        <v>9</v>
      </c>
      <c r="X230" s="3">
        <v>8</v>
      </c>
      <c r="Y230" s="3">
        <v>51</v>
      </c>
      <c r="Z230" s="3" t="s">
        <v>35</v>
      </c>
    </row>
    <row r="231" spans="1:26" x14ac:dyDescent="0.3">
      <c r="A231" s="2">
        <v>46238</v>
      </c>
      <c r="B231" s="3" t="s">
        <v>39</v>
      </c>
      <c r="C231" s="3">
        <v>4</v>
      </c>
      <c r="D231" s="4">
        <v>0.46875</v>
      </c>
      <c r="E231" s="4">
        <v>0.51041666666666696</v>
      </c>
      <c r="F231" s="3" t="s">
        <v>59</v>
      </c>
      <c r="G231" s="3" t="s">
        <v>73</v>
      </c>
      <c r="H231" s="3" t="s">
        <v>29</v>
      </c>
      <c r="I231" s="3" t="s">
        <v>30</v>
      </c>
      <c r="J231" s="3" t="s">
        <v>31</v>
      </c>
      <c r="K231" s="3" t="s">
        <v>52</v>
      </c>
      <c r="L231" s="5">
        <v>103</v>
      </c>
      <c r="M231" s="5">
        <f t="shared" ca="1" si="15"/>
        <v>89</v>
      </c>
      <c r="N231" s="6">
        <f t="shared" ca="1" si="16"/>
        <v>86.40776699029125</v>
      </c>
      <c r="O231" s="3" cm="1">
        <f t="array" aca="1" ref="O231" ca="1">IFERROR(LOOKUP(2, 1/((F$1:F230=F231)*(J$1:J230=J231)*(ROW(F$1:F230)&lt;ROW(F231))), N$1:N230), "")</f>
        <v>99.029126213592235</v>
      </c>
      <c r="P231" s="3">
        <f t="shared" si="19"/>
        <v>0</v>
      </c>
      <c r="Q231" s="3" t="s">
        <v>33</v>
      </c>
      <c r="R231" s="3" t="s">
        <v>40</v>
      </c>
      <c r="S231" s="3" t="str">
        <f t="shared" si="17"/>
        <v>No</v>
      </c>
      <c r="T231" s="3" t="s">
        <v>40</v>
      </c>
      <c r="U231" s="3" t="str">
        <f t="shared" si="18"/>
        <v>Rainy</v>
      </c>
      <c r="V231" s="3" t="s">
        <v>40</v>
      </c>
      <c r="W231" s="3" cm="1">
        <f t="array" ref="W231">_xlfn.IFS(
OR(F231="Selenium (Hands-on)",F231="Guest Lecture: HR Interview"),6,
OR(F231="Soft Skill",F231="Soft Skill (Examination)",F231="AWS Training",F231="AWS Session"),7,
OR(ISNUMBER(SEARCH("MAD",F231)),ISNUMBER(SEARCH("STQA",F231)),F231="CI/CD Session"),8,
OR(ISNUMBER(SEARCH("Cloud",F231)),F231="Industry Readiness Program",ISNUMBER(SEARCH("Talenlio",F231))),9,
OR(ISNUMBER(SEARCH("Innovation",F231)),F231="Mini Project"),10,
OR(ISNUMBER(SEARCH("Data Science",F231)),ISNUMBER(SEARCH("DS",F231))),11,
ISNUMBER(SEARCH("Generative AI",F231)),12
=_xlfn.IFS(
OR(F231="Selenium (Hands-on)",F231="Guest Lecture: HR Interview"),6,
OR(F231="Soft Skill",F231="Soft Skill (Examination)",F231="AWS Training",F231="AWS Session"),7,
OR(ISNUMBER(SEARCH("MAD",F231)),ISNUMBER(SEARCH("STQA",F231)),F231="CI/CD Session"),8,
OR(ISNUMBER(SEARCH("Cloud",F231)),F231="Industry Readiness Program",ISNUMBER(SEARCH("Talenlio",F231))),9,
OR(ISNUMBER(SEARCH("Innovation",F231)),F231="Mini Project"),10,
OR(ISNUMBER(SEARCH("Data Science",F231)),ISNUMBER(SEARCH("DS",F231))),11,
ISNUMBER(SEARCH("Generative AI",F231)),12
=_xlfn.IFS(
OR(F231="Selenium (Hands-on)",F231="Guest Lecture: HR Interview"),6,
OR(F231="Soft Skill",F231="Soft Skill (Examination)",F231="AWS Training",F231="AWS Session"),7,
OR(ISNUMBER(SEARCH("MAD",F231)),ISNUMBER(SEARCH("STQA",F231)),F231="CI/CD Session"),8,
OR(ISNUMBER(SEARCH("Cloud",F231)),F231="Industry Readiness Program",ISNUMBER(SEARCH("Talenlio",F231))),9,
OR(ISNUMBER(SEARCH("Innovation",F231)),F231="Mini Project"),10,
OR(ISNUMBER(SEARCH("Data Science",F231)),ISNUMBER(SEARCH("DS",F231))),11,
ISNUMBER(SEARCH("Generative AI",F231)),12
=_xlfn.IFS(
OR(F231="Selenium (Hands-on)",F231="Guest Lecture: HR Interview"),6,
OR(F231="Soft Skill",F231="Soft Skill (Examination)",F231="AWS Training",F231="AWS Session"),7,
OR(ISNUMBER(SEARCH("MAD",F231)),ISNUMBER(SEARCH("STQA",F231)),F231="CI/CD Session"),8,
OR(ISNUMBER(SEARCH("Cloud",F231)),F231="Industry Readiness Program",ISNUMBER(SEARCH("Talenlio",F231))),9,
OR(ISNUMBER(SEARCH("Innovation",F231)),F231="Mini Project"),10,
OR(ISNUMBER(SEARCH("Data Science",F231)),ISNUMBER(SEARCH("DS",F231))),11,
ISNUMBER(SEARCH("Generative AI",F231)),12
))))</f>
        <v>11</v>
      </c>
      <c r="X231" s="3">
        <v>8</v>
      </c>
      <c r="Y231" s="3">
        <v>51</v>
      </c>
      <c r="Z231" s="3" t="s">
        <v>35</v>
      </c>
    </row>
    <row r="232" spans="1:26" x14ac:dyDescent="0.3">
      <c r="A232" s="2">
        <v>46238</v>
      </c>
      <c r="B232" s="3" t="s">
        <v>39</v>
      </c>
      <c r="C232" s="3">
        <v>5</v>
      </c>
      <c r="D232" s="4">
        <v>0.5625</v>
      </c>
      <c r="E232" s="4">
        <v>0.60416666666666696</v>
      </c>
      <c r="F232" s="3" t="s">
        <v>61</v>
      </c>
      <c r="G232" s="3" t="s">
        <v>73</v>
      </c>
      <c r="H232" s="3" t="s">
        <v>29</v>
      </c>
      <c r="I232" s="3" t="s">
        <v>30</v>
      </c>
      <c r="J232" s="3" t="s">
        <v>31</v>
      </c>
      <c r="K232" s="3" t="s">
        <v>52</v>
      </c>
      <c r="L232" s="5">
        <v>103</v>
      </c>
      <c r="M232" s="5">
        <f t="shared" ca="1" si="15"/>
        <v>58</v>
      </c>
      <c r="N232" s="6">
        <f t="shared" ca="1" si="16"/>
        <v>56.310679611650485</v>
      </c>
      <c r="O232" s="3" cm="1">
        <f t="array" aca="1" ref="O232" ca="1">IFERROR(LOOKUP(2, 1/((F$1:F231=F232)*(J$1:J231=J232)*(ROW(F$1:F231)&lt;ROW(F232))), N$1:N231), "")</f>
        <v>87.378640776699029</v>
      </c>
      <c r="P232" s="3">
        <f t="shared" si="19"/>
        <v>1.25</v>
      </c>
      <c r="Q232" s="3" t="s">
        <v>43</v>
      </c>
      <c r="R232" s="3" t="s">
        <v>40</v>
      </c>
      <c r="S232" s="3" t="str">
        <f t="shared" si="17"/>
        <v>No</v>
      </c>
      <c r="T232" s="3" t="s">
        <v>40</v>
      </c>
      <c r="U232" s="3" t="str">
        <f t="shared" si="18"/>
        <v>Rainy</v>
      </c>
      <c r="V232" s="3" t="s">
        <v>40</v>
      </c>
      <c r="W232" s="3" cm="1">
        <f t="array" ref="W232">_xlfn.IFS(
OR(F232="Selenium (Hands-on)",F232="Guest Lecture: HR Interview"),6,
OR(F232="Soft Skill",F232="Soft Skill (Examination)",F232="AWS Training",F232="AWS Session"),7,
OR(ISNUMBER(SEARCH("MAD",F232)),ISNUMBER(SEARCH("STQA",F232)),F232="CI/CD Session"),8,
OR(ISNUMBER(SEARCH("Cloud",F232)),F232="Industry Readiness Program",ISNUMBER(SEARCH("Talenlio",F232))),9,
OR(ISNUMBER(SEARCH("Innovation",F232)),F232="Mini Project"),10,
OR(ISNUMBER(SEARCH("Data Science",F232)),ISNUMBER(SEARCH("DS",F232))),11,
ISNUMBER(SEARCH("Generative AI",F232)),12
=_xlfn.IFS(
OR(F232="Selenium (Hands-on)",F232="Guest Lecture: HR Interview"),6,
OR(F232="Soft Skill",F232="Soft Skill (Examination)",F232="AWS Training",F232="AWS Session"),7,
OR(ISNUMBER(SEARCH("MAD",F232)),ISNUMBER(SEARCH("STQA",F232)),F232="CI/CD Session"),8,
OR(ISNUMBER(SEARCH("Cloud",F232)),F232="Industry Readiness Program",ISNUMBER(SEARCH("Talenlio",F232))),9,
OR(ISNUMBER(SEARCH("Innovation",F232)),F232="Mini Project"),10,
OR(ISNUMBER(SEARCH("Data Science",F232)),ISNUMBER(SEARCH("DS",F232))),11,
ISNUMBER(SEARCH("Generative AI",F232)),12
=_xlfn.IFS(
OR(F232="Selenium (Hands-on)",F232="Guest Lecture: HR Interview"),6,
OR(F232="Soft Skill",F232="Soft Skill (Examination)",F232="AWS Training",F232="AWS Session"),7,
OR(ISNUMBER(SEARCH("MAD",F232)),ISNUMBER(SEARCH("STQA",F232)),F232="CI/CD Session"),8,
OR(ISNUMBER(SEARCH("Cloud",F232)),F232="Industry Readiness Program",ISNUMBER(SEARCH("Talenlio",F232))),9,
OR(ISNUMBER(SEARCH("Innovation",F232)),F232="Mini Project"),10,
OR(ISNUMBER(SEARCH("Data Science",F232)),ISNUMBER(SEARCH("DS",F232))),11,
ISNUMBER(SEARCH("Generative AI",F232)),12
=_xlfn.IFS(
OR(F232="Selenium (Hands-on)",F232="Guest Lecture: HR Interview"),6,
OR(F232="Soft Skill",F232="Soft Skill (Examination)",F232="AWS Training",F232="AWS Session"),7,
OR(ISNUMBER(SEARCH("MAD",F232)),ISNUMBER(SEARCH("STQA",F232)),F232="CI/CD Session"),8,
OR(ISNUMBER(SEARCH("Cloud",F232)),F232="Industry Readiness Program",ISNUMBER(SEARCH("Talenlio",F232))),9,
OR(ISNUMBER(SEARCH("Innovation",F232)),F232="Mini Project"),10,
OR(ISNUMBER(SEARCH("Data Science",F232)),ISNUMBER(SEARCH("DS",F232))),11,
ISNUMBER(SEARCH("Generative AI",F232)),12
))))</f>
        <v>11</v>
      </c>
      <c r="X232" s="3">
        <v>8</v>
      </c>
      <c r="Y232" s="3">
        <v>51</v>
      </c>
      <c r="Z232" s="3" t="s">
        <v>38</v>
      </c>
    </row>
    <row r="233" spans="1:26" x14ac:dyDescent="0.3">
      <c r="A233" s="2">
        <v>46238</v>
      </c>
      <c r="B233" s="3" t="s">
        <v>39</v>
      </c>
      <c r="C233" s="3">
        <v>6</v>
      </c>
      <c r="D233" s="4">
        <v>0.60416666666666696</v>
      </c>
      <c r="E233" s="4">
        <v>0.64583333333333304</v>
      </c>
      <c r="F233" s="3" t="s">
        <v>61</v>
      </c>
      <c r="G233" s="3" t="s">
        <v>73</v>
      </c>
      <c r="H233" s="3" t="s">
        <v>29</v>
      </c>
      <c r="I233" s="3" t="s">
        <v>30</v>
      </c>
      <c r="J233" s="3" t="s">
        <v>31</v>
      </c>
      <c r="K233" s="3" t="s">
        <v>52</v>
      </c>
      <c r="L233" s="5">
        <v>103</v>
      </c>
      <c r="M233" s="5">
        <f t="shared" ca="1" si="15"/>
        <v>72</v>
      </c>
      <c r="N233" s="6">
        <f t="shared" ca="1" si="16"/>
        <v>69.902912621359221</v>
      </c>
      <c r="O233" s="3" cm="1">
        <f t="array" aca="1" ref="O233" ca="1">IFERROR(LOOKUP(2, 1/((F$1:F232=F233)*(J$1:J232=J233)*(ROW(F$1:F232)&lt;ROW(F233))), N$1:N232), "")</f>
        <v>56.310679611650485</v>
      </c>
      <c r="P233" s="3">
        <f t="shared" si="19"/>
        <v>0</v>
      </c>
      <c r="Q233" s="3" t="s">
        <v>43</v>
      </c>
      <c r="R233" s="3" t="s">
        <v>40</v>
      </c>
      <c r="S233" s="3" t="str">
        <f t="shared" si="17"/>
        <v>No</v>
      </c>
      <c r="T233" s="3" t="s">
        <v>40</v>
      </c>
      <c r="U233" s="3" t="str">
        <f t="shared" si="18"/>
        <v>Rainy</v>
      </c>
      <c r="V233" s="3" t="s">
        <v>40</v>
      </c>
      <c r="W233" s="3" cm="1">
        <f t="array" ref="W233">_xlfn.IFS(
OR(F233="Selenium (Hands-on)",F233="Guest Lecture: HR Interview"),6,
OR(F233="Soft Skill",F233="Soft Skill (Examination)",F233="AWS Training",F233="AWS Session"),7,
OR(ISNUMBER(SEARCH("MAD",F233)),ISNUMBER(SEARCH("STQA",F233)),F233="CI/CD Session"),8,
OR(ISNUMBER(SEARCH("Cloud",F233)),F233="Industry Readiness Program",ISNUMBER(SEARCH("Talenlio",F233))),9,
OR(ISNUMBER(SEARCH("Innovation",F233)),F233="Mini Project"),10,
OR(ISNUMBER(SEARCH("Data Science",F233)),ISNUMBER(SEARCH("DS",F233))),11,
ISNUMBER(SEARCH("Generative AI",F233)),12
=_xlfn.IFS(
OR(F233="Selenium (Hands-on)",F233="Guest Lecture: HR Interview"),6,
OR(F233="Soft Skill",F233="Soft Skill (Examination)",F233="AWS Training",F233="AWS Session"),7,
OR(ISNUMBER(SEARCH("MAD",F233)),ISNUMBER(SEARCH("STQA",F233)),F233="CI/CD Session"),8,
OR(ISNUMBER(SEARCH("Cloud",F233)),F233="Industry Readiness Program",ISNUMBER(SEARCH("Talenlio",F233))),9,
OR(ISNUMBER(SEARCH("Innovation",F233)),F233="Mini Project"),10,
OR(ISNUMBER(SEARCH("Data Science",F233)),ISNUMBER(SEARCH("DS",F233))),11,
ISNUMBER(SEARCH("Generative AI",F233)),12
=_xlfn.IFS(
OR(F233="Selenium (Hands-on)",F233="Guest Lecture: HR Interview"),6,
OR(F233="Soft Skill",F233="Soft Skill (Examination)",F233="AWS Training",F233="AWS Session"),7,
OR(ISNUMBER(SEARCH("MAD",F233)),ISNUMBER(SEARCH("STQA",F233)),F233="CI/CD Session"),8,
OR(ISNUMBER(SEARCH("Cloud",F233)),F233="Industry Readiness Program",ISNUMBER(SEARCH("Talenlio",F233))),9,
OR(ISNUMBER(SEARCH("Innovation",F233)),F233="Mini Project"),10,
OR(ISNUMBER(SEARCH("Data Science",F233)),ISNUMBER(SEARCH("DS",F233))),11,
ISNUMBER(SEARCH("Generative AI",F233)),12
=_xlfn.IFS(
OR(F233="Selenium (Hands-on)",F233="Guest Lecture: HR Interview"),6,
OR(F233="Soft Skill",F233="Soft Skill (Examination)",F233="AWS Training",F233="AWS Session"),7,
OR(ISNUMBER(SEARCH("MAD",F233)),ISNUMBER(SEARCH("STQA",F233)),F233="CI/CD Session"),8,
OR(ISNUMBER(SEARCH("Cloud",F233)),F233="Industry Readiness Program",ISNUMBER(SEARCH("Talenlio",F233))),9,
OR(ISNUMBER(SEARCH("Innovation",F233)),F233="Mini Project"),10,
OR(ISNUMBER(SEARCH("Data Science",F233)),ISNUMBER(SEARCH("DS",F233))),11,
ISNUMBER(SEARCH("Generative AI",F233)),12
))))</f>
        <v>11</v>
      </c>
      <c r="X233" s="3">
        <v>8</v>
      </c>
      <c r="Y233" s="3">
        <v>51</v>
      </c>
      <c r="Z233" s="3" t="s">
        <v>38</v>
      </c>
    </row>
    <row r="234" spans="1:26" x14ac:dyDescent="0.3">
      <c r="A234" s="2">
        <v>46239</v>
      </c>
      <c r="B234" s="3" t="s">
        <v>44</v>
      </c>
      <c r="C234" s="3">
        <v>1</v>
      </c>
      <c r="D234" s="4">
        <v>0.375</v>
      </c>
      <c r="E234" s="4">
        <v>0.41666666666666702</v>
      </c>
      <c r="F234" s="3" t="s">
        <v>74</v>
      </c>
      <c r="G234" s="3" t="s">
        <v>75</v>
      </c>
      <c r="H234" s="3" t="s">
        <v>29</v>
      </c>
      <c r="I234" s="3" t="s">
        <v>30</v>
      </c>
      <c r="J234" s="3" t="s">
        <v>31</v>
      </c>
      <c r="K234" s="3" t="s">
        <v>76</v>
      </c>
      <c r="L234" s="5">
        <v>103</v>
      </c>
      <c r="M234" s="5">
        <f t="shared" ca="1" si="15"/>
        <v>55</v>
      </c>
      <c r="N234" s="6">
        <f t="shared" ca="1" si="16"/>
        <v>53.398058252427184</v>
      </c>
      <c r="O234" s="3" cm="1">
        <f t="array" aca="1" ref="O234" ca="1">IFERROR(LOOKUP(2, 1/((F$1:F233=F234)*(J$1:J233=J234)*(ROW(F$1:F233)&lt;ROW(F234))), N$1:N233), "")</f>
        <v>99.029126213592235</v>
      </c>
      <c r="P234" s="3">
        <f t="shared" si="19"/>
        <v>0</v>
      </c>
      <c r="Q234" s="3" t="s">
        <v>43</v>
      </c>
      <c r="R234" s="3" t="s">
        <v>40</v>
      </c>
      <c r="S234" s="3" t="str">
        <f t="shared" si="17"/>
        <v>Yes</v>
      </c>
      <c r="T234" s="3" t="s">
        <v>40</v>
      </c>
      <c r="U234" s="3" t="str">
        <f t="shared" si="18"/>
        <v>Rainy</v>
      </c>
      <c r="V234" s="3" t="s">
        <v>40</v>
      </c>
      <c r="W234" s="3" cm="1">
        <f t="array" ref="W234">_xlfn.IFS(
OR(F234="Selenium (Hands-on)",F234="Guest Lecture: HR Interview"),6,
OR(F234="Soft Skill",F234="Soft Skill (Examination)",F234="AWS Training",F234="AWS Session"),7,
OR(ISNUMBER(SEARCH("MAD",F234)),ISNUMBER(SEARCH("STQA",F234)),F234="CI/CD Session"),8,
OR(ISNUMBER(SEARCH("Cloud",F234)),F234="Industry Readiness Program",ISNUMBER(SEARCH("Talenlio",F234))),9,
OR(ISNUMBER(SEARCH("Innovation",F234)),F234="Mini Project"),10,
OR(ISNUMBER(SEARCH("Data Science",F234)),ISNUMBER(SEARCH("DS",F234))),11,
ISNUMBER(SEARCH("Generative AI",F234)),12
=_xlfn.IFS(
OR(F234="Selenium (Hands-on)",F234="Guest Lecture: HR Interview"),6,
OR(F234="Soft Skill",F234="Soft Skill (Examination)",F234="AWS Training",F234="AWS Session"),7,
OR(ISNUMBER(SEARCH("MAD",F234)),ISNUMBER(SEARCH("STQA",F234)),F234="CI/CD Session"),8,
OR(ISNUMBER(SEARCH("Cloud",F234)),F234="Industry Readiness Program",ISNUMBER(SEARCH("Talenlio",F234))),9,
OR(ISNUMBER(SEARCH("Innovation",F234)),F234="Mini Project"),10,
OR(ISNUMBER(SEARCH("Data Science",F234)),ISNUMBER(SEARCH("DS",F234))),11,
ISNUMBER(SEARCH("Generative AI",F234)),12
=_xlfn.IFS(
OR(F234="Selenium (Hands-on)",F234="Guest Lecture: HR Interview"),6,
OR(F234="Soft Skill",F234="Soft Skill (Examination)",F234="AWS Training",F234="AWS Session"),7,
OR(ISNUMBER(SEARCH("MAD",F234)),ISNUMBER(SEARCH("STQA",F234)),F234="CI/CD Session"),8,
OR(ISNUMBER(SEARCH("Cloud",F234)),F234="Industry Readiness Program",ISNUMBER(SEARCH("Talenlio",F234))),9,
OR(ISNUMBER(SEARCH("Innovation",F234)),F234="Mini Project"),10,
OR(ISNUMBER(SEARCH("Data Science",F234)),ISNUMBER(SEARCH("DS",F234))),11,
ISNUMBER(SEARCH("Generative AI",F234)),12
=_xlfn.IFS(
OR(F234="Selenium (Hands-on)",F234="Guest Lecture: HR Interview"),6,
OR(F234="Soft Skill",F234="Soft Skill (Examination)",F234="AWS Training",F234="AWS Session"),7,
OR(ISNUMBER(SEARCH("MAD",F234)),ISNUMBER(SEARCH("STQA",F234)),F234="CI/CD Session"),8,
OR(ISNUMBER(SEARCH("Cloud",F234)),F234="Industry Readiness Program",ISNUMBER(SEARCH("Talenlio",F234))),9,
OR(ISNUMBER(SEARCH("Innovation",F234)),F234="Mini Project"),10,
OR(ISNUMBER(SEARCH("Data Science",F234)),ISNUMBER(SEARCH("DS",F234))),11,
ISNUMBER(SEARCH("Generative AI",F234)),12
))))</f>
        <v>6</v>
      </c>
      <c r="X234" s="3">
        <v>8</v>
      </c>
      <c r="Y234" s="3">
        <v>52</v>
      </c>
      <c r="Z234" s="3" t="s">
        <v>35</v>
      </c>
    </row>
    <row r="235" spans="1:26" x14ac:dyDescent="0.3">
      <c r="A235" s="2">
        <v>46239</v>
      </c>
      <c r="B235" s="3" t="s">
        <v>44</v>
      </c>
      <c r="C235" s="3">
        <v>2</v>
      </c>
      <c r="D235" s="4">
        <v>0.41666666666666702</v>
      </c>
      <c r="E235" s="4">
        <v>0.45833333333333298</v>
      </c>
      <c r="F235" s="3" t="s">
        <v>74</v>
      </c>
      <c r="G235" s="3" t="s">
        <v>75</v>
      </c>
      <c r="H235" s="3" t="s">
        <v>29</v>
      </c>
      <c r="I235" s="3" t="s">
        <v>30</v>
      </c>
      <c r="J235" s="3" t="s">
        <v>31</v>
      </c>
      <c r="K235" s="3" t="s">
        <v>76</v>
      </c>
      <c r="L235" s="5">
        <v>103</v>
      </c>
      <c r="M235" s="5">
        <f t="shared" ca="1" si="15"/>
        <v>81</v>
      </c>
      <c r="N235" s="6">
        <f t="shared" ca="1" si="16"/>
        <v>78.640776699029118</v>
      </c>
      <c r="O235" s="3" cm="1">
        <f t="array" aca="1" ref="O235" ca="1">IFERROR(LOOKUP(2, 1/((F$1:F234=F235)*(J$1:J234=J235)*(ROW(F$1:F234)&lt;ROW(F235))), N$1:N234), "")</f>
        <v>53.398058252427184</v>
      </c>
      <c r="P235" s="3">
        <f t="shared" si="19"/>
        <v>0</v>
      </c>
      <c r="Q235" s="3" t="s">
        <v>43</v>
      </c>
      <c r="R235" s="3" t="s">
        <v>40</v>
      </c>
      <c r="S235" s="3" t="str">
        <f t="shared" si="17"/>
        <v>Yes</v>
      </c>
      <c r="T235" s="3" t="s">
        <v>40</v>
      </c>
      <c r="U235" s="3" t="str">
        <f t="shared" si="18"/>
        <v>Rainy</v>
      </c>
      <c r="V235" s="3" t="s">
        <v>40</v>
      </c>
      <c r="W235" s="3" cm="1">
        <f t="array" ref="W235">_xlfn.IFS(
OR(F235="Selenium (Hands-on)",F235="Guest Lecture: HR Interview"),6,
OR(F235="Soft Skill",F235="Soft Skill (Examination)",F235="AWS Training",F235="AWS Session"),7,
OR(ISNUMBER(SEARCH("MAD",F235)),ISNUMBER(SEARCH("STQA",F235)),F235="CI/CD Session"),8,
OR(ISNUMBER(SEARCH("Cloud",F235)),F235="Industry Readiness Program",ISNUMBER(SEARCH("Talenlio",F235))),9,
OR(ISNUMBER(SEARCH("Innovation",F235)),F235="Mini Project"),10,
OR(ISNUMBER(SEARCH("Data Science",F235)),ISNUMBER(SEARCH("DS",F235))),11,
ISNUMBER(SEARCH("Generative AI",F235)),12
=_xlfn.IFS(
OR(F235="Selenium (Hands-on)",F235="Guest Lecture: HR Interview"),6,
OR(F235="Soft Skill",F235="Soft Skill (Examination)",F235="AWS Training",F235="AWS Session"),7,
OR(ISNUMBER(SEARCH("MAD",F235)),ISNUMBER(SEARCH("STQA",F235)),F235="CI/CD Session"),8,
OR(ISNUMBER(SEARCH("Cloud",F235)),F235="Industry Readiness Program",ISNUMBER(SEARCH("Talenlio",F235))),9,
OR(ISNUMBER(SEARCH("Innovation",F235)),F235="Mini Project"),10,
OR(ISNUMBER(SEARCH("Data Science",F235)),ISNUMBER(SEARCH("DS",F235))),11,
ISNUMBER(SEARCH("Generative AI",F235)),12
=_xlfn.IFS(
OR(F235="Selenium (Hands-on)",F235="Guest Lecture: HR Interview"),6,
OR(F235="Soft Skill",F235="Soft Skill (Examination)",F235="AWS Training",F235="AWS Session"),7,
OR(ISNUMBER(SEARCH("MAD",F235)),ISNUMBER(SEARCH("STQA",F235)),F235="CI/CD Session"),8,
OR(ISNUMBER(SEARCH("Cloud",F235)),F235="Industry Readiness Program",ISNUMBER(SEARCH("Talenlio",F235))),9,
OR(ISNUMBER(SEARCH("Innovation",F235)),F235="Mini Project"),10,
OR(ISNUMBER(SEARCH("Data Science",F235)),ISNUMBER(SEARCH("DS",F235))),11,
ISNUMBER(SEARCH("Generative AI",F235)),12
=_xlfn.IFS(
OR(F235="Selenium (Hands-on)",F235="Guest Lecture: HR Interview"),6,
OR(F235="Soft Skill",F235="Soft Skill (Examination)",F235="AWS Training",F235="AWS Session"),7,
OR(ISNUMBER(SEARCH("MAD",F235)),ISNUMBER(SEARCH("STQA",F235)),F235="CI/CD Session"),8,
OR(ISNUMBER(SEARCH("Cloud",F235)),F235="Industry Readiness Program",ISNUMBER(SEARCH("Talenlio",F235))),9,
OR(ISNUMBER(SEARCH("Innovation",F235)),F235="Mini Project"),10,
OR(ISNUMBER(SEARCH("Data Science",F235)),ISNUMBER(SEARCH("DS",F235))),11,
ISNUMBER(SEARCH("Generative AI",F235)),12
))))</f>
        <v>6</v>
      </c>
      <c r="X235" s="3">
        <v>8</v>
      </c>
      <c r="Y235" s="3">
        <v>52</v>
      </c>
      <c r="Z235" s="3" t="s">
        <v>35</v>
      </c>
    </row>
    <row r="236" spans="1:26" x14ac:dyDescent="0.3">
      <c r="A236" s="2">
        <v>46239</v>
      </c>
      <c r="B236" s="3" t="s">
        <v>44</v>
      </c>
      <c r="C236" s="3">
        <v>3</v>
      </c>
      <c r="D236" s="4">
        <v>0.45833333333333298</v>
      </c>
      <c r="E236" s="4">
        <v>0.5</v>
      </c>
      <c r="F236" s="3" t="s">
        <v>74</v>
      </c>
      <c r="G236" s="3" t="s">
        <v>75</v>
      </c>
      <c r="H236" s="3" t="s">
        <v>29</v>
      </c>
      <c r="I236" s="3" t="s">
        <v>30</v>
      </c>
      <c r="J236" s="3" t="s">
        <v>31</v>
      </c>
      <c r="K236" s="3" t="s">
        <v>76</v>
      </c>
      <c r="L236" s="5">
        <v>103</v>
      </c>
      <c r="M236" s="5">
        <f t="shared" ca="1" si="15"/>
        <v>95</v>
      </c>
      <c r="N236" s="6">
        <f t="shared" ca="1" si="16"/>
        <v>92.233009708737868</v>
      </c>
      <c r="O236" s="3" cm="1">
        <f t="array" aca="1" ref="O236" ca="1">IFERROR(LOOKUP(2, 1/((F$1:F235=F236)*(J$1:J235=J236)*(ROW(F$1:F235)&lt;ROW(F236))), N$1:N235), "")</f>
        <v>78.640776699029118</v>
      </c>
      <c r="P236" s="3">
        <f t="shared" si="19"/>
        <v>0</v>
      </c>
      <c r="Q236" s="3" t="s">
        <v>43</v>
      </c>
      <c r="R236" s="3" t="s">
        <v>40</v>
      </c>
      <c r="S236" s="3" t="str">
        <f t="shared" si="17"/>
        <v>Yes</v>
      </c>
      <c r="T236" s="3" t="s">
        <v>40</v>
      </c>
      <c r="U236" s="3" t="str">
        <f t="shared" si="18"/>
        <v>Rainy</v>
      </c>
      <c r="V236" s="3" t="s">
        <v>40</v>
      </c>
      <c r="W236" s="3" cm="1">
        <f t="array" ref="W236">_xlfn.IFS(
OR(F236="Selenium (Hands-on)",F236="Guest Lecture: HR Interview"),6,
OR(F236="Soft Skill",F236="Soft Skill (Examination)",F236="AWS Training",F236="AWS Session"),7,
OR(ISNUMBER(SEARCH("MAD",F236)),ISNUMBER(SEARCH("STQA",F236)),F236="CI/CD Session"),8,
OR(ISNUMBER(SEARCH("Cloud",F236)),F236="Industry Readiness Program",ISNUMBER(SEARCH("Talenlio",F236))),9,
OR(ISNUMBER(SEARCH("Innovation",F236)),F236="Mini Project"),10,
OR(ISNUMBER(SEARCH("Data Science",F236)),ISNUMBER(SEARCH("DS",F236))),11,
ISNUMBER(SEARCH("Generative AI",F236)),12
=_xlfn.IFS(
OR(F236="Selenium (Hands-on)",F236="Guest Lecture: HR Interview"),6,
OR(F236="Soft Skill",F236="Soft Skill (Examination)",F236="AWS Training",F236="AWS Session"),7,
OR(ISNUMBER(SEARCH("MAD",F236)),ISNUMBER(SEARCH("STQA",F236)),F236="CI/CD Session"),8,
OR(ISNUMBER(SEARCH("Cloud",F236)),F236="Industry Readiness Program",ISNUMBER(SEARCH("Talenlio",F236))),9,
OR(ISNUMBER(SEARCH("Innovation",F236)),F236="Mini Project"),10,
OR(ISNUMBER(SEARCH("Data Science",F236)),ISNUMBER(SEARCH("DS",F236))),11,
ISNUMBER(SEARCH("Generative AI",F236)),12
=_xlfn.IFS(
OR(F236="Selenium (Hands-on)",F236="Guest Lecture: HR Interview"),6,
OR(F236="Soft Skill",F236="Soft Skill (Examination)",F236="AWS Training",F236="AWS Session"),7,
OR(ISNUMBER(SEARCH("MAD",F236)),ISNUMBER(SEARCH("STQA",F236)),F236="CI/CD Session"),8,
OR(ISNUMBER(SEARCH("Cloud",F236)),F236="Industry Readiness Program",ISNUMBER(SEARCH("Talenlio",F236))),9,
OR(ISNUMBER(SEARCH("Innovation",F236)),F236="Mini Project"),10,
OR(ISNUMBER(SEARCH("Data Science",F236)),ISNUMBER(SEARCH("DS",F236))),11,
ISNUMBER(SEARCH("Generative AI",F236)),12
=_xlfn.IFS(
OR(F236="Selenium (Hands-on)",F236="Guest Lecture: HR Interview"),6,
OR(F236="Soft Skill",F236="Soft Skill (Examination)",F236="AWS Training",F236="AWS Session"),7,
OR(ISNUMBER(SEARCH("MAD",F236)),ISNUMBER(SEARCH("STQA",F236)),F236="CI/CD Session"),8,
OR(ISNUMBER(SEARCH("Cloud",F236)),F236="Industry Readiness Program",ISNUMBER(SEARCH("Talenlio",F236))),9,
OR(ISNUMBER(SEARCH("Innovation",F236)),F236="Mini Project"),10,
OR(ISNUMBER(SEARCH("Data Science",F236)),ISNUMBER(SEARCH("DS",F236))),11,
ISNUMBER(SEARCH("Generative AI",F236)),12
))))</f>
        <v>6</v>
      </c>
      <c r="X236" s="3">
        <v>8</v>
      </c>
      <c r="Y236" s="3">
        <v>52</v>
      </c>
      <c r="Z236" s="3" t="s">
        <v>35</v>
      </c>
    </row>
    <row r="237" spans="1:26" x14ac:dyDescent="0.3">
      <c r="A237" s="2">
        <v>46239</v>
      </c>
      <c r="B237" s="3" t="s">
        <v>44</v>
      </c>
      <c r="C237" s="3">
        <v>4</v>
      </c>
      <c r="D237" s="4">
        <v>0.5</v>
      </c>
      <c r="E237" s="4">
        <v>0.52083333333333304</v>
      </c>
      <c r="F237" s="3" t="s">
        <v>74</v>
      </c>
      <c r="G237" s="3" t="s">
        <v>75</v>
      </c>
      <c r="H237" s="3" t="s">
        <v>29</v>
      </c>
      <c r="I237" s="3" t="s">
        <v>30</v>
      </c>
      <c r="J237" s="3" t="s">
        <v>31</v>
      </c>
      <c r="K237" s="3" t="s">
        <v>76</v>
      </c>
      <c r="L237" s="5">
        <v>103</v>
      </c>
      <c r="M237" s="5">
        <f t="shared" ca="1" si="15"/>
        <v>101</v>
      </c>
      <c r="N237" s="6">
        <f t="shared" ca="1" si="16"/>
        <v>98.05825242718447</v>
      </c>
      <c r="O237" s="3" cm="1">
        <f t="array" aca="1" ref="O237" ca="1">IFERROR(LOOKUP(2, 1/((F$1:F236=F237)*(J$1:J236=J237)*(ROW(F$1:F236)&lt;ROW(F237))), N$1:N236), "")</f>
        <v>92.233009708737868</v>
      </c>
      <c r="P237" s="3">
        <f t="shared" si="19"/>
        <v>0</v>
      </c>
      <c r="Q237" s="3" t="s">
        <v>43</v>
      </c>
      <c r="R237" s="3" t="s">
        <v>40</v>
      </c>
      <c r="S237" s="3" t="str">
        <f t="shared" si="17"/>
        <v>Yes</v>
      </c>
      <c r="T237" s="3" t="s">
        <v>40</v>
      </c>
      <c r="U237" s="3" t="str">
        <f t="shared" si="18"/>
        <v>Rainy</v>
      </c>
      <c r="V237" s="3" t="s">
        <v>40</v>
      </c>
      <c r="W237" s="3" cm="1">
        <f t="array" ref="W237">_xlfn.IFS(
OR(F237="Selenium (Hands-on)",F237="Guest Lecture: HR Interview"),6,
OR(F237="Soft Skill",F237="Soft Skill (Examination)",F237="AWS Training",F237="AWS Session"),7,
OR(ISNUMBER(SEARCH("MAD",F237)),ISNUMBER(SEARCH("STQA",F237)),F237="CI/CD Session"),8,
OR(ISNUMBER(SEARCH("Cloud",F237)),F237="Industry Readiness Program",ISNUMBER(SEARCH("Talenlio",F237))),9,
OR(ISNUMBER(SEARCH("Innovation",F237)),F237="Mini Project"),10,
OR(ISNUMBER(SEARCH("Data Science",F237)),ISNUMBER(SEARCH("DS",F237))),11,
ISNUMBER(SEARCH("Generative AI",F237)),12
=_xlfn.IFS(
OR(F237="Selenium (Hands-on)",F237="Guest Lecture: HR Interview"),6,
OR(F237="Soft Skill",F237="Soft Skill (Examination)",F237="AWS Training",F237="AWS Session"),7,
OR(ISNUMBER(SEARCH("MAD",F237)),ISNUMBER(SEARCH("STQA",F237)),F237="CI/CD Session"),8,
OR(ISNUMBER(SEARCH("Cloud",F237)),F237="Industry Readiness Program",ISNUMBER(SEARCH("Talenlio",F237))),9,
OR(ISNUMBER(SEARCH("Innovation",F237)),F237="Mini Project"),10,
OR(ISNUMBER(SEARCH("Data Science",F237)),ISNUMBER(SEARCH("DS",F237))),11,
ISNUMBER(SEARCH("Generative AI",F237)),12
=_xlfn.IFS(
OR(F237="Selenium (Hands-on)",F237="Guest Lecture: HR Interview"),6,
OR(F237="Soft Skill",F237="Soft Skill (Examination)",F237="AWS Training",F237="AWS Session"),7,
OR(ISNUMBER(SEARCH("MAD",F237)),ISNUMBER(SEARCH("STQA",F237)),F237="CI/CD Session"),8,
OR(ISNUMBER(SEARCH("Cloud",F237)),F237="Industry Readiness Program",ISNUMBER(SEARCH("Talenlio",F237))),9,
OR(ISNUMBER(SEARCH("Innovation",F237)),F237="Mini Project"),10,
OR(ISNUMBER(SEARCH("Data Science",F237)),ISNUMBER(SEARCH("DS",F237))),11,
ISNUMBER(SEARCH("Generative AI",F237)),12
=_xlfn.IFS(
OR(F237="Selenium (Hands-on)",F237="Guest Lecture: HR Interview"),6,
OR(F237="Soft Skill",F237="Soft Skill (Examination)",F237="AWS Training",F237="AWS Session"),7,
OR(ISNUMBER(SEARCH("MAD",F237)),ISNUMBER(SEARCH("STQA",F237)),F237="CI/CD Session"),8,
OR(ISNUMBER(SEARCH("Cloud",F237)),F237="Industry Readiness Program",ISNUMBER(SEARCH("Talenlio",F237))),9,
OR(ISNUMBER(SEARCH("Innovation",F237)),F237="Mini Project"),10,
OR(ISNUMBER(SEARCH("Data Science",F237)),ISNUMBER(SEARCH("DS",F237))),11,
ISNUMBER(SEARCH("Generative AI",F237)),12
))))</f>
        <v>6</v>
      </c>
      <c r="X237" s="3">
        <v>8</v>
      </c>
      <c r="Y237" s="3">
        <v>52</v>
      </c>
      <c r="Z237" s="3" t="s">
        <v>35</v>
      </c>
    </row>
    <row r="238" spans="1:26" x14ac:dyDescent="0.3">
      <c r="A238" s="2">
        <v>46239</v>
      </c>
      <c r="B238" s="3" t="s">
        <v>44</v>
      </c>
      <c r="C238" s="3">
        <v>5</v>
      </c>
      <c r="D238" s="4">
        <v>0.5625</v>
      </c>
      <c r="E238" s="4">
        <v>0.60416666666666696</v>
      </c>
      <c r="F238" s="3" t="s">
        <v>53</v>
      </c>
      <c r="G238" s="3" t="s">
        <v>54</v>
      </c>
      <c r="H238" s="3" t="s">
        <v>29</v>
      </c>
      <c r="I238" s="3" t="s">
        <v>30</v>
      </c>
      <c r="J238" s="3" t="s">
        <v>31</v>
      </c>
      <c r="K238" s="3" t="s">
        <v>52</v>
      </c>
      <c r="L238" s="5">
        <v>103</v>
      </c>
      <c r="M238" s="5">
        <f t="shared" ca="1" si="15"/>
        <v>63</v>
      </c>
      <c r="N238" s="6">
        <f t="shared" ca="1" si="16"/>
        <v>61.165048543689316</v>
      </c>
      <c r="O238" s="3" cm="1">
        <f t="array" aca="1" ref="O238" ca="1">IFERROR(LOOKUP(2, 1/((F$1:F237=F238)*(J$1:J237=J238)*(ROW(F$1:F237)&lt;ROW(F238))), N$1:N237), "")</f>
        <v>49.514563106796118</v>
      </c>
      <c r="P238" s="3">
        <f t="shared" si="19"/>
        <v>1</v>
      </c>
      <c r="Q238" s="3" t="s">
        <v>33</v>
      </c>
      <c r="R238" s="3" t="s">
        <v>40</v>
      </c>
      <c r="S238" s="3" t="str">
        <f t="shared" si="17"/>
        <v>No</v>
      </c>
      <c r="T238" s="3" t="s">
        <v>40</v>
      </c>
      <c r="U238" s="3" t="str">
        <f t="shared" si="18"/>
        <v>Rainy</v>
      </c>
      <c r="V238" s="3" t="s">
        <v>40</v>
      </c>
      <c r="W238" s="3" cm="1">
        <f t="array" ref="W238">_xlfn.IFS(
OR(F238="Selenium (Hands-on)",F238="Guest Lecture: HR Interview"),6,
OR(F238="Soft Skill",F238="Soft Skill (Examination)",F238="AWS Training",F238="AWS Session"),7,
OR(ISNUMBER(SEARCH("MAD",F238)),ISNUMBER(SEARCH("STQA",F238)),F238="CI/CD Session"),8,
OR(ISNUMBER(SEARCH("Cloud",F238)),F238="Industry Readiness Program",ISNUMBER(SEARCH("Talenlio",F238))),9,
OR(ISNUMBER(SEARCH("Innovation",F238)),F238="Mini Project"),10,
OR(ISNUMBER(SEARCH("Data Science",F238)),ISNUMBER(SEARCH("DS",F238))),11,
ISNUMBER(SEARCH("Generative AI",F238)),12
=_xlfn.IFS(
OR(F238="Selenium (Hands-on)",F238="Guest Lecture: HR Interview"),6,
OR(F238="Soft Skill",F238="Soft Skill (Examination)",F238="AWS Training",F238="AWS Session"),7,
OR(ISNUMBER(SEARCH("MAD",F238)),ISNUMBER(SEARCH("STQA",F238)),F238="CI/CD Session"),8,
OR(ISNUMBER(SEARCH("Cloud",F238)),F238="Industry Readiness Program",ISNUMBER(SEARCH("Talenlio",F238))),9,
OR(ISNUMBER(SEARCH("Innovation",F238)),F238="Mini Project"),10,
OR(ISNUMBER(SEARCH("Data Science",F238)),ISNUMBER(SEARCH("DS",F238))),11,
ISNUMBER(SEARCH("Generative AI",F238)),12
=_xlfn.IFS(
OR(F238="Selenium (Hands-on)",F238="Guest Lecture: HR Interview"),6,
OR(F238="Soft Skill",F238="Soft Skill (Examination)",F238="AWS Training",F238="AWS Session"),7,
OR(ISNUMBER(SEARCH("MAD",F238)),ISNUMBER(SEARCH("STQA",F238)),F238="CI/CD Session"),8,
OR(ISNUMBER(SEARCH("Cloud",F238)),F238="Industry Readiness Program",ISNUMBER(SEARCH("Talenlio",F238))),9,
OR(ISNUMBER(SEARCH("Innovation",F238)),F238="Mini Project"),10,
OR(ISNUMBER(SEARCH("Data Science",F238)),ISNUMBER(SEARCH("DS",F238))),11,
ISNUMBER(SEARCH("Generative AI",F238)),12
=_xlfn.IFS(
OR(F238="Selenium (Hands-on)",F238="Guest Lecture: HR Interview"),6,
OR(F238="Soft Skill",F238="Soft Skill (Examination)",F238="AWS Training",F238="AWS Session"),7,
OR(ISNUMBER(SEARCH("MAD",F238)),ISNUMBER(SEARCH("STQA",F238)),F238="CI/CD Session"),8,
OR(ISNUMBER(SEARCH("Cloud",F238)),F238="Industry Readiness Program",ISNUMBER(SEARCH("Talenlio",F238))),9,
OR(ISNUMBER(SEARCH("Innovation",F238)),F238="Mini Project"),10,
OR(ISNUMBER(SEARCH("Data Science",F238)),ISNUMBER(SEARCH("DS",F238))),11,
ISNUMBER(SEARCH("Generative AI",F238)),12
))))</f>
        <v>10</v>
      </c>
      <c r="X238" s="3">
        <v>8</v>
      </c>
      <c r="Y238" s="3">
        <v>52</v>
      </c>
      <c r="Z238" s="3" t="s">
        <v>38</v>
      </c>
    </row>
    <row r="239" spans="1:26" x14ac:dyDescent="0.3">
      <c r="A239" s="2">
        <v>46239</v>
      </c>
      <c r="B239" s="3" t="s">
        <v>44</v>
      </c>
      <c r="C239" s="3">
        <v>6</v>
      </c>
      <c r="D239" s="4">
        <v>0.60416666666666696</v>
      </c>
      <c r="E239" s="4">
        <v>0.64583333333333304</v>
      </c>
      <c r="F239" s="3" t="s">
        <v>53</v>
      </c>
      <c r="G239" s="3" t="s">
        <v>54</v>
      </c>
      <c r="H239" s="3" t="s">
        <v>29</v>
      </c>
      <c r="I239" s="3" t="s">
        <v>30</v>
      </c>
      <c r="J239" s="3" t="s">
        <v>31</v>
      </c>
      <c r="K239" s="3" t="s">
        <v>52</v>
      </c>
      <c r="L239" s="5">
        <v>103</v>
      </c>
      <c r="M239" s="5">
        <f t="shared" ca="1" si="15"/>
        <v>87</v>
      </c>
      <c r="N239" s="6">
        <f t="shared" ca="1" si="16"/>
        <v>84.466019417475721</v>
      </c>
      <c r="O239" s="3" cm="1">
        <f t="array" aca="1" ref="O239" ca="1">IFERROR(LOOKUP(2, 1/((F$1:F238=F239)*(J$1:J238=J239)*(ROW(F$1:F238)&lt;ROW(F239))), N$1:N238), "")</f>
        <v>61.165048543689316</v>
      </c>
      <c r="P239" s="3">
        <f t="shared" si="19"/>
        <v>0</v>
      </c>
      <c r="Q239" s="3" t="s">
        <v>33</v>
      </c>
      <c r="R239" s="3" t="s">
        <v>40</v>
      </c>
      <c r="S239" s="3" t="str">
        <f t="shared" si="17"/>
        <v>No</v>
      </c>
      <c r="T239" s="3" t="s">
        <v>40</v>
      </c>
      <c r="U239" s="3" t="str">
        <f t="shared" si="18"/>
        <v>Rainy</v>
      </c>
      <c r="V239" s="3" t="s">
        <v>40</v>
      </c>
      <c r="W239" s="3" cm="1">
        <f t="array" ref="W239">_xlfn.IFS(
OR(F239="Selenium (Hands-on)",F239="Guest Lecture: HR Interview"),6,
OR(F239="Soft Skill",F239="Soft Skill (Examination)",F239="AWS Training",F239="AWS Session"),7,
OR(ISNUMBER(SEARCH("MAD",F239)),ISNUMBER(SEARCH("STQA",F239)),F239="CI/CD Session"),8,
OR(ISNUMBER(SEARCH("Cloud",F239)),F239="Industry Readiness Program",ISNUMBER(SEARCH("Talenlio",F239))),9,
OR(ISNUMBER(SEARCH("Innovation",F239)),F239="Mini Project"),10,
OR(ISNUMBER(SEARCH("Data Science",F239)),ISNUMBER(SEARCH("DS",F239))),11,
ISNUMBER(SEARCH("Generative AI",F239)),12
=_xlfn.IFS(
OR(F239="Selenium (Hands-on)",F239="Guest Lecture: HR Interview"),6,
OR(F239="Soft Skill",F239="Soft Skill (Examination)",F239="AWS Training",F239="AWS Session"),7,
OR(ISNUMBER(SEARCH("MAD",F239)),ISNUMBER(SEARCH("STQA",F239)),F239="CI/CD Session"),8,
OR(ISNUMBER(SEARCH("Cloud",F239)),F239="Industry Readiness Program",ISNUMBER(SEARCH("Talenlio",F239))),9,
OR(ISNUMBER(SEARCH("Innovation",F239)),F239="Mini Project"),10,
OR(ISNUMBER(SEARCH("Data Science",F239)),ISNUMBER(SEARCH("DS",F239))),11,
ISNUMBER(SEARCH("Generative AI",F239)),12
=_xlfn.IFS(
OR(F239="Selenium (Hands-on)",F239="Guest Lecture: HR Interview"),6,
OR(F239="Soft Skill",F239="Soft Skill (Examination)",F239="AWS Training",F239="AWS Session"),7,
OR(ISNUMBER(SEARCH("MAD",F239)),ISNUMBER(SEARCH("STQA",F239)),F239="CI/CD Session"),8,
OR(ISNUMBER(SEARCH("Cloud",F239)),F239="Industry Readiness Program",ISNUMBER(SEARCH("Talenlio",F239))),9,
OR(ISNUMBER(SEARCH("Innovation",F239)),F239="Mini Project"),10,
OR(ISNUMBER(SEARCH("Data Science",F239)),ISNUMBER(SEARCH("DS",F239))),11,
ISNUMBER(SEARCH("Generative AI",F239)),12
=_xlfn.IFS(
OR(F239="Selenium (Hands-on)",F239="Guest Lecture: HR Interview"),6,
OR(F239="Soft Skill",F239="Soft Skill (Examination)",F239="AWS Training",F239="AWS Session"),7,
OR(ISNUMBER(SEARCH("MAD",F239)),ISNUMBER(SEARCH("STQA",F239)),F239="CI/CD Session"),8,
OR(ISNUMBER(SEARCH("Cloud",F239)),F239="Industry Readiness Program",ISNUMBER(SEARCH("Talenlio",F239))),9,
OR(ISNUMBER(SEARCH("Innovation",F239)),F239="Mini Project"),10,
OR(ISNUMBER(SEARCH("Data Science",F239)),ISNUMBER(SEARCH("DS",F239))),11,
ISNUMBER(SEARCH("Generative AI",F239)),12
))))</f>
        <v>10</v>
      </c>
      <c r="X239" s="3">
        <v>8</v>
      </c>
      <c r="Y239" s="3">
        <v>52</v>
      </c>
      <c r="Z239" s="3" t="s">
        <v>38</v>
      </c>
    </row>
    <row r="240" spans="1:26" x14ac:dyDescent="0.3">
      <c r="A240" s="2">
        <v>46240</v>
      </c>
      <c r="B240" s="3" t="s">
        <v>45</v>
      </c>
      <c r="C240" s="3">
        <v>1</v>
      </c>
      <c r="D240" s="4">
        <v>0.38541666666666702</v>
      </c>
      <c r="E240" s="4">
        <v>0.42708333333333298</v>
      </c>
      <c r="F240" s="3" t="s">
        <v>80</v>
      </c>
      <c r="G240" s="3" t="s">
        <v>289</v>
      </c>
      <c r="H240" s="3" t="s">
        <v>29</v>
      </c>
      <c r="I240" s="3" t="s">
        <v>30</v>
      </c>
      <c r="J240" s="3" t="s">
        <v>31</v>
      </c>
      <c r="K240" s="3" t="s">
        <v>52</v>
      </c>
      <c r="L240" s="5">
        <v>103</v>
      </c>
      <c r="M240" s="5">
        <f t="shared" ca="1" si="15"/>
        <v>78</v>
      </c>
      <c r="N240" s="6">
        <f t="shared" ca="1" si="16"/>
        <v>75.728155339805824</v>
      </c>
      <c r="O240" s="3">
        <v>87.116813300000004</v>
      </c>
      <c r="P240" s="3">
        <f t="shared" si="19"/>
        <v>0</v>
      </c>
      <c r="Q240" s="3" t="s">
        <v>43</v>
      </c>
      <c r="R240" s="3" t="s">
        <v>40</v>
      </c>
      <c r="S240" s="3" t="str">
        <f t="shared" si="17"/>
        <v>Yes</v>
      </c>
      <c r="T240" s="3" t="s">
        <v>40</v>
      </c>
      <c r="U240" s="3" t="str">
        <f t="shared" si="18"/>
        <v>Rainy</v>
      </c>
      <c r="V240" s="3" t="s">
        <v>40</v>
      </c>
      <c r="W240" s="3" cm="1">
        <f t="array" ref="W240">_xlfn.IFS(
OR(F240="Selenium (Hands-on)",F240="Guest Lecture: HR Interview"),6,
OR(F240="Soft Skill",F240="Soft Skill (Examination)",F240="AWS Training",F240="AWS Session"),7,
OR(ISNUMBER(SEARCH("MAD",F240)),ISNUMBER(SEARCH("STQA",F240)),F240="CI/CD Session"),8,
OR(ISNUMBER(SEARCH("Cloud",F240)),F240="Industry Readiness Program",ISNUMBER(SEARCH("Talenlio",F240))),9,
OR(ISNUMBER(SEARCH("Innovation",F240)),F240="Mini Project"),10,
OR(ISNUMBER(SEARCH("Data Science",F240)),ISNUMBER(SEARCH("DS",F240))),11,
ISNUMBER(SEARCH("Generative AI",F240)),12
=_xlfn.IFS(
OR(F240="Selenium (Hands-on)",F240="Guest Lecture: HR Interview"),6,
OR(F240="Soft Skill",F240="Soft Skill (Examination)",F240="AWS Training",F240="AWS Session"),7,
OR(ISNUMBER(SEARCH("MAD",F240)),ISNUMBER(SEARCH("STQA",F240)),F240="CI/CD Session"),8,
OR(ISNUMBER(SEARCH("Cloud",F240)),F240="Industry Readiness Program",ISNUMBER(SEARCH("Talenlio",F240))),9,
OR(ISNUMBER(SEARCH("Innovation",F240)),F240="Mini Project"),10,
OR(ISNUMBER(SEARCH("Data Science",F240)),ISNUMBER(SEARCH("DS",F240))),11,
ISNUMBER(SEARCH("Generative AI",F240)),12
=_xlfn.IFS(
OR(F240="Selenium (Hands-on)",F240="Guest Lecture: HR Interview"),6,
OR(F240="Soft Skill",F240="Soft Skill (Examination)",F240="AWS Training",F240="AWS Session"),7,
OR(ISNUMBER(SEARCH("MAD",F240)),ISNUMBER(SEARCH("STQA",F240)),F240="CI/CD Session"),8,
OR(ISNUMBER(SEARCH("Cloud",F240)),F240="Industry Readiness Program",ISNUMBER(SEARCH("Talenlio",F240))),9,
OR(ISNUMBER(SEARCH("Innovation",F240)),F240="Mini Project"),10,
OR(ISNUMBER(SEARCH("Data Science",F240)),ISNUMBER(SEARCH("DS",F240))),11,
ISNUMBER(SEARCH("Generative AI",F240)),12
=_xlfn.IFS(
OR(F240="Selenium (Hands-on)",F240="Guest Lecture: HR Interview"),6,
OR(F240="Soft Skill",F240="Soft Skill (Examination)",F240="AWS Training",F240="AWS Session"),7,
OR(ISNUMBER(SEARCH("MAD",F240)),ISNUMBER(SEARCH("STQA",F240)),F240="CI/CD Session"),8,
OR(ISNUMBER(SEARCH("Cloud",F240)),F240="Industry Readiness Program",ISNUMBER(SEARCH("Talenlio",F240))),9,
OR(ISNUMBER(SEARCH("Innovation",F240)),F240="Mini Project"),10,
OR(ISNUMBER(SEARCH("Data Science",F240)),ISNUMBER(SEARCH("DS",F240))),11,
ISNUMBER(SEARCH("Generative AI",F240)),12
))))</f>
        <v>8</v>
      </c>
      <c r="X240" s="3">
        <v>8</v>
      </c>
      <c r="Y240" s="3">
        <v>53</v>
      </c>
      <c r="Z240" s="3" t="s">
        <v>35</v>
      </c>
    </row>
    <row r="241" spans="1:26" x14ac:dyDescent="0.3">
      <c r="A241" s="2">
        <v>46240</v>
      </c>
      <c r="B241" s="3" t="s">
        <v>45</v>
      </c>
      <c r="C241" s="3">
        <v>2</v>
      </c>
      <c r="D241" s="4">
        <v>0.42708333333333298</v>
      </c>
      <c r="E241" s="4">
        <v>0.46875</v>
      </c>
      <c r="F241" s="3" t="s">
        <v>80</v>
      </c>
      <c r="G241" s="3" t="s">
        <v>289</v>
      </c>
      <c r="H241" s="3" t="s">
        <v>29</v>
      </c>
      <c r="I241" s="3" t="s">
        <v>30</v>
      </c>
      <c r="J241" s="3" t="s">
        <v>31</v>
      </c>
      <c r="K241" s="3" t="s">
        <v>52</v>
      </c>
      <c r="L241" s="5">
        <v>103</v>
      </c>
      <c r="M241" s="5">
        <f t="shared" ca="1" si="15"/>
        <v>91</v>
      </c>
      <c r="N241" s="6">
        <f t="shared" ca="1" si="16"/>
        <v>88.349514563106794</v>
      </c>
      <c r="O241" s="3" cm="1">
        <f t="array" aca="1" ref="O241" ca="1">IFERROR(LOOKUP(2, 1/((F$1:F240=F241)*(J$1:J240=J241)*(ROW(F$1:F240)&lt;ROW(F241))), N$1:N240), "")</f>
        <v>75.728155339805824</v>
      </c>
      <c r="P241" s="3">
        <f t="shared" si="19"/>
        <v>0</v>
      </c>
      <c r="Q241" s="3" t="s">
        <v>43</v>
      </c>
      <c r="R241" s="3" t="s">
        <v>40</v>
      </c>
      <c r="S241" s="3" t="str">
        <f t="shared" si="17"/>
        <v>Yes</v>
      </c>
      <c r="T241" s="3" t="s">
        <v>40</v>
      </c>
      <c r="U241" s="3" t="str">
        <f t="shared" si="18"/>
        <v>Rainy</v>
      </c>
      <c r="V241" s="3" t="s">
        <v>40</v>
      </c>
      <c r="W241" s="3" cm="1">
        <f t="array" ref="W241">_xlfn.IFS(
OR(F241="Selenium (Hands-on)",F241="Guest Lecture: HR Interview"),6,
OR(F241="Soft Skill",F241="Soft Skill (Examination)",F241="AWS Training",F241="AWS Session"),7,
OR(ISNUMBER(SEARCH("MAD",F241)),ISNUMBER(SEARCH("STQA",F241)),F241="CI/CD Session"),8,
OR(ISNUMBER(SEARCH("Cloud",F241)),F241="Industry Readiness Program",ISNUMBER(SEARCH("Talenlio",F241))),9,
OR(ISNUMBER(SEARCH("Innovation",F241)),F241="Mini Project"),10,
OR(ISNUMBER(SEARCH("Data Science",F241)),ISNUMBER(SEARCH("DS",F241))),11,
ISNUMBER(SEARCH("Generative AI",F241)),12
=_xlfn.IFS(
OR(F241="Selenium (Hands-on)",F241="Guest Lecture: HR Interview"),6,
OR(F241="Soft Skill",F241="Soft Skill (Examination)",F241="AWS Training",F241="AWS Session"),7,
OR(ISNUMBER(SEARCH("MAD",F241)),ISNUMBER(SEARCH("STQA",F241)),F241="CI/CD Session"),8,
OR(ISNUMBER(SEARCH("Cloud",F241)),F241="Industry Readiness Program",ISNUMBER(SEARCH("Talenlio",F241))),9,
OR(ISNUMBER(SEARCH("Innovation",F241)),F241="Mini Project"),10,
OR(ISNUMBER(SEARCH("Data Science",F241)),ISNUMBER(SEARCH("DS",F241))),11,
ISNUMBER(SEARCH("Generative AI",F241)),12
=_xlfn.IFS(
OR(F241="Selenium (Hands-on)",F241="Guest Lecture: HR Interview"),6,
OR(F241="Soft Skill",F241="Soft Skill (Examination)",F241="AWS Training",F241="AWS Session"),7,
OR(ISNUMBER(SEARCH("MAD",F241)),ISNUMBER(SEARCH("STQA",F241)),F241="CI/CD Session"),8,
OR(ISNUMBER(SEARCH("Cloud",F241)),F241="Industry Readiness Program",ISNUMBER(SEARCH("Talenlio",F241))),9,
OR(ISNUMBER(SEARCH("Innovation",F241)),F241="Mini Project"),10,
OR(ISNUMBER(SEARCH("Data Science",F241)),ISNUMBER(SEARCH("DS",F241))),11,
ISNUMBER(SEARCH("Generative AI",F241)),12
=_xlfn.IFS(
OR(F241="Selenium (Hands-on)",F241="Guest Lecture: HR Interview"),6,
OR(F241="Soft Skill",F241="Soft Skill (Examination)",F241="AWS Training",F241="AWS Session"),7,
OR(ISNUMBER(SEARCH("MAD",F241)),ISNUMBER(SEARCH("STQA",F241)),F241="CI/CD Session"),8,
OR(ISNUMBER(SEARCH("Cloud",F241)),F241="Industry Readiness Program",ISNUMBER(SEARCH("Talenlio",F241))),9,
OR(ISNUMBER(SEARCH("Innovation",F241)),F241="Mini Project"),10,
OR(ISNUMBER(SEARCH("Data Science",F241)),ISNUMBER(SEARCH("DS",F241))),11,
ISNUMBER(SEARCH("Generative AI",F241)),12
))))</f>
        <v>8</v>
      </c>
      <c r="X241" s="3">
        <v>8</v>
      </c>
      <c r="Y241" s="3">
        <v>53</v>
      </c>
      <c r="Z241" s="3" t="s">
        <v>35</v>
      </c>
    </row>
    <row r="242" spans="1:26" x14ac:dyDescent="0.3">
      <c r="A242" s="2">
        <v>46240</v>
      </c>
      <c r="B242" s="3" t="s">
        <v>45</v>
      </c>
      <c r="C242" s="3">
        <v>3</v>
      </c>
      <c r="D242" s="4">
        <v>0.46875</v>
      </c>
      <c r="E242" s="4">
        <v>0.51041666666666696</v>
      </c>
      <c r="F242" s="3" t="s">
        <v>80</v>
      </c>
      <c r="G242" s="3" t="s">
        <v>289</v>
      </c>
      <c r="H242" s="3" t="s">
        <v>29</v>
      </c>
      <c r="I242" s="3" t="s">
        <v>30</v>
      </c>
      <c r="J242" s="3" t="s">
        <v>31</v>
      </c>
      <c r="K242" s="3" t="s">
        <v>52</v>
      </c>
      <c r="L242" s="5">
        <v>103</v>
      </c>
      <c r="M242" s="5">
        <f t="shared" ca="1" si="15"/>
        <v>76</v>
      </c>
      <c r="N242" s="6">
        <f t="shared" ca="1" si="16"/>
        <v>73.786407766990294</v>
      </c>
      <c r="O242" s="3" cm="1">
        <f t="array" aca="1" ref="O242" ca="1">IFERROR(LOOKUP(2, 1/((F$1:F241=F242)*(J$1:J241=J242)*(ROW(F$1:F241)&lt;ROW(F242))), N$1:N241), "")</f>
        <v>88.349514563106794</v>
      </c>
      <c r="P242" s="3">
        <f t="shared" si="19"/>
        <v>0</v>
      </c>
      <c r="Q242" s="3" t="s">
        <v>43</v>
      </c>
      <c r="R242" s="3" t="s">
        <v>40</v>
      </c>
      <c r="S242" s="3" t="str">
        <f t="shared" si="17"/>
        <v>Yes</v>
      </c>
      <c r="T242" s="3" t="s">
        <v>40</v>
      </c>
      <c r="U242" s="3" t="str">
        <f t="shared" si="18"/>
        <v>Rainy</v>
      </c>
      <c r="V242" s="3" t="s">
        <v>40</v>
      </c>
      <c r="W242" s="3" cm="1">
        <f t="array" ref="W242">_xlfn.IFS(
OR(F242="Selenium (Hands-on)",F242="Guest Lecture: HR Interview"),6,
OR(F242="Soft Skill",F242="Soft Skill (Examination)",F242="AWS Training",F242="AWS Session"),7,
OR(ISNUMBER(SEARCH("MAD",F242)),ISNUMBER(SEARCH("STQA",F242)),F242="CI/CD Session"),8,
OR(ISNUMBER(SEARCH("Cloud",F242)),F242="Industry Readiness Program",ISNUMBER(SEARCH("Talenlio",F242))),9,
OR(ISNUMBER(SEARCH("Innovation",F242)),F242="Mini Project"),10,
OR(ISNUMBER(SEARCH("Data Science",F242)),ISNUMBER(SEARCH("DS",F242))),11,
ISNUMBER(SEARCH("Generative AI",F242)),12
=_xlfn.IFS(
OR(F242="Selenium (Hands-on)",F242="Guest Lecture: HR Interview"),6,
OR(F242="Soft Skill",F242="Soft Skill (Examination)",F242="AWS Training",F242="AWS Session"),7,
OR(ISNUMBER(SEARCH("MAD",F242)),ISNUMBER(SEARCH("STQA",F242)),F242="CI/CD Session"),8,
OR(ISNUMBER(SEARCH("Cloud",F242)),F242="Industry Readiness Program",ISNUMBER(SEARCH("Talenlio",F242))),9,
OR(ISNUMBER(SEARCH("Innovation",F242)),F242="Mini Project"),10,
OR(ISNUMBER(SEARCH("Data Science",F242)),ISNUMBER(SEARCH("DS",F242))),11,
ISNUMBER(SEARCH("Generative AI",F242)),12
=_xlfn.IFS(
OR(F242="Selenium (Hands-on)",F242="Guest Lecture: HR Interview"),6,
OR(F242="Soft Skill",F242="Soft Skill (Examination)",F242="AWS Training",F242="AWS Session"),7,
OR(ISNUMBER(SEARCH("MAD",F242)),ISNUMBER(SEARCH("STQA",F242)),F242="CI/CD Session"),8,
OR(ISNUMBER(SEARCH("Cloud",F242)),F242="Industry Readiness Program",ISNUMBER(SEARCH("Talenlio",F242))),9,
OR(ISNUMBER(SEARCH("Innovation",F242)),F242="Mini Project"),10,
OR(ISNUMBER(SEARCH("Data Science",F242)),ISNUMBER(SEARCH("DS",F242))),11,
ISNUMBER(SEARCH("Generative AI",F242)),12
=_xlfn.IFS(
OR(F242="Selenium (Hands-on)",F242="Guest Lecture: HR Interview"),6,
OR(F242="Soft Skill",F242="Soft Skill (Examination)",F242="AWS Training",F242="AWS Session"),7,
OR(ISNUMBER(SEARCH("MAD",F242)),ISNUMBER(SEARCH("STQA",F242)),F242="CI/CD Session"),8,
OR(ISNUMBER(SEARCH("Cloud",F242)),F242="Industry Readiness Program",ISNUMBER(SEARCH("Talenlio",F242))),9,
OR(ISNUMBER(SEARCH("Innovation",F242)),F242="Mini Project"),10,
OR(ISNUMBER(SEARCH("Data Science",F242)),ISNUMBER(SEARCH("DS",F242))),11,
ISNUMBER(SEARCH("Generative AI",F242)),12
))))</f>
        <v>8</v>
      </c>
      <c r="X242" s="3">
        <v>8</v>
      </c>
      <c r="Y242" s="3">
        <v>53</v>
      </c>
      <c r="Z242" s="3" t="s">
        <v>35</v>
      </c>
    </row>
    <row r="243" spans="1:26" x14ac:dyDescent="0.3">
      <c r="A243" s="2">
        <v>46240</v>
      </c>
      <c r="B243" s="3" t="s">
        <v>45</v>
      </c>
      <c r="C243" s="3">
        <v>4</v>
      </c>
      <c r="D243" s="4">
        <v>0.5625</v>
      </c>
      <c r="E243" s="4">
        <v>0.60416666666666696</v>
      </c>
      <c r="F243" s="3" t="s">
        <v>81</v>
      </c>
      <c r="G243" s="3" t="s">
        <v>289</v>
      </c>
      <c r="H243" s="3" t="s">
        <v>29</v>
      </c>
      <c r="I243" s="3" t="s">
        <v>30</v>
      </c>
      <c r="J243" s="3" t="s">
        <v>31</v>
      </c>
      <c r="K243" s="3" t="s">
        <v>52</v>
      </c>
      <c r="L243" s="5">
        <v>103</v>
      </c>
      <c r="M243" s="5">
        <f t="shared" ca="1" si="15"/>
        <v>66</v>
      </c>
      <c r="N243" s="6">
        <f t="shared" ca="1" si="16"/>
        <v>64.077669902912632</v>
      </c>
      <c r="O243" s="3">
        <v>98.841162999999995</v>
      </c>
      <c r="P243" s="3">
        <f t="shared" si="19"/>
        <v>1.25</v>
      </c>
      <c r="Q243" s="3" t="s">
        <v>43</v>
      </c>
      <c r="R243" s="3" t="s">
        <v>40</v>
      </c>
      <c r="S243" s="3" t="str">
        <f t="shared" si="17"/>
        <v>No</v>
      </c>
      <c r="T243" s="3" t="s">
        <v>40</v>
      </c>
      <c r="U243" s="3" t="str">
        <f t="shared" si="18"/>
        <v>Rainy</v>
      </c>
      <c r="V243" s="3" t="s">
        <v>40</v>
      </c>
      <c r="W243" s="3" cm="1">
        <f t="array" ref="W243">_xlfn.IFS(
OR(F243="Selenium (Hands-on)",F243="Guest Lecture: HR Interview"),6,
OR(F243="Soft Skill",F243="Soft Skill (Examination)",F243="AWS Training",F243="AWS Session"),7,
OR(ISNUMBER(SEARCH("MAD",F243)),ISNUMBER(SEARCH("STQA",F243)),F243="CI/CD Session"),8,
OR(ISNUMBER(SEARCH("Cloud",F243)),F243="Industry Readiness Program",ISNUMBER(SEARCH("Talenlio",F243))),9,
OR(ISNUMBER(SEARCH("Innovation",F243)),F243="Mini Project"),10,
OR(ISNUMBER(SEARCH("Data Science",F243)),ISNUMBER(SEARCH("DS",F243))),11,
ISNUMBER(SEARCH("Generative AI",F243)),12
=_xlfn.IFS(
OR(F243="Selenium (Hands-on)",F243="Guest Lecture: HR Interview"),6,
OR(F243="Soft Skill",F243="Soft Skill (Examination)",F243="AWS Training",F243="AWS Session"),7,
OR(ISNUMBER(SEARCH("MAD",F243)),ISNUMBER(SEARCH("STQA",F243)),F243="CI/CD Session"),8,
OR(ISNUMBER(SEARCH("Cloud",F243)),F243="Industry Readiness Program",ISNUMBER(SEARCH("Talenlio",F243))),9,
OR(ISNUMBER(SEARCH("Innovation",F243)),F243="Mini Project"),10,
OR(ISNUMBER(SEARCH("Data Science",F243)),ISNUMBER(SEARCH("DS",F243))),11,
ISNUMBER(SEARCH("Generative AI",F243)),12
=_xlfn.IFS(
OR(F243="Selenium (Hands-on)",F243="Guest Lecture: HR Interview"),6,
OR(F243="Soft Skill",F243="Soft Skill (Examination)",F243="AWS Training",F243="AWS Session"),7,
OR(ISNUMBER(SEARCH("MAD",F243)),ISNUMBER(SEARCH("STQA",F243)),F243="CI/CD Session"),8,
OR(ISNUMBER(SEARCH("Cloud",F243)),F243="Industry Readiness Program",ISNUMBER(SEARCH("Talenlio",F243))),9,
OR(ISNUMBER(SEARCH("Innovation",F243)),F243="Mini Project"),10,
OR(ISNUMBER(SEARCH("Data Science",F243)),ISNUMBER(SEARCH("DS",F243))),11,
ISNUMBER(SEARCH("Generative AI",F243)),12
=_xlfn.IFS(
OR(F243="Selenium (Hands-on)",F243="Guest Lecture: HR Interview"),6,
OR(F243="Soft Skill",F243="Soft Skill (Examination)",F243="AWS Training",F243="AWS Session"),7,
OR(ISNUMBER(SEARCH("MAD",F243)),ISNUMBER(SEARCH("STQA",F243)),F243="CI/CD Session"),8,
OR(ISNUMBER(SEARCH("Cloud",F243)),F243="Industry Readiness Program",ISNUMBER(SEARCH("Talenlio",F243))),9,
OR(ISNUMBER(SEARCH("Innovation",F243)),F243="Mini Project"),10,
OR(ISNUMBER(SEARCH("Data Science",F243)),ISNUMBER(SEARCH("DS",F243))),11,
ISNUMBER(SEARCH("Generative AI",F243)),12
))))</f>
        <v>7</v>
      </c>
      <c r="X243" s="3">
        <v>8</v>
      </c>
      <c r="Y243" s="3">
        <v>53</v>
      </c>
      <c r="Z243" s="3" t="s">
        <v>38</v>
      </c>
    </row>
    <row r="244" spans="1:26" x14ac:dyDescent="0.3">
      <c r="A244" s="2">
        <v>46240</v>
      </c>
      <c r="B244" s="3" t="s">
        <v>45</v>
      </c>
      <c r="C244" s="3">
        <v>5</v>
      </c>
      <c r="D244" s="4">
        <v>0.60416666666666696</v>
      </c>
      <c r="E244" s="4">
        <v>0.64583333333333304</v>
      </c>
      <c r="F244" s="3" t="s">
        <v>81</v>
      </c>
      <c r="G244" s="3" t="s">
        <v>289</v>
      </c>
      <c r="H244" s="3" t="s">
        <v>29</v>
      </c>
      <c r="I244" s="3" t="s">
        <v>30</v>
      </c>
      <c r="J244" s="3" t="s">
        <v>31</v>
      </c>
      <c r="K244" s="3" t="s">
        <v>52</v>
      </c>
      <c r="L244" s="5">
        <v>103</v>
      </c>
      <c r="M244" s="5">
        <f t="shared" ca="1" si="15"/>
        <v>71</v>
      </c>
      <c r="N244" s="6">
        <f t="shared" ca="1" si="16"/>
        <v>68.932038834951456</v>
      </c>
      <c r="O244" s="3" cm="1">
        <f t="array" aca="1" ref="O244" ca="1">IFERROR(LOOKUP(2, 1/((F$1:F243=F244)*(J$1:J243=J244)*(ROW(F$1:F243)&lt;ROW(F244))), N$1:N243), "")</f>
        <v>64.077669902912632</v>
      </c>
      <c r="P244" s="3">
        <f t="shared" si="19"/>
        <v>0</v>
      </c>
      <c r="Q244" s="3" t="s">
        <v>43</v>
      </c>
      <c r="R244" s="3" t="s">
        <v>40</v>
      </c>
      <c r="S244" s="3" t="str">
        <f t="shared" si="17"/>
        <v>No</v>
      </c>
      <c r="T244" s="3" t="s">
        <v>40</v>
      </c>
      <c r="U244" s="3" t="str">
        <f t="shared" si="18"/>
        <v>Rainy</v>
      </c>
      <c r="V244" s="3" t="s">
        <v>40</v>
      </c>
      <c r="W244" s="3" cm="1">
        <f t="array" ref="W244">_xlfn.IFS(
OR(F244="Selenium (Hands-on)",F244="Guest Lecture: HR Interview"),6,
OR(F244="Soft Skill",F244="Soft Skill (Examination)",F244="AWS Training",F244="AWS Session"),7,
OR(ISNUMBER(SEARCH("MAD",F244)),ISNUMBER(SEARCH("STQA",F244)),F244="CI/CD Session"),8,
OR(ISNUMBER(SEARCH("Cloud",F244)),F244="Industry Readiness Program",ISNUMBER(SEARCH("Talenlio",F244))),9,
OR(ISNUMBER(SEARCH("Innovation",F244)),F244="Mini Project"),10,
OR(ISNUMBER(SEARCH("Data Science",F244)),ISNUMBER(SEARCH("DS",F244))),11,
ISNUMBER(SEARCH("Generative AI",F244)),12
=_xlfn.IFS(
OR(F244="Selenium (Hands-on)",F244="Guest Lecture: HR Interview"),6,
OR(F244="Soft Skill",F244="Soft Skill (Examination)",F244="AWS Training",F244="AWS Session"),7,
OR(ISNUMBER(SEARCH("MAD",F244)),ISNUMBER(SEARCH("STQA",F244)),F244="CI/CD Session"),8,
OR(ISNUMBER(SEARCH("Cloud",F244)),F244="Industry Readiness Program",ISNUMBER(SEARCH("Talenlio",F244))),9,
OR(ISNUMBER(SEARCH("Innovation",F244)),F244="Mini Project"),10,
OR(ISNUMBER(SEARCH("Data Science",F244)),ISNUMBER(SEARCH("DS",F244))),11,
ISNUMBER(SEARCH("Generative AI",F244)),12
=_xlfn.IFS(
OR(F244="Selenium (Hands-on)",F244="Guest Lecture: HR Interview"),6,
OR(F244="Soft Skill",F244="Soft Skill (Examination)",F244="AWS Training",F244="AWS Session"),7,
OR(ISNUMBER(SEARCH("MAD",F244)),ISNUMBER(SEARCH("STQA",F244)),F244="CI/CD Session"),8,
OR(ISNUMBER(SEARCH("Cloud",F244)),F244="Industry Readiness Program",ISNUMBER(SEARCH("Talenlio",F244))),9,
OR(ISNUMBER(SEARCH("Innovation",F244)),F244="Mini Project"),10,
OR(ISNUMBER(SEARCH("Data Science",F244)),ISNUMBER(SEARCH("DS",F244))),11,
ISNUMBER(SEARCH("Generative AI",F244)),12
=_xlfn.IFS(
OR(F244="Selenium (Hands-on)",F244="Guest Lecture: HR Interview"),6,
OR(F244="Soft Skill",F244="Soft Skill (Examination)",F244="AWS Training",F244="AWS Session"),7,
OR(ISNUMBER(SEARCH("MAD",F244)),ISNUMBER(SEARCH("STQA",F244)),F244="CI/CD Session"),8,
OR(ISNUMBER(SEARCH("Cloud",F244)),F244="Industry Readiness Program",ISNUMBER(SEARCH("Talenlio",F244))),9,
OR(ISNUMBER(SEARCH("Innovation",F244)),F244="Mini Project"),10,
OR(ISNUMBER(SEARCH("Data Science",F244)),ISNUMBER(SEARCH("DS",F244))),11,
ISNUMBER(SEARCH("Generative AI",F244)),12
))))</f>
        <v>7</v>
      </c>
      <c r="X244" s="3">
        <v>8</v>
      </c>
      <c r="Y244" s="3">
        <v>53</v>
      </c>
      <c r="Z244" s="3" t="s">
        <v>38</v>
      </c>
    </row>
    <row r="245" spans="1:26" x14ac:dyDescent="0.3">
      <c r="A245" s="2">
        <v>46240</v>
      </c>
      <c r="B245" s="3" t="s">
        <v>45</v>
      </c>
      <c r="C245" s="3">
        <v>6</v>
      </c>
      <c r="D245" s="4">
        <v>0.64583333333333304</v>
      </c>
      <c r="E245" s="4">
        <v>0.6875</v>
      </c>
      <c r="F245" s="3" t="s">
        <v>81</v>
      </c>
      <c r="G245" s="3" t="s">
        <v>289</v>
      </c>
      <c r="H245" s="3" t="s">
        <v>29</v>
      </c>
      <c r="I245" s="3" t="s">
        <v>30</v>
      </c>
      <c r="J245" s="3" t="s">
        <v>31</v>
      </c>
      <c r="K245" s="3" t="s">
        <v>52</v>
      </c>
      <c r="L245" s="5">
        <v>103</v>
      </c>
      <c r="M245" s="5">
        <f t="shared" ca="1" si="15"/>
        <v>59</v>
      </c>
      <c r="N245" s="6">
        <f t="shared" ca="1" si="16"/>
        <v>57.28155339805825</v>
      </c>
      <c r="O245" s="3" cm="1">
        <f t="array" aca="1" ref="O245" ca="1">IFERROR(LOOKUP(2, 1/((F$1:F244=F245)*(J$1:J244=J245)*(ROW(F$1:F244)&lt;ROW(F245))), N$1:N244), "")</f>
        <v>68.932038834951456</v>
      </c>
      <c r="P245" s="3">
        <f t="shared" si="19"/>
        <v>0</v>
      </c>
      <c r="Q245" s="3" t="s">
        <v>43</v>
      </c>
      <c r="R245" s="3" t="s">
        <v>40</v>
      </c>
      <c r="S245" s="3" t="str">
        <f t="shared" si="17"/>
        <v>No</v>
      </c>
      <c r="T245" s="3" t="s">
        <v>40</v>
      </c>
      <c r="U245" s="3" t="str">
        <f t="shared" si="18"/>
        <v>Rainy</v>
      </c>
      <c r="V245" s="3" t="s">
        <v>40</v>
      </c>
      <c r="W245" s="3" cm="1">
        <f t="array" ref="W245">_xlfn.IFS(
OR(F245="Selenium (Hands-on)",F245="Guest Lecture: HR Interview"),6,
OR(F245="Soft Skill",F245="Soft Skill (Examination)",F245="AWS Training",F245="AWS Session"),7,
OR(ISNUMBER(SEARCH("MAD",F245)),ISNUMBER(SEARCH("STQA",F245)),F245="CI/CD Session"),8,
OR(ISNUMBER(SEARCH("Cloud",F245)),F245="Industry Readiness Program",ISNUMBER(SEARCH("Talenlio",F245))),9,
OR(ISNUMBER(SEARCH("Innovation",F245)),F245="Mini Project"),10,
OR(ISNUMBER(SEARCH("Data Science",F245)),ISNUMBER(SEARCH("DS",F245))),11,
ISNUMBER(SEARCH("Generative AI",F245)),12
=_xlfn.IFS(
OR(F245="Selenium (Hands-on)",F245="Guest Lecture: HR Interview"),6,
OR(F245="Soft Skill",F245="Soft Skill (Examination)",F245="AWS Training",F245="AWS Session"),7,
OR(ISNUMBER(SEARCH("MAD",F245)),ISNUMBER(SEARCH("STQA",F245)),F245="CI/CD Session"),8,
OR(ISNUMBER(SEARCH("Cloud",F245)),F245="Industry Readiness Program",ISNUMBER(SEARCH("Talenlio",F245))),9,
OR(ISNUMBER(SEARCH("Innovation",F245)),F245="Mini Project"),10,
OR(ISNUMBER(SEARCH("Data Science",F245)),ISNUMBER(SEARCH("DS",F245))),11,
ISNUMBER(SEARCH("Generative AI",F245)),12
=_xlfn.IFS(
OR(F245="Selenium (Hands-on)",F245="Guest Lecture: HR Interview"),6,
OR(F245="Soft Skill",F245="Soft Skill (Examination)",F245="AWS Training",F245="AWS Session"),7,
OR(ISNUMBER(SEARCH("MAD",F245)),ISNUMBER(SEARCH("STQA",F245)),F245="CI/CD Session"),8,
OR(ISNUMBER(SEARCH("Cloud",F245)),F245="Industry Readiness Program",ISNUMBER(SEARCH("Talenlio",F245))),9,
OR(ISNUMBER(SEARCH("Innovation",F245)),F245="Mini Project"),10,
OR(ISNUMBER(SEARCH("Data Science",F245)),ISNUMBER(SEARCH("DS",F245))),11,
ISNUMBER(SEARCH("Generative AI",F245)),12
=_xlfn.IFS(
OR(F245="Selenium (Hands-on)",F245="Guest Lecture: HR Interview"),6,
OR(F245="Soft Skill",F245="Soft Skill (Examination)",F245="AWS Training",F245="AWS Session"),7,
OR(ISNUMBER(SEARCH("MAD",F245)),ISNUMBER(SEARCH("STQA",F245)),F245="CI/CD Session"),8,
OR(ISNUMBER(SEARCH("Cloud",F245)),F245="Industry Readiness Program",ISNUMBER(SEARCH("Talenlio",F245))),9,
OR(ISNUMBER(SEARCH("Innovation",F245)),F245="Mini Project"),10,
OR(ISNUMBER(SEARCH("Data Science",F245)),ISNUMBER(SEARCH("DS",F245))),11,
ISNUMBER(SEARCH("Generative AI",F245)),12
))))</f>
        <v>7</v>
      </c>
      <c r="X245" s="3">
        <v>8</v>
      </c>
      <c r="Y245" s="3">
        <v>53</v>
      </c>
      <c r="Z245" s="3" t="s">
        <v>38</v>
      </c>
    </row>
    <row r="246" spans="1:26" x14ac:dyDescent="0.3">
      <c r="A246" s="2">
        <v>46241</v>
      </c>
      <c r="B246" s="3" t="s">
        <v>46</v>
      </c>
      <c r="C246" s="3">
        <v>1</v>
      </c>
      <c r="D246" s="4">
        <v>0.38541666666666702</v>
      </c>
      <c r="E246" s="4">
        <v>0.42708333333333298</v>
      </c>
      <c r="F246" s="3" t="s">
        <v>80</v>
      </c>
      <c r="G246" s="3" t="s">
        <v>289</v>
      </c>
      <c r="H246" s="3" t="s">
        <v>29</v>
      </c>
      <c r="I246" s="3" t="s">
        <v>30</v>
      </c>
      <c r="J246" s="3" t="s">
        <v>31</v>
      </c>
      <c r="K246" s="3" t="s">
        <v>52</v>
      </c>
      <c r="L246" s="5">
        <v>103</v>
      </c>
      <c r="M246" s="5">
        <f t="shared" ca="1" si="15"/>
        <v>85</v>
      </c>
      <c r="N246" s="6">
        <f t="shared" ca="1" si="16"/>
        <v>82.524271844660191</v>
      </c>
      <c r="O246" s="3" cm="1">
        <f t="array" aca="1" ref="O246" ca="1">IFERROR(LOOKUP(2, 1/((F$1:F245=F246)*(J$1:J245=J246)*(ROW(F$1:F245)&lt;ROW(F246))), N$1:N245), "")</f>
        <v>73.786407766990294</v>
      </c>
      <c r="P246" s="3">
        <f t="shared" si="19"/>
        <v>0</v>
      </c>
      <c r="Q246" s="3" t="s">
        <v>43</v>
      </c>
      <c r="R246" s="3" t="s">
        <v>40</v>
      </c>
      <c r="S246" s="3" t="str">
        <f t="shared" si="17"/>
        <v>Yes</v>
      </c>
      <c r="T246" s="3" t="s">
        <v>40</v>
      </c>
      <c r="U246" s="3" t="str">
        <f t="shared" si="18"/>
        <v>Rainy</v>
      </c>
      <c r="V246" s="3" t="s">
        <v>40</v>
      </c>
      <c r="W246" s="3" cm="1">
        <f t="array" ref="W246">_xlfn.IFS(
OR(F246="Selenium (Hands-on)",F246="Guest Lecture: HR Interview"),6,
OR(F246="Soft Skill",F246="Soft Skill (Examination)",F246="AWS Training",F246="AWS Session"),7,
OR(ISNUMBER(SEARCH("MAD",F246)),ISNUMBER(SEARCH("STQA",F246)),F246="CI/CD Session"),8,
OR(ISNUMBER(SEARCH("Cloud",F246)),F246="Industry Readiness Program",ISNUMBER(SEARCH("Talenlio",F246))),9,
OR(ISNUMBER(SEARCH("Innovation",F246)),F246="Mini Project"),10,
OR(ISNUMBER(SEARCH("Data Science",F246)),ISNUMBER(SEARCH("DS",F246))),11,
ISNUMBER(SEARCH("Generative AI",F246)),12
=_xlfn.IFS(
OR(F246="Selenium (Hands-on)",F246="Guest Lecture: HR Interview"),6,
OR(F246="Soft Skill",F246="Soft Skill (Examination)",F246="AWS Training",F246="AWS Session"),7,
OR(ISNUMBER(SEARCH("MAD",F246)),ISNUMBER(SEARCH("STQA",F246)),F246="CI/CD Session"),8,
OR(ISNUMBER(SEARCH("Cloud",F246)),F246="Industry Readiness Program",ISNUMBER(SEARCH("Talenlio",F246))),9,
OR(ISNUMBER(SEARCH("Innovation",F246)),F246="Mini Project"),10,
OR(ISNUMBER(SEARCH("Data Science",F246)),ISNUMBER(SEARCH("DS",F246))),11,
ISNUMBER(SEARCH("Generative AI",F246)),12
=_xlfn.IFS(
OR(F246="Selenium (Hands-on)",F246="Guest Lecture: HR Interview"),6,
OR(F246="Soft Skill",F246="Soft Skill (Examination)",F246="AWS Training",F246="AWS Session"),7,
OR(ISNUMBER(SEARCH("MAD",F246)),ISNUMBER(SEARCH("STQA",F246)),F246="CI/CD Session"),8,
OR(ISNUMBER(SEARCH("Cloud",F246)),F246="Industry Readiness Program",ISNUMBER(SEARCH("Talenlio",F246))),9,
OR(ISNUMBER(SEARCH("Innovation",F246)),F246="Mini Project"),10,
OR(ISNUMBER(SEARCH("Data Science",F246)),ISNUMBER(SEARCH("DS",F246))),11,
ISNUMBER(SEARCH("Generative AI",F246)),12
=_xlfn.IFS(
OR(F246="Selenium (Hands-on)",F246="Guest Lecture: HR Interview"),6,
OR(F246="Soft Skill",F246="Soft Skill (Examination)",F246="AWS Training",F246="AWS Session"),7,
OR(ISNUMBER(SEARCH("MAD",F246)),ISNUMBER(SEARCH("STQA",F246)),F246="CI/CD Session"),8,
OR(ISNUMBER(SEARCH("Cloud",F246)),F246="Industry Readiness Program",ISNUMBER(SEARCH("Talenlio",F246))),9,
OR(ISNUMBER(SEARCH("Innovation",F246)),F246="Mini Project"),10,
OR(ISNUMBER(SEARCH("Data Science",F246)),ISNUMBER(SEARCH("DS",F246))),11,
ISNUMBER(SEARCH("Generative AI",F246)),12
))))</f>
        <v>8</v>
      </c>
      <c r="X246" s="3">
        <v>8</v>
      </c>
      <c r="Y246" s="3">
        <v>54</v>
      </c>
      <c r="Z246" s="3" t="s">
        <v>35</v>
      </c>
    </row>
    <row r="247" spans="1:26" x14ac:dyDescent="0.3">
      <c r="A247" s="2">
        <v>46241</v>
      </c>
      <c r="B247" s="3" t="s">
        <v>46</v>
      </c>
      <c r="C247" s="3">
        <v>2</v>
      </c>
      <c r="D247" s="4">
        <v>0.42708333333333298</v>
      </c>
      <c r="E247" s="4">
        <v>0.46875</v>
      </c>
      <c r="F247" s="3" t="s">
        <v>80</v>
      </c>
      <c r="G247" s="3" t="s">
        <v>289</v>
      </c>
      <c r="H247" s="3" t="s">
        <v>29</v>
      </c>
      <c r="I247" s="3" t="s">
        <v>30</v>
      </c>
      <c r="J247" s="3" t="s">
        <v>31</v>
      </c>
      <c r="K247" s="3" t="s">
        <v>52</v>
      </c>
      <c r="L247" s="5">
        <v>103</v>
      </c>
      <c r="M247" s="5">
        <f t="shared" ca="1" si="15"/>
        <v>72</v>
      </c>
      <c r="N247" s="6">
        <f t="shared" ca="1" si="16"/>
        <v>69.902912621359221</v>
      </c>
      <c r="O247" s="3" cm="1">
        <f t="array" aca="1" ref="O247" ca="1">IFERROR(LOOKUP(2, 1/((F$1:F246=F247)*(J$1:J246=J247)*(ROW(F$1:F246)&lt;ROW(F247))), N$1:N246), "")</f>
        <v>82.524271844660191</v>
      </c>
      <c r="P247" s="3">
        <f t="shared" si="19"/>
        <v>0</v>
      </c>
      <c r="Q247" s="3" t="s">
        <v>43</v>
      </c>
      <c r="R247" s="3" t="s">
        <v>40</v>
      </c>
      <c r="S247" s="3" t="str">
        <f t="shared" si="17"/>
        <v>Yes</v>
      </c>
      <c r="T247" s="3" t="s">
        <v>40</v>
      </c>
      <c r="U247" s="3" t="str">
        <f t="shared" si="18"/>
        <v>Rainy</v>
      </c>
      <c r="V247" s="3" t="s">
        <v>40</v>
      </c>
      <c r="W247" s="3" cm="1">
        <f t="array" ref="W247">_xlfn.IFS(
OR(F247="Selenium (Hands-on)",F247="Guest Lecture: HR Interview"),6,
OR(F247="Soft Skill",F247="Soft Skill (Examination)",F247="AWS Training",F247="AWS Session"),7,
OR(ISNUMBER(SEARCH("MAD",F247)),ISNUMBER(SEARCH("STQA",F247)),F247="CI/CD Session"),8,
OR(ISNUMBER(SEARCH("Cloud",F247)),F247="Industry Readiness Program",ISNUMBER(SEARCH("Talenlio",F247))),9,
OR(ISNUMBER(SEARCH("Innovation",F247)),F247="Mini Project"),10,
OR(ISNUMBER(SEARCH("Data Science",F247)),ISNUMBER(SEARCH("DS",F247))),11,
ISNUMBER(SEARCH("Generative AI",F247)),12
=_xlfn.IFS(
OR(F247="Selenium (Hands-on)",F247="Guest Lecture: HR Interview"),6,
OR(F247="Soft Skill",F247="Soft Skill (Examination)",F247="AWS Training",F247="AWS Session"),7,
OR(ISNUMBER(SEARCH("MAD",F247)),ISNUMBER(SEARCH("STQA",F247)),F247="CI/CD Session"),8,
OR(ISNUMBER(SEARCH("Cloud",F247)),F247="Industry Readiness Program",ISNUMBER(SEARCH("Talenlio",F247))),9,
OR(ISNUMBER(SEARCH("Innovation",F247)),F247="Mini Project"),10,
OR(ISNUMBER(SEARCH("Data Science",F247)),ISNUMBER(SEARCH("DS",F247))),11,
ISNUMBER(SEARCH("Generative AI",F247)),12
=_xlfn.IFS(
OR(F247="Selenium (Hands-on)",F247="Guest Lecture: HR Interview"),6,
OR(F247="Soft Skill",F247="Soft Skill (Examination)",F247="AWS Training",F247="AWS Session"),7,
OR(ISNUMBER(SEARCH("MAD",F247)),ISNUMBER(SEARCH("STQA",F247)),F247="CI/CD Session"),8,
OR(ISNUMBER(SEARCH("Cloud",F247)),F247="Industry Readiness Program",ISNUMBER(SEARCH("Talenlio",F247))),9,
OR(ISNUMBER(SEARCH("Innovation",F247)),F247="Mini Project"),10,
OR(ISNUMBER(SEARCH("Data Science",F247)),ISNUMBER(SEARCH("DS",F247))),11,
ISNUMBER(SEARCH("Generative AI",F247)),12
=_xlfn.IFS(
OR(F247="Selenium (Hands-on)",F247="Guest Lecture: HR Interview"),6,
OR(F247="Soft Skill",F247="Soft Skill (Examination)",F247="AWS Training",F247="AWS Session"),7,
OR(ISNUMBER(SEARCH("MAD",F247)),ISNUMBER(SEARCH("STQA",F247)),F247="CI/CD Session"),8,
OR(ISNUMBER(SEARCH("Cloud",F247)),F247="Industry Readiness Program",ISNUMBER(SEARCH("Talenlio",F247))),9,
OR(ISNUMBER(SEARCH("Innovation",F247)),F247="Mini Project"),10,
OR(ISNUMBER(SEARCH("Data Science",F247)),ISNUMBER(SEARCH("DS",F247))),11,
ISNUMBER(SEARCH("Generative AI",F247)),12
))))</f>
        <v>8</v>
      </c>
      <c r="X247" s="3">
        <v>8</v>
      </c>
      <c r="Y247" s="3">
        <v>54</v>
      </c>
      <c r="Z247" s="3" t="s">
        <v>35</v>
      </c>
    </row>
    <row r="248" spans="1:26" x14ac:dyDescent="0.3">
      <c r="A248" s="2">
        <v>46241</v>
      </c>
      <c r="B248" s="3" t="s">
        <v>46</v>
      </c>
      <c r="C248" s="3">
        <v>3</v>
      </c>
      <c r="D248" s="4">
        <v>0.46875</v>
      </c>
      <c r="E248" s="4">
        <v>0.51041666666666696</v>
      </c>
      <c r="F248" s="3" t="s">
        <v>80</v>
      </c>
      <c r="G248" s="3" t="s">
        <v>289</v>
      </c>
      <c r="H248" s="3" t="s">
        <v>29</v>
      </c>
      <c r="I248" s="3" t="s">
        <v>30</v>
      </c>
      <c r="J248" s="3" t="s">
        <v>31</v>
      </c>
      <c r="K248" s="3" t="s">
        <v>52</v>
      </c>
      <c r="L248" s="5">
        <v>103</v>
      </c>
      <c r="M248" s="5">
        <f t="shared" ca="1" si="15"/>
        <v>77</v>
      </c>
      <c r="N248" s="6">
        <f t="shared" ca="1" si="16"/>
        <v>74.757281553398059</v>
      </c>
      <c r="O248" s="3" cm="1">
        <f t="array" aca="1" ref="O248" ca="1">IFERROR(LOOKUP(2, 1/((F$1:F247=F248)*(J$1:J247=J248)*(ROW(F$1:F247)&lt;ROW(F248))), N$1:N247), "")</f>
        <v>69.902912621359221</v>
      </c>
      <c r="P248" s="3">
        <f t="shared" si="19"/>
        <v>0</v>
      </c>
      <c r="Q248" s="3" t="s">
        <v>43</v>
      </c>
      <c r="R248" s="3" t="s">
        <v>40</v>
      </c>
      <c r="S248" s="3" t="str">
        <f t="shared" si="17"/>
        <v>Yes</v>
      </c>
      <c r="T248" s="3" t="s">
        <v>40</v>
      </c>
      <c r="U248" s="3" t="str">
        <f t="shared" si="18"/>
        <v>Rainy</v>
      </c>
      <c r="V248" s="3" t="s">
        <v>40</v>
      </c>
      <c r="W248" s="3" cm="1">
        <f t="array" ref="W248">_xlfn.IFS(
OR(F248="Selenium (Hands-on)",F248="Guest Lecture: HR Interview"),6,
OR(F248="Soft Skill",F248="Soft Skill (Examination)",F248="AWS Training",F248="AWS Session"),7,
OR(ISNUMBER(SEARCH("MAD",F248)),ISNUMBER(SEARCH("STQA",F248)),F248="CI/CD Session"),8,
OR(ISNUMBER(SEARCH("Cloud",F248)),F248="Industry Readiness Program",ISNUMBER(SEARCH("Talenlio",F248))),9,
OR(ISNUMBER(SEARCH("Innovation",F248)),F248="Mini Project"),10,
OR(ISNUMBER(SEARCH("Data Science",F248)),ISNUMBER(SEARCH("DS",F248))),11,
ISNUMBER(SEARCH("Generative AI",F248)),12
=_xlfn.IFS(
OR(F248="Selenium (Hands-on)",F248="Guest Lecture: HR Interview"),6,
OR(F248="Soft Skill",F248="Soft Skill (Examination)",F248="AWS Training",F248="AWS Session"),7,
OR(ISNUMBER(SEARCH("MAD",F248)),ISNUMBER(SEARCH("STQA",F248)),F248="CI/CD Session"),8,
OR(ISNUMBER(SEARCH("Cloud",F248)),F248="Industry Readiness Program",ISNUMBER(SEARCH("Talenlio",F248))),9,
OR(ISNUMBER(SEARCH("Innovation",F248)),F248="Mini Project"),10,
OR(ISNUMBER(SEARCH("Data Science",F248)),ISNUMBER(SEARCH("DS",F248))),11,
ISNUMBER(SEARCH("Generative AI",F248)),12
=_xlfn.IFS(
OR(F248="Selenium (Hands-on)",F248="Guest Lecture: HR Interview"),6,
OR(F248="Soft Skill",F248="Soft Skill (Examination)",F248="AWS Training",F248="AWS Session"),7,
OR(ISNUMBER(SEARCH("MAD",F248)),ISNUMBER(SEARCH("STQA",F248)),F248="CI/CD Session"),8,
OR(ISNUMBER(SEARCH("Cloud",F248)),F248="Industry Readiness Program",ISNUMBER(SEARCH("Talenlio",F248))),9,
OR(ISNUMBER(SEARCH("Innovation",F248)),F248="Mini Project"),10,
OR(ISNUMBER(SEARCH("Data Science",F248)),ISNUMBER(SEARCH("DS",F248))),11,
ISNUMBER(SEARCH("Generative AI",F248)),12
=_xlfn.IFS(
OR(F248="Selenium (Hands-on)",F248="Guest Lecture: HR Interview"),6,
OR(F248="Soft Skill",F248="Soft Skill (Examination)",F248="AWS Training",F248="AWS Session"),7,
OR(ISNUMBER(SEARCH("MAD",F248)),ISNUMBER(SEARCH("STQA",F248)),F248="CI/CD Session"),8,
OR(ISNUMBER(SEARCH("Cloud",F248)),F248="Industry Readiness Program",ISNUMBER(SEARCH("Talenlio",F248))),9,
OR(ISNUMBER(SEARCH("Innovation",F248)),F248="Mini Project"),10,
OR(ISNUMBER(SEARCH("Data Science",F248)),ISNUMBER(SEARCH("DS",F248))),11,
ISNUMBER(SEARCH("Generative AI",F248)),12
))))</f>
        <v>8</v>
      </c>
      <c r="X248" s="3">
        <v>8</v>
      </c>
      <c r="Y248" s="3">
        <v>54</v>
      </c>
      <c r="Z248" s="3" t="s">
        <v>35</v>
      </c>
    </row>
    <row r="249" spans="1:26" x14ac:dyDescent="0.3">
      <c r="A249" s="2">
        <v>46241</v>
      </c>
      <c r="B249" s="3" t="s">
        <v>46</v>
      </c>
      <c r="C249" s="3">
        <v>4</v>
      </c>
      <c r="D249" s="4">
        <v>0.5625</v>
      </c>
      <c r="E249" s="4">
        <v>0.60416666666666696</v>
      </c>
      <c r="F249" s="3" t="s">
        <v>81</v>
      </c>
      <c r="G249" s="3" t="s">
        <v>289</v>
      </c>
      <c r="H249" s="3" t="s">
        <v>29</v>
      </c>
      <c r="I249" s="3" t="s">
        <v>30</v>
      </c>
      <c r="J249" s="3" t="s">
        <v>31</v>
      </c>
      <c r="K249" s="3" t="s">
        <v>52</v>
      </c>
      <c r="L249" s="5">
        <v>103</v>
      </c>
      <c r="M249" s="5">
        <f t="shared" ca="1" si="15"/>
        <v>55</v>
      </c>
      <c r="N249" s="6">
        <f t="shared" ca="1" si="16"/>
        <v>53.398058252427184</v>
      </c>
      <c r="O249" s="3" cm="1">
        <f t="array" aca="1" ref="O249" ca="1">IFERROR(LOOKUP(2, 1/((F$1:F248=F249)*(J$1:J248=J249)*(ROW(F$1:F248)&lt;ROW(F249))), N$1:N248), "")</f>
        <v>57.28155339805825</v>
      </c>
      <c r="P249" s="3">
        <f t="shared" si="19"/>
        <v>1.25</v>
      </c>
      <c r="Q249" s="3" t="s">
        <v>43</v>
      </c>
      <c r="R249" s="3" t="s">
        <v>40</v>
      </c>
      <c r="S249" s="3" t="str">
        <f t="shared" si="17"/>
        <v>Yes</v>
      </c>
      <c r="T249" s="3" t="s">
        <v>40</v>
      </c>
      <c r="U249" s="3" t="str">
        <f t="shared" si="18"/>
        <v>Rainy</v>
      </c>
      <c r="V249" s="3" t="s">
        <v>40</v>
      </c>
      <c r="W249" s="3" cm="1">
        <f t="array" ref="W249">_xlfn.IFS(
OR(F249="Selenium (Hands-on)",F249="Guest Lecture: HR Interview"),6,
OR(F249="Soft Skill",F249="Soft Skill (Examination)",F249="AWS Training",F249="AWS Session"),7,
OR(ISNUMBER(SEARCH("MAD",F249)),ISNUMBER(SEARCH("STQA",F249)),F249="CI/CD Session"),8,
OR(ISNUMBER(SEARCH("Cloud",F249)),F249="Industry Readiness Program",ISNUMBER(SEARCH("Talenlio",F249))),9,
OR(ISNUMBER(SEARCH("Innovation",F249)),F249="Mini Project"),10,
OR(ISNUMBER(SEARCH("Data Science",F249)),ISNUMBER(SEARCH("DS",F249))),11,
ISNUMBER(SEARCH("Generative AI",F249)),12
=_xlfn.IFS(
OR(F249="Selenium (Hands-on)",F249="Guest Lecture: HR Interview"),6,
OR(F249="Soft Skill",F249="Soft Skill (Examination)",F249="AWS Training",F249="AWS Session"),7,
OR(ISNUMBER(SEARCH("MAD",F249)),ISNUMBER(SEARCH("STQA",F249)),F249="CI/CD Session"),8,
OR(ISNUMBER(SEARCH("Cloud",F249)),F249="Industry Readiness Program",ISNUMBER(SEARCH("Talenlio",F249))),9,
OR(ISNUMBER(SEARCH("Innovation",F249)),F249="Mini Project"),10,
OR(ISNUMBER(SEARCH("Data Science",F249)),ISNUMBER(SEARCH("DS",F249))),11,
ISNUMBER(SEARCH("Generative AI",F249)),12
=_xlfn.IFS(
OR(F249="Selenium (Hands-on)",F249="Guest Lecture: HR Interview"),6,
OR(F249="Soft Skill",F249="Soft Skill (Examination)",F249="AWS Training",F249="AWS Session"),7,
OR(ISNUMBER(SEARCH("MAD",F249)),ISNUMBER(SEARCH("STQA",F249)),F249="CI/CD Session"),8,
OR(ISNUMBER(SEARCH("Cloud",F249)),F249="Industry Readiness Program",ISNUMBER(SEARCH("Talenlio",F249))),9,
OR(ISNUMBER(SEARCH("Innovation",F249)),F249="Mini Project"),10,
OR(ISNUMBER(SEARCH("Data Science",F249)),ISNUMBER(SEARCH("DS",F249))),11,
ISNUMBER(SEARCH("Generative AI",F249)),12
=_xlfn.IFS(
OR(F249="Selenium (Hands-on)",F249="Guest Lecture: HR Interview"),6,
OR(F249="Soft Skill",F249="Soft Skill (Examination)",F249="AWS Training",F249="AWS Session"),7,
OR(ISNUMBER(SEARCH("MAD",F249)),ISNUMBER(SEARCH("STQA",F249)),F249="CI/CD Session"),8,
OR(ISNUMBER(SEARCH("Cloud",F249)),F249="Industry Readiness Program",ISNUMBER(SEARCH("Talenlio",F249))),9,
OR(ISNUMBER(SEARCH("Innovation",F249)),F249="Mini Project"),10,
OR(ISNUMBER(SEARCH("Data Science",F249)),ISNUMBER(SEARCH("DS",F249))),11,
ISNUMBER(SEARCH("Generative AI",F249)),12
))))</f>
        <v>7</v>
      </c>
      <c r="X249" s="3">
        <v>8</v>
      </c>
      <c r="Y249" s="3">
        <v>54</v>
      </c>
      <c r="Z249" s="3" t="s">
        <v>38</v>
      </c>
    </row>
    <row r="250" spans="1:26" x14ac:dyDescent="0.3">
      <c r="A250" s="2">
        <v>46241</v>
      </c>
      <c r="B250" s="3" t="s">
        <v>46</v>
      </c>
      <c r="C250" s="3">
        <v>5</v>
      </c>
      <c r="D250" s="4">
        <v>0.60416666666666696</v>
      </c>
      <c r="E250" s="4">
        <v>0.64583333333333304</v>
      </c>
      <c r="F250" s="3" t="s">
        <v>81</v>
      </c>
      <c r="G250" s="3" t="s">
        <v>289</v>
      </c>
      <c r="H250" s="3" t="s">
        <v>29</v>
      </c>
      <c r="I250" s="3" t="s">
        <v>30</v>
      </c>
      <c r="J250" s="3" t="s">
        <v>31</v>
      </c>
      <c r="K250" s="3" t="s">
        <v>52</v>
      </c>
      <c r="L250" s="5">
        <v>103</v>
      </c>
      <c r="M250" s="5">
        <f t="shared" ca="1" si="15"/>
        <v>48</v>
      </c>
      <c r="N250" s="6">
        <f t="shared" ca="1" si="16"/>
        <v>46.601941747572816</v>
      </c>
      <c r="O250" s="3" cm="1">
        <f t="array" aca="1" ref="O250" ca="1">IFERROR(LOOKUP(2, 1/((F$1:F249=F250)*(J$1:J249=J250)*(ROW(F$1:F249)&lt;ROW(F250))), N$1:N249), "")</f>
        <v>53.398058252427184</v>
      </c>
      <c r="P250" s="3">
        <f t="shared" si="19"/>
        <v>0</v>
      </c>
      <c r="Q250" s="3" t="s">
        <v>43</v>
      </c>
      <c r="R250" s="3" t="s">
        <v>40</v>
      </c>
      <c r="S250" s="3" t="str">
        <f t="shared" si="17"/>
        <v>Yes</v>
      </c>
      <c r="T250" s="3" t="s">
        <v>40</v>
      </c>
      <c r="U250" s="3" t="str">
        <f t="shared" si="18"/>
        <v>Rainy</v>
      </c>
      <c r="V250" s="3" t="s">
        <v>40</v>
      </c>
      <c r="W250" s="3" cm="1">
        <f t="array" ref="W250">_xlfn.IFS(
OR(F250="Selenium (Hands-on)",F250="Guest Lecture: HR Interview"),6,
OR(F250="Soft Skill",F250="Soft Skill (Examination)",F250="AWS Training",F250="AWS Session"),7,
OR(ISNUMBER(SEARCH("MAD",F250)),ISNUMBER(SEARCH("STQA",F250)),F250="CI/CD Session"),8,
OR(ISNUMBER(SEARCH("Cloud",F250)),F250="Industry Readiness Program",ISNUMBER(SEARCH("Talenlio",F250))),9,
OR(ISNUMBER(SEARCH("Innovation",F250)),F250="Mini Project"),10,
OR(ISNUMBER(SEARCH("Data Science",F250)),ISNUMBER(SEARCH("DS",F250))),11,
ISNUMBER(SEARCH("Generative AI",F250)),12
=_xlfn.IFS(
OR(F250="Selenium (Hands-on)",F250="Guest Lecture: HR Interview"),6,
OR(F250="Soft Skill",F250="Soft Skill (Examination)",F250="AWS Training",F250="AWS Session"),7,
OR(ISNUMBER(SEARCH("MAD",F250)),ISNUMBER(SEARCH("STQA",F250)),F250="CI/CD Session"),8,
OR(ISNUMBER(SEARCH("Cloud",F250)),F250="Industry Readiness Program",ISNUMBER(SEARCH("Talenlio",F250))),9,
OR(ISNUMBER(SEARCH("Innovation",F250)),F250="Mini Project"),10,
OR(ISNUMBER(SEARCH("Data Science",F250)),ISNUMBER(SEARCH("DS",F250))),11,
ISNUMBER(SEARCH("Generative AI",F250)),12
=_xlfn.IFS(
OR(F250="Selenium (Hands-on)",F250="Guest Lecture: HR Interview"),6,
OR(F250="Soft Skill",F250="Soft Skill (Examination)",F250="AWS Training",F250="AWS Session"),7,
OR(ISNUMBER(SEARCH("MAD",F250)),ISNUMBER(SEARCH("STQA",F250)),F250="CI/CD Session"),8,
OR(ISNUMBER(SEARCH("Cloud",F250)),F250="Industry Readiness Program",ISNUMBER(SEARCH("Talenlio",F250))),9,
OR(ISNUMBER(SEARCH("Innovation",F250)),F250="Mini Project"),10,
OR(ISNUMBER(SEARCH("Data Science",F250)),ISNUMBER(SEARCH("DS",F250))),11,
ISNUMBER(SEARCH("Generative AI",F250)),12
=_xlfn.IFS(
OR(F250="Selenium (Hands-on)",F250="Guest Lecture: HR Interview"),6,
OR(F250="Soft Skill",F250="Soft Skill (Examination)",F250="AWS Training",F250="AWS Session"),7,
OR(ISNUMBER(SEARCH("MAD",F250)),ISNUMBER(SEARCH("STQA",F250)),F250="CI/CD Session"),8,
OR(ISNUMBER(SEARCH("Cloud",F250)),F250="Industry Readiness Program",ISNUMBER(SEARCH("Talenlio",F250))),9,
OR(ISNUMBER(SEARCH("Innovation",F250)),F250="Mini Project"),10,
OR(ISNUMBER(SEARCH("Data Science",F250)),ISNUMBER(SEARCH("DS",F250))),11,
ISNUMBER(SEARCH("Generative AI",F250)),12
))))</f>
        <v>7</v>
      </c>
      <c r="X250" s="3">
        <v>8</v>
      </c>
      <c r="Y250" s="3">
        <v>54</v>
      </c>
      <c r="Z250" s="3" t="s">
        <v>38</v>
      </c>
    </row>
    <row r="251" spans="1:26" x14ac:dyDescent="0.3">
      <c r="A251" s="2">
        <v>46241</v>
      </c>
      <c r="B251" s="3" t="s">
        <v>46</v>
      </c>
      <c r="C251" s="3">
        <v>6</v>
      </c>
      <c r="D251" s="4">
        <v>0.64583333333333304</v>
      </c>
      <c r="E251" s="4">
        <v>0.6875</v>
      </c>
      <c r="F251" s="3" t="s">
        <v>81</v>
      </c>
      <c r="G251" s="3" t="s">
        <v>289</v>
      </c>
      <c r="H251" s="3" t="s">
        <v>29</v>
      </c>
      <c r="I251" s="3" t="s">
        <v>30</v>
      </c>
      <c r="J251" s="3" t="s">
        <v>31</v>
      </c>
      <c r="K251" s="3" t="s">
        <v>52</v>
      </c>
      <c r="L251" s="5">
        <v>103</v>
      </c>
      <c r="M251" s="5">
        <f t="shared" ca="1" si="15"/>
        <v>88</v>
      </c>
      <c r="N251" s="6">
        <f t="shared" ca="1" si="16"/>
        <v>85.436893203883486</v>
      </c>
      <c r="O251" s="3" cm="1">
        <f t="array" aca="1" ref="O251" ca="1">IFERROR(LOOKUP(2, 1/((F$1:F250=F251)*(J$1:J250=J251)*(ROW(F$1:F250)&lt;ROW(F251))), N$1:N250), "")</f>
        <v>46.601941747572816</v>
      </c>
      <c r="P251" s="3">
        <f t="shared" si="19"/>
        <v>0</v>
      </c>
      <c r="Q251" s="3" t="s">
        <v>43</v>
      </c>
      <c r="R251" s="3" t="s">
        <v>40</v>
      </c>
      <c r="S251" s="3" t="str">
        <f t="shared" si="17"/>
        <v>Yes</v>
      </c>
      <c r="T251" s="3" t="s">
        <v>40</v>
      </c>
      <c r="U251" s="3" t="str">
        <f t="shared" si="18"/>
        <v>Rainy</v>
      </c>
      <c r="V251" s="3" t="s">
        <v>40</v>
      </c>
      <c r="W251" s="3" cm="1">
        <f t="array" ref="W251">_xlfn.IFS(
OR(F251="Selenium (Hands-on)",F251="Guest Lecture: HR Interview"),6,
OR(F251="Soft Skill",F251="Soft Skill (Examination)",F251="AWS Training",F251="AWS Session"),7,
OR(ISNUMBER(SEARCH("MAD",F251)),ISNUMBER(SEARCH("STQA",F251)),F251="CI/CD Session"),8,
OR(ISNUMBER(SEARCH("Cloud",F251)),F251="Industry Readiness Program",ISNUMBER(SEARCH("Talenlio",F251))),9,
OR(ISNUMBER(SEARCH("Innovation",F251)),F251="Mini Project"),10,
OR(ISNUMBER(SEARCH("Data Science",F251)),ISNUMBER(SEARCH("DS",F251))),11,
ISNUMBER(SEARCH("Generative AI",F251)),12
=_xlfn.IFS(
OR(F251="Selenium (Hands-on)",F251="Guest Lecture: HR Interview"),6,
OR(F251="Soft Skill",F251="Soft Skill (Examination)",F251="AWS Training",F251="AWS Session"),7,
OR(ISNUMBER(SEARCH("MAD",F251)),ISNUMBER(SEARCH("STQA",F251)),F251="CI/CD Session"),8,
OR(ISNUMBER(SEARCH("Cloud",F251)),F251="Industry Readiness Program",ISNUMBER(SEARCH("Talenlio",F251))),9,
OR(ISNUMBER(SEARCH("Innovation",F251)),F251="Mini Project"),10,
OR(ISNUMBER(SEARCH("Data Science",F251)),ISNUMBER(SEARCH("DS",F251))),11,
ISNUMBER(SEARCH("Generative AI",F251)),12
=_xlfn.IFS(
OR(F251="Selenium (Hands-on)",F251="Guest Lecture: HR Interview"),6,
OR(F251="Soft Skill",F251="Soft Skill (Examination)",F251="AWS Training",F251="AWS Session"),7,
OR(ISNUMBER(SEARCH("MAD",F251)),ISNUMBER(SEARCH("STQA",F251)),F251="CI/CD Session"),8,
OR(ISNUMBER(SEARCH("Cloud",F251)),F251="Industry Readiness Program",ISNUMBER(SEARCH("Talenlio",F251))),9,
OR(ISNUMBER(SEARCH("Innovation",F251)),F251="Mini Project"),10,
OR(ISNUMBER(SEARCH("Data Science",F251)),ISNUMBER(SEARCH("DS",F251))),11,
ISNUMBER(SEARCH("Generative AI",F251)),12
=_xlfn.IFS(
OR(F251="Selenium (Hands-on)",F251="Guest Lecture: HR Interview"),6,
OR(F251="Soft Skill",F251="Soft Skill (Examination)",F251="AWS Training",F251="AWS Session"),7,
OR(ISNUMBER(SEARCH("MAD",F251)),ISNUMBER(SEARCH("STQA",F251)),F251="CI/CD Session"),8,
OR(ISNUMBER(SEARCH("Cloud",F251)),F251="Industry Readiness Program",ISNUMBER(SEARCH("Talenlio",F251))),9,
OR(ISNUMBER(SEARCH("Innovation",F251)),F251="Mini Project"),10,
OR(ISNUMBER(SEARCH("Data Science",F251)),ISNUMBER(SEARCH("DS",F251))),11,
ISNUMBER(SEARCH("Generative AI",F251)),12
))))</f>
        <v>7</v>
      </c>
      <c r="X251" s="3">
        <v>8</v>
      </c>
      <c r="Y251" s="3">
        <v>54</v>
      </c>
      <c r="Z251" s="3" t="s">
        <v>38</v>
      </c>
    </row>
    <row r="252" spans="1:26" x14ac:dyDescent="0.3">
      <c r="A252" s="2">
        <v>46242</v>
      </c>
      <c r="B252" s="3" t="s">
        <v>47</v>
      </c>
      <c r="C252" s="3">
        <v>1</v>
      </c>
      <c r="D252" s="4">
        <v>0.35416666666666702</v>
      </c>
      <c r="E252" s="4">
        <v>0.38541666666666702</v>
      </c>
      <c r="F252" s="3" t="s">
        <v>65</v>
      </c>
      <c r="G252" s="3" t="s">
        <v>51</v>
      </c>
      <c r="H252" s="3" t="s">
        <v>29</v>
      </c>
      <c r="I252" s="3" t="s">
        <v>30</v>
      </c>
      <c r="J252" s="3" t="s">
        <v>31</v>
      </c>
      <c r="K252" s="3" t="s">
        <v>52</v>
      </c>
      <c r="L252" s="5">
        <v>103</v>
      </c>
      <c r="M252" s="5">
        <f t="shared" ca="1" si="15"/>
        <v>78</v>
      </c>
      <c r="N252" s="6">
        <f t="shared" ca="1" si="16"/>
        <v>75.728155339805824</v>
      </c>
      <c r="O252" s="3" cm="1">
        <f t="array" aca="1" ref="O252" ca="1">IFERROR(LOOKUP(2, 1/((F$1:F251=F252)*(J$1:J251=J252)*(ROW(F$1:F251)&lt;ROW(F252))), N$1:N251), "")</f>
        <v>76.699029126213588</v>
      </c>
      <c r="P252" s="3">
        <f t="shared" si="19"/>
        <v>0</v>
      </c>
      <c r="Q252" s="3" t="s">
        <v>43</v>
      </c>
      <c r="R252" s="3" t="s">
        <v>40</v>
      </c>
      <c r="S252" s="3" t="str">
        <f t="shared" si="17"/>
        <v>No</v>
      </c>
      <c r="T252" s="3" t="s">
        <v>34</v>
      </c>
      <c r="U252" s="3" t="str">
        <f t="shared" si="18"/>
        <v>Rainy</v>
      </c>
      <c r="V252" s="3" t="s">
        <v>40</v>
      </c>
      <c r="W252" s="3" cm="1">
        <f t="array" ref="W252">_xlfn.IFS(
OR(F252="Selenium (Hands-on)",F252="Guest Lecture: HR Interview"),6,
OR(F252="Soft Skill",F252="Soft Skill (Examination)",F252="AWS Training",F252="AWS Session"),7,
OR(ISNUMBER(SEARCH("MAD",F252)),ISNUMBER(SEARCH("STQA",F252)),F252="CI/CD Session"),8,
OR(ISNUMBER(SEARCH("Cloud",F252)),F252="Industry Readiness Program",ISNUMBER(SEARCH("Talenlio",F252))),9,
OR(ISNUMBER(SEARCH("Innovation",F252)),F252="Mini Project"),10,
OR(ISNUMBER(SEARCH("Data Science",F252)),ISNUMBER(SEARCH("DS",F252))),11,
ISNUMBER(SEARCH("Generative AI",F252)),12
=_xlfn.IFS(
OR(F252="Selenium (Hands-on)",F252="Guest Lecture: HR Interview"),6,
OR(F252="Soft Skill",F252="Soft Skill (Examination)",F252="AWS Training",F252="AWS Session"),7,
OR(ISNUMBER(SEARCH("MAD",F252)),ISNUMBER(SEARCH("STQA",F252)),F252="CI/CD Session"),8,
OR(ISNUMBER(SEARCH("Cloud",F252)),F252="Industry Readiness Program",ISNUMBER(SEARCH("Talenlio",F252))),9,
OR(ISNUMBER(SEARCH("Innovation",F252)),F252="Mini Project"),10,
OR(ISNUMBER(SEARCH("Data Science",F252)),ISNUMBER(SEARCH("DS",F252))),11,
ISNUMBER(SEARCH("Generative AI",F252)),12
=_xlfn.IFS(
OR(F252="Selenium (Hands-on)",F252="Guest Lecture: HR Interview"),6,
OR(F252="Soft Skill",F252="Soft Skill (Examination)",F252="AWS Training",F252="AWS Session"),7,
OR(ISNUMBER(SEARCH("MAD",F252)),ISNUMBER(SEARCH("STQA",F252)),F252="CI/CD Session"),8,
OR(ISNUMBER(SEARCH("Cloud",F252)),F252="Industry Readiness Program",ISNUMBER(SEARCH("Talenlio",F252))),9,
OR(ISNUMBER(SEARCH("Innovation",F252)),F252="Mini Project"),10,
OR(ISNUMBER(SEARCH("Data Science",F252)),ISNUMBER(SEARCH("DS",F252))),11,
ISNUMBER(SEARCH("Generative AI",F252)),12
=_xlfn.IFS(
OR(F252="Selenium (Hands-on)",F252="Guest Lecture: HR Interview"),6,
OR(F252="Soft Skill",F252="Soft Skill (Examination)",F252="AWS Training",F252="AWS Session"),7,
OR(ISNUMBER(SEARCH("MAD",F252)),ISNUMBER(SEARCH("STQA",F252)),F252="CI/CD Session"),8,
OR(ISNUMBER(SEARCH("Cloud",F252)),F252="Industry Readiness Program",ISNUMBER(SEARCH("Talenlio",F252))),9,
OR(ISNUMBER(SEARCH("Innovation",F252)),F252="Mini Project"),10,
OR(ISNUMBER(SEARCH("Data Science",F252)),ISNUMBER(SEARCH("DS",F252))),11,
ISNUMBER(SEARCH("Generative AI",F252)),12
))))</f>
        <v>8</v>
      </c>
      <c r="X252" s="3">
        <v>8</v>
      </c>
      <c r="Y252" s="3">
        <v>55</v>
      </c>
      <c r="Z252" s="3" t="s">
        <v>35</v>
      </c>
    </row>
    <row r="253" spans="1:26" x14ac:dyDescent="0.3">
      <c r="A253" s="2">
        <v>46242</v>
      </c>
      <c r="B253" s="3" t="s">
        <v>47</v>
      </c>
      <c r="C253" s="3">
        <v>2</v>
      </c>
      <c r="D253" s="4">
        <v>0.38541666666666702</v>
      </c>
      <c r="E253" s="4">
        <v>0.42708333333333298</v>
      </c>
      <c r="F253" s="3" t="s">
        <v>65</v>
      </c>
      <c r="G253" s="3" t="s">
        <v>51</v>
      </c>
      <c r="H253" s="3" t="s">
        <v>29</v>
      </c>
      <c r="I253" s="3" t="s">
        <v>30</v>
      </c>
      <c r="J253" s="3" t="s">
        <v>31</v>
      </c>
      <c r="K253" s="3" t="s">
        <v>52</v>
      </c>
      <c r="L253" s="5">
        <v>103</v>
      </c>
      <c r="M253" s="5">
        <f t="shared" ca="1" si="15"/>
        <v>72</v>
      </c>
      <c r="N253" s="6">
        <f t="shared" ca="1" si="16"/>
        <v>69.902912621359221</v>
      </c>
      <c r="O253" s="3" cm="1">
        <f t="array" aca="1" ref="O253" ca="1">IFERROR(LOOKUP(2, 1/((F$1:F252=F253)*(J$1:J252=J253)*(ROW(F$1:F252)&lt;ROW(F253))), N$1:N252), "")</f>
        <v>75.728155339805824</v>
      </c>
      <c r="P253" s="3">
        <f t="shared" si="19"/>
        <v>0</v>
      </c>
      <c r="Q253" s="3" t="s">
        <v>43</v>
      </c>
      <c r="R253" s="3" t="s">
        <v>40</v>
      </c>
      <c r="S253" s="3" t="str">
        <f t="shared" si="17"/>
        <v>No</v>
      </c>
      <c r="T253" s="3" t="s">
        <v>34</v>
      </c>
      <c r="U253" s="3" t="str">
        <f t="shared" si="18"/>
        <v>Rainy</v>
      </c>
      <c r="V253" s="3" t="s">
        <v>40</v>
      </c>
      <c r="W253" s="3" cm="1">
        <f t="array" ref="W253">_xlfn.IFS(
OR(F253="Selenium (Hands-on)",F253="Guest Lecture: HR Interview"),6,
OR(F253="Soft Skill",F253="Soft Skill (Examination)",F253="AWS Training",F253="AWS Session"),7,
OR(ISNUMBER(SEARCH("MAD",F253)),ISNUMBER(SEARCH("STQA",F253)),F253="CI/CD Session"),8,
OR(ISNUMBER(SEARCH("Cloud",F253)),F253="Industry Readiness Program",ISNUMBER(SEARCH("Talenlio",F253))),9,
OR(ISNUMBER(SEARCH("Innovation",F253)),F253="Mini Project"),10,
OR(ISNUMBER(SEARCH("Data Science",F253)),ISNUMBER(SEARCH("DS",F253))),11,
ISNUMBER(SEARCH("Generative AI",F253)),12
=_xlfn.IFS(
OR(F253="Selenium (Hands-on)",F253="Guest Lecture: HR Interview"),6,
OR(F253="Soft Skill",F253="Soft Skill (Examination)",F253="AWS Training",F253="AWS Session"),7,
OR(ISNUMBER(SEARCH("MAD",F253)),ISNUMBER(SEARCH("STQA",F253)),F253="CI/CD Session"),8,
OR(ISNUMBER(SEARCH("Cloud",F253)),F253="Industry Readiness Program",ISNUMBER(SEARCH("Talenlio",F253))),9,
OR(ISNUMBER(SEARCH("Innovation",F253)),F253="Mini Project"),10,
OR(ISNUMBER(SEARCH("Data Science",F253)),ISNUMBER(SEARCH("DS",F253))),11,
ISNUMBER(SEARCH("Generative AI",F253)),12
=_xlfn.IFS(
OR(F253="Selenium (Hands-on)",F253="Guest Lecture: HR Interview"),6,
OR(F253="Soft Skill",F253="Soft Skill (Examination)",F253="AWS Training",F253="AWS Session"),7,
OR(ISNUMBER(SEARCH("MAD",F253)),ISNUMBER(SEARCH("STQA",F253)),F253="CI/CD Session"),8,
OR(ISNUMBER(SEARCH("Cloud",F253)),F253="Industry Readiness Program",ISNUMBER(SEARCH("Talenlio",F253))),9,
OR(ISNUMBER(SEARCH("Innovation",F253)),F253="Mini Project"),10,
OR(ISNUMBER(SEARCH("Data Science",F253)),ISNUMBER(SEARCH("DS",F253))),11,
ISNUMBER(SEARCH("Generative AI",F253)),12
=_xlfn.IFS(
OR(F253="Selenium (Hands-on)",F253="Guest Lecture: HR Interview"),6,
OR(F253="Soft Skill",F253="Soft Skill (Examination)",F253="AWS Training",F253="AWS Session"),7,
OR(ISNUMBER(SEARCH("MAD",F253)),ISNUMBER(SEARCH("STQA",F253)),F253="CI/CD Session"),8,
OR(ISNUMBER(SEARCH("Cloud",F253)),F253="Industry Readiness Program",ISNUMBER(SEARCH("Talenlio",F253))),9,
OR(ISNUMBER(SEARCH("Innovation",F253)),F253="Mini Project"),10,
OR(ISNUMBER(SEARCH("Data Science",F253)),ISNUMBER(SEARCH("DS",F253))),11,
ISNUMBER(SEARCH("Generative AI",F253)),12
))))</f>
        <v>8</v>
      </c>
      <c r="X253" s="3">
        <v>8</v>
      </c>
      <c r="Y253" s="3">
        <v>55</v>
      </c>
      <c r="Z253" s="3" t="s">
        <v>35</v>
      </c>
    </row>
    <row r="254" spans="1:26" x14ac:dyDescent="0.3">
      <c r="A254" s="2">
        <v>46242</v>
      </c>
      <c r="B254" s="3" t="s">
        <v>47</v>
      </c>
      <c r="C254" s="3">
        <v>3</v>
      </c>
      <c r="D254" s="4">
        <v>0.42708333333333298</v>
      </c>
      <c r="E254" s="4">
        <v>0.46875</v>
      </c>
      <c r="F254" s="3" t="s">
        <v>66</v>
      </c>
      <c r="G254" s="3" t="s">
        <v>67</v>
      </c>
      <c r="H254" s="3" t="s">
        <v>29</v>
      </c>
      <c r="I254" s="3" t="s">
        <v>30</v>
      </c>
      <c r="J254" s="3" t="s">
        <v>31</v>
      </c>
      <c r="K254" s="3" t="s">
        <v>52</v>
      </c>
      <c r="L254" s="5">
        <v>103</v>
      </c>
      <c r="M254" s="5">
        <f t="shared" ca="1" si="15"/>
        <v>72</v>
      </c>
      <c r="N254" s="6">
        <f t="shared" ca="1" si="16"/>
        <v>69.902912621359221</v>
      </c>
      <c r="O254" s="3" cm="1">
        <f t="array" aca="1" ref="O254" ca="1">IFERROR(LOOKUP(2, 1/((F$1:F253=F254)*(J$1:J253=J254)*(ROW(F$1:F253)&lt;ROW(F254))), N$1:N253), "")</f>
        <v>76.699029126213588</v>
      </c>
      <c r="P254" s="3">
        <f t="shared" si="19"/>
        <v>0</v>
      </c>
      <c r="Q254" s="3" t="s">
        <v>43</v>
      </c>
      <c r="R254" s="3" t="s">
        <v>40</v>
      </c>
      <c r="S254" s="3" t="str">
        <f t="shared" si="17"/>
        <v>Yes</v>
      </c>
      <c r="T254" s="3" t="s">
        <v>34</v>
      </c>
      <c r="U254" s="3" t="str">
        <f t="shared" si="18"/>
        <v>Rainy</v>
      </c>
      <c r="V254" s="3" t="s">
        <v>40</v>
      </c>
      <c r="W254" s="3" cm="1">
        <f t="array" ref="W254">_xlfn.IFS(
OR(F254="Selenium (Hands-on)",F254="Guest Lecture: HR Interview"),6,
OR(F254="Soft Skill",F254="Soft Skill (Examination)",F254="AWS Training",F254="AWS Session"),7,
OR(ISNUMBER(SEARCH("MAD",F254)),ISNUMBER(SEARCH("STQA",F254)),F254="CI/CD Session"),8,
OR(ISNUMBER(SEARCH("Cloud",F254)),F254="Industry Readiness Program",ISNUMBER(SEARCH("Talenlio",F254))),9,
OR(ISNUMBER(SEARCH("Innovation",F254)),F254="Mini Project"),10,
OR(ISNUMBER(SEARCH("Data Science",F254)),ISNUMBER(SEARCH("DS",F254))),11,
ISNUMBER(SEARCH("Generative AI",F254)),12
=_xlfn.IFS(
OR(F254="Selenium (Hands-on)",F254="Guest Lecture: HR Interview"),6,
OR(F254="Soft Skill",F254="Soft Skill (Examination)",F254="AWS Training",F254="AWS Session"),7,
OR(ISNUMBER(SEARCH("MAD",F254)),ISNUMBER(SEARCH("STQA",F254)),F254="CI/CD Session"),8,
OR(ISNUMBER(SEARCH("Cloud",F254)),F254="Industry Readiness Program",ISNUMBER(SEARCH("Talenlio",F254))),9,
OR(ISNUMBER(SEARCH("Innovation",F254)),F254="Mini Project"),10,
OR(ISNUMBER(SEARCH("Data Science",F254)),ISNUMBER(SEARCH("DS",F254))),11,
ISNUMBER(SEARCH("Generative AI",F254)),12
=_xlfn.IFS(
OR(F254="Selenium (Hands-on)",F254="Guest Lecture: HR Interview"),6,
OR(F254="Soft Skill",F254="Soft Skill (Examination)",F254="AWS Training",F254="AWS Session"),7,
OR(ISNUMBER(SEARCH("MAD",F254)),ISNUMBER(SEARCH("STQA",F254)),F254="CI/CD Session"),8,
OR(ISNUMBER(SEARCH("Cloud",F254)),F254="Industry Readiness Program",ISNUMBER(SEARCH("Talenlio",F254))),9,
OR(ISNUMBER(SEARCH("Innovation",F254)),F254="Mini Project"),10,
OR(ISNUMBER(SEARCH("Data Science",F254)),ISNUMBER(SEARCH("DS",F254))),11,
ISNUMBER(SEARCH("Generative AI",F254)),12
=_xlfn.IFS(
OR(F254="Selenium (Hands-on)",F254="Guest Lecture: HR Interview"),6,
OR(F254="Soft Skill",F254="Soft Skill (Examination)",F254="AWS Training",F254="AWS Session"),7,
OR(ISNUMBER(SEARCH("MAD",F254)),ISNUMBER(SEARCH("STQA",F254)),F254="CI/CD Session"),8,
OR(ISNUMBER(SEARCH("Cloud",F254)),F254="Industry Readiness Program",ISNUMBER(SEARCH("Talenlio",F254))),9,
OR(ISNUMBER(SEARCH("Innovation",F254)),F254="Mini Project"),10,
OR(ISNUMBER(SEARCH("Data Science",F254)),ISNUMBER(SEARCH("DS",F254))),11,
ISNUMBER(SEARCH("Generative AI",F254)),12
))))</f>
        <v>10</v>
      </c>
      <c r="X254" s="3">
        <v>8</v>
      </c>
      <c r="Y254" s="3">
        <v>55</v>
      </c>
      <c r="Z254" s="3" t="s">
        <v>35</v>
      </c>
    </row>
    <row r="255" spans="1:26" x14ac:dyDescent="0.3">
      <c r="A255" s="2">
        <v>46242</v>
      </c>
      <c r="B255" s="3" t="s">
        <v>47</v>
      </c>
      <c r="C255" s="3">
        <v>4</v>
      </c>
      <c r="D255" s="4">
        <v>0.46875</v>
      </c>
      <c r="E255" s="4">
        <v>0.51041666666666696</v>
      </c>
      <c r="F255" s="3" t="s">
        <v>66</v>
      </c>
      <c r="G255" s="3" t="s">
        <v>67</v>
      </c>
      <c r="H255" s="3" t="s">
        <v>29</v>
      </c>
      <c r="I255" s="3" t="s">
        <v>30</v>
      </c>
      <c r="J255" s="3" t="s">
        <v>31</v>
      </c>
      <c r="K255" s="3" t="s">
        <v>52</v>
      </c>
      <c r="L255" s="5">
        <v>103</v>
      </c>
      <c r="M255" s="5">
        <f t="shared" ca="1" si="15"/>
        <v>44</v>
      </c>
      <c r="N255" s="6">
        <f t="shared" ca="1" si="16"/>
        <v>42.718446601941743</v>
      </c>
      <c r="O255" s="3" cm="1">
        <f t="array" aca="1" ref="O255" ca="1">IFERROR(LOOKUP(2, 1/((F$1:F254=F255)*(J$1:J254=J255)*(ROW(F$1:F254)&lt;ROW(F255))), N$1:N254), "")</f>
        <v>69.902912621359221</v>
      </c>
      <c r="P255" s="3">
        <f t="shared" si="19"/>
        <v>0</v>
      </c>
      <c r="Q255" s="3" t="s">
        <v>43</v>
      </c>
      <c r="R255" s="3" t="s">
        <v>40</v>
      </c>
      <c r="S255" s="3" t="str">
        <f t="shared" si="17"/>
        <v>Yes</v>
      </c>
      <c r="T255" s="3" t="s">
        <v>34</v>
      </c>
      <c r="U255" s="3" t="str">
        <f t="shared" si="18"/>
        <v>Rainy</v>
      </c>
      <c r="V255" s="3" t="s">
        <v>40</v>
      </c>
      <c r="W255" s="3" cm="1">
        <f t="array" ref="W255">_xlfn.IFS(
OR(F255="Selenium (Hands-on)",F255="Guest Lecture: HR Interview"),6,
OR(F255="Soft Skill",F255="Soft Skill (Examination)",F255="AWS Training",F255="AWS Session"),7,
OR(ISNUMBER(SEARCH("MAD",F255)),ISNUMBER(SEARCH("STQA",F255)),F255="CI/CD Session"),8,
OR(ISNUMBER(SEARCH("Cloud",F255)),F255="Industry Readiness Program",ISNUMBER(SEARCH("Talenlio",F255))),9,
OR(ISNUMBER(SEARCH("Innovation",F255)),F255="Mini Project"),10,
OR(ISNUMBER(SEARCH("Data Science",F255)),ISNUMBER(SEARCH("DS",F255))),11,
ISNUMBER(SEARCH("Generative AI",F255)),12
=_xlfn.IFS(
OR(F255="Selenium (Hands-on)",F255="Guest Lecture: HR Interview"),6,
OR(F255="Soft Skill",F255="Soft Skill (Examination)",F255="AWS Training",F255="AWS Session"),7,
OR(ISNUMBER(SEARCH("MAD",F255)),ISNUMBER(SEARCH("STQA",F255)),F255="CI/CD Session"),8,
OR(ISNUMBER(SEARCH("Cloud",F255)),F255="Industry Readiness Program",ISNUMBER(SEARCH("Talenlio",F255))),9,
OR(ISNUMBER(SEARCH("Innovation",F255)),F255="Mini Project"),10,
OR(ISNUMBER(SEARCH("Data Science",F255)),ISNUMBER(SEARCH("DS",F255))),11,
ISNUMBER(SEARCH("Generative AI",F255)),12
=_xlfn.IFS(
OR(F255="Selenium (Hands-on)",F255="Guest Lecture: HR Interview"),6,
OR(F255="Soft Skill",F255="Soft Skill (Examination)",F255="AWS Training",F255="AWS Session"),7,
OR(ISNUMBER(SEARCH("MAD",F255)),ISNUMBER(SEARCH("STQA",F255)),F255="CI/CD Session"),8,
OR(ISNUMBER(SEARCH("Cloud",F255)),F255="Industry Readiness Program",ISNUMBER(SEARCH("Talenlio",F255))),9,
OR(ISNUMBER(SEARCH("Innovation",F255)),F255="Mini Project"),10,
OR(ISNUMBER(SEARCH("Data Science",F255)),ISNUMBER(SEARCH("DS",F255))),11,
ISNUMBER(SEARCH("Generative AI",F255)),12
=_xlfn.IFS(
OR(F255="Selenium (Hands-on)",F255="Guest Lecture: HR Interview"),6,
OR(F255="Soft Skill",F255="Soft Skill (Examination)",F255="AWS Training",F255="AWS Session"),7,
OR(ISNUMBER(SEARCH("MAD",F255)),ISNUMBER(SEARCH("STQA",F255)),F255="CI/CD Session"),8,
OR(ISNUMBER(SEARCH("Cloud",F255)),F255="Industry Readiness Program",ISNUMBER(SEARCH("Talenlio",F255))),9,
OR(ISNUMBER(SEARCH("Innovation",F255)),F255="Mini Project"),10,
OR(ISNUMBER(SEARCH("Data Science",F255)),ISNUMBER(SEARCH("DS",F255))),11,
ISNUMBER(SEARCH("Generative AI",F255)),12
))))</f>
        <v>10</v>
      </c>
      <c r="X255" s="3">
        <v>8</v>
      </c>
      <c r="Y255" s="3">
        <v>55</v>
      </c>
      <c r="Z255" s="3" t="s">
        <v>35</v>
      </c>
    </row>
    <row r="256" spans="1:26" x14ac:dyDescent="0.3">
      <c r="A256" s="2">
        <v>46242</v>
      </c>
      <c r="B256" s="3" t="s">
        <v>47</v>
      </c>
      <c r="C256" s="3">
        <v>5</v>
      </c>
      <c r="D256" s="4">
        <v>0.5625</v>
      </c>
      <c r="E256" s="4">
        <v>0.60416666666666696</v>
      </c>
      <c r="F256" s="3" t="s">
        <v>66</v>
      </c>
      <c r="G256" s="3" t="s">
        <v>67</v>
      </c>
      <c r="H256" s="3" t="s">
        <v>29</v>
      </c>
      <c r="I256" s="3" t="s">
        <v>30</v>
      </c>
      <c r="J256" s="3" t="s">
        <v>31</v>
      </c>
      <c r="K256" s="3" t="s">
        <v>52</v>
      </c>
      <c r="L256" s="5">
        <v>103</v>
      </c>
      <c r="M256" s="5">
        <f t="shared" ca="1" si="15"/>
        <v>68</v>
      </c>
      <c r="N256" s="6">
        <f t="shared" ca="1" si="16"/>
        <v>66.019417475728162</v>
      </c>
      <c r="O256" s="3" cm="1">
        <f t="array" aca="1" ref="O256" ca="1">IFERROR(LOOKUP(2, 1/((F$1:F255=F256)*(J$1:J255=J256)*(ROW(F$1:F255)&lt;ROW(F256))), N$1:N255), "")</f>
        <v>42.718446601941743</v>
      </c>
      <c r="P256" s="3">
        <f t="shared" si="19"/>
        <v>1.25</v>
      </c>
      <c r="Q256" s="3" t="s">
        <v>43</v>
      </c>
      <c r="R256" s="3" t="s">
        <v>40</v>
      </c>
      <c r="S256" s="3" t="str">
        <f t="shared" si="17"/>
        <v>Yes</v>
      </c>
      <c r="T256" s="3" t="s">
        <v>34</v>
      </c>
      <c r="U256" s="3" t="str">
        <f t="shared" si="18"/>
        <v>Rainy</v>
      </c>
      <c r="V256" s="3" t="s">
        <v>40</v>
      </c>
      <c r="W256" s="3" cm="1">
        <f t="array" ref="W256">_xlfn.IFS(
OR(F256="Selenium (Hands-on)",F256="Guest Lecture: HR Interview"),6,
OR(F256="Soft Skill",F256="Soft Skill (Examination)",F256="AWS Training",F256="AWS Session"),7,
OR(ISNUMBER(SEARCH("MAD",F256)),ISNUMBER(SEARCH("STQA",F256)),F256="CI/CD Session"),8,
OR(ISNUMBER(SEARCH("Cloud",F256)),F256="Industry Readiness Program",ISNUMBER(SEARCH("Talenlio",F256))),9,
OR(ISNUMBER(SEARCH("Innovation",F256)),F256="Mini Project"),10,
OR(ISNUMBER(SEARCH("Data Science",F256)),ISNUMBER(SEARCH("DS",F256))),11,
ISNUMBER(SEARCH("Generative AI",F256)),12
=_xlfn.IFS(
OR(F256="Selenium (Hands-on)",F256="Guest Lecture: HR Interview"),6,
OR(F256="Soft Skill",F256="Soft Skill (Examination)",F256="AWS Training",F256="AWS Session"),7,
OR(ISNUMBER(SEARCH("MAD",F256)),ISNUMBER(SEARCH("STQA",F256)),F256="CI/CD Session"),8,
OR(ISNUMBER(SEARCH("Cloud",F256)),F256="Industry Readiness Program",ISNUMBER(SEARCH("Talenlio",F256))),9,
OR(ISNUMBER(SEARCH("Innovation",F256)),F256="Mini Project"),10,
OR(ISNUMBER(SEARCH("Data Science",F256)),ISNUMBER(SEARCH("DS",F256))),11,
ISNUMBER(SEARCH("Generative AI",F256)),12
=_xlfn.IFS(
OR(F256="Selenium (Hands-on)",F256="Guest Lecture: HR Interview"),6,
OR(F256="Soft Skill",F256="Soft Skill (Examination)",F256="AWS Training",F256="AWS Session"),7,
OR(ISNUMBER(SEARCH("MAD",F256)),ISNUMBER(SEARCH("STQA",F256)),F256="CI/CD Session"),8,
OR(ISNUMBER(SEARCH("Cloud",F256)),F256="Industry Readiness Program",ISNUMBER(SEARCH("Talenlio",F256))),9,
OR(ISNUMBER(SEARCH("Innovation",F256)),F256="Mini Project"),10,
OR(ISNUMBER(SEARCH("Data Science",F256)),ISNUMBER(SEARCH("DS",F256))),11,
ISNUMBER(SEARCH("Generative AI",F256)),12
=_xlfn.IFS(
OR(F256="Selenium (Hands-on)",F256="Guest Lecture: HR Interview"),6,
OR(F256="Soft Skill",F256="Soft Skill (Examination)",F256="AWS Training",F256="AWS Session"),7,
OR(ISNUMBER(SEARCH("MAD",F256)),ISNUMBER(SEARCH("STQA",F256)),F256="CI/CD Session"),8,
OR(ISNUMBER(SEARCH("Cloud",F256)),F256="Industry Readiness Program",ISNUMBER(SEARCH("Talenlio",F256))),9,
OR(ISNUMBER(SEARCH("Innovation",F256)),F256="Mini Project"),10,
OR(ISNUMBER(SEARCH("Data Science",F256)),ISNUMBER(SEARCH("DS",F256))),11,
ISNUMBER(SEARCH("Generative AI",F256)),12
))))</f>
        <v>10</v>
      </c>
      <c r="X256" s="3">
        <v>8</v>
      </c>
      <c r="Y256" s="3">
        <v>55</v>
      </c>
      <c r="Z256" s="3" t="s">
        <v>38</v>
      </c>
    </row>
    <row r="257" spans="1:26" x14ac:dyDescent="0.3">
      <c r="A257" s="2">
        <v>46242</v>
      </c>
      <c r="B257" s="3" t="s">
        <v>47</v>
      </c>
      <c r="C257" s="3">
        <v>6</v>
      </c>
      <c r="D257" s="4">
        <v>0.60416666666666696</v>
      </c>
      <c r="E257" s="4">
        <v>0.64583333333333304</v>
      </c>
      <c r="F257" s="3" t="s">
        <v>66</v>
      </c>
      <c r="G257" s="3" t="s">
        <v>67</v>
      </c>
      <c r="H257" s="3" t="s">
        <v>29</v>
      </c>
      <c r="I257" s="3" t="s">
        <v>30</v>
      </c>
      <c r="J257" s="3" t="s">
        <v>31</v>
      </c>
      <c r="K257" s="3" t="s">
        <v>52</v>
      </c>
      <c r="L257" s="5">
        <v>103</v>
      </c>
      <c r="M257" s="5">
        <f t="shared" ca="1" si="15"/>
        <v>53</v>
      </c>
      <c r="N257" s="6">
        <f t="shared" ca="1" si="16"/>
        <v>51.456310679611647</v>
      </c>
      <c r="O257" s="3" cm="1">
        <f t="array" aca="1" ref="O257" ca="1">IFERROR(LOOKUP(2, 1/((F$1:F256=F257)*(J$1:J256=J257)*(ROW(F$1:F256)&lt;ROW(F257))), N$1:N256), "")</f>
        <v>66.019417475728162</v>
      </c>
      <c r="P257" s="3">
        <f t="shared" si="19"/>
        <v>0</v>
      </c>
      <c r="Q257" s="3" t="s">
        <v>43</v>
      </c>
      <c r="R257" s="3" t="s">
        <v>40</v>
      </c>
      <c r="S257" s="3" t="str">
        <f t="shared" si="17"/>
        <v>Yes</v>
      </c>
      <c r="T257" s="3" t="s">
        <v>34</v>
      </c>
      <c r="U257" s="3" t="str">
        <f t="shared" si="18"/>
        <v>Rainy</v>
      </c>
      <c r="V257" s="3" t="s">
        <v>40</v>
      </c>
      <c r="W257" s="3" cm="1">
        <f t="array" ref="W257">_xlfn.IFS(
OR(F257="Selenium (Hands-on)",F257="Guest Lecture: HR Interview"),6,
OR(F257="Soft Skill",F257="Soft Skill (Examination)",F257="AWS Training",F257="AWS Session"),7,
OR(ISNUMBER(SEARCH("MAD",F257)),ISNUMBER(SEARCH("STQA",F257)),F257="CI/CD Session"),8,
OR(ISNUMBER(SEARCH("Cloud",F257)),F257="Industry Readiness Program",ISNUMBER(SEARCH("Talenlio",F257))),9,
OR(ISNUMBER(SEARCH("Innovation",F257)),F257="Mini Project"),10,
OR(ISNUMBER(SEARCH("Data Science",F257)),ISNUMBER(SEARCH("DS",F257))),11,
ISNUMBER(SEARCH("Generative AI",F257)),12
=_xlfn.IFS(
OR(F257="Selenium (Hands-on)",F257="Guest Lecture: HR Interview"),6,
OR(F257="Soft Skill",F257="Soft Skill (Examination)",F257="AWS Training",F257="AWS Session"),7,
OR(ISNUMBER(SEARCH("MAD",F257)),ISNUMBER(SEARCH("STQA",F257)),F257="CI/CD Session"),8,
OR(ISNUMBER(SEARCH("Cloud",F257)),F257="Industry Readiness Program",ISNUMBER(SEARCH("Talenlio",F257))),9,
OR(ISNUMBER(SEARCH("Innovation",F257)),F257="Mini Project"),10,
OR(ISNUMBER(SEARCH("Data Science",F257)),ISNUMBER(SEARCH("DS",F257))),11,
ISNUMBER(SEARCH("Generative AI",F257)),12
=_xlfn.IFS(
OR(F257="Selenium (Hands-on)",F257="Guest Lecture: HR Interview"),6,
OR(F257="Soft Skill",F257="Soft Skill (Examination)",F257="AWS Training",F257="AWS Session"),7,
OR(ISNUMBER(SEARCH("MAD",F257)),ISNUMBER(SEARCH("STQA",F257)),F257="CI/CD Session"),8,
OR(ISNUMBER(SEARCH("Cloud",F257)),F257="Industry Readiness Program",ISNUMBER(SEARCH("Talenlio",F257))),9,
OR(ISNUMBER(SEARCH("Innovation",F257)),F257="Mini Project"),10,
OR(ISNUMBER(SEARCH("Data Science",F257)),ISNUMBER(SEARCH("DS",F257))),11,
ISNUMBER(SEARCH("Generative AI",F257)),12
=_xlfn.IFS(
OR(F257="Selenium (Hands-on)",F257="Guest Lecture: HR Interview"),6,
OR(F257="Soft Skill",F257="Soft Skill (Examination)",F257="AWS Training",F257="AWS Session"),7,
OR(ISNUMBER(SEARCH("MAD",F257)),ISNUMBER(SEARCH("STQA",F257)),F257="CI/CD Session"),8,
OR(ISNUMBER(SEARCH("Cloud",F257)),F257="Industry Readiness Program",ISNUMBER(SEARCH("Talenlio",F257))),9,
OR(ISNUMBER(SEARCH("Innovation",F257)),F257="Mini Project"),10,
OR(ISNUMBER(SEARCH("Data Science",F257)),ISNUMBER(SEARCH("DS",F257))),11,
ISNUMBER(SEARCH("Generative AI",F257)),12
))))</f>
        <v>10</v>
      </c>
      <c r="X257" s="3">
        <v>8</v>
      </c>
      <c r="Y257" s="3">
        <v>55</v>
      </c>
      <c r="Z257" s="3" t="s">
        <v>38</v>
      </c>
    </row>
    <row r="258" spans="1:26" x14ac:dyDescent="0.3">
      <c r="A258" s="2">
        <v>46244</v>
      </c>
      <c r="B258" s="3" t="s">
        <v>26</v>
      </c>
      <c r="C258" s="3">
        <v>1</v>
      </c>
      <c r="D258" s="4">
        <v>0.38541666666666702</v>
      </c>
      <c r="E258" s="4">
        <v>0.42708333333333298</v>
      </c>
      <c r="F258" s="3" t="s">
        <v>82</v>
      </c>
      <c r="G258" s="3" t="s">
        <v>289</v>
      </c>
      <c r="H258" s="3" t="s">
        <v>29</v>
      </c>
      <c r="I258" s="3" t="s">
        <v>30</v>
      </c>
      <c r="J258" s="3" t="s">
        <v>31</v>
      </c>
      <c r="K258" s="3" t="s">
        <v>52</v>
      </c>
      <c r="L258" s="5">
        <v>103</v>
      </c>
      <c r="M258" s="5">
        <f t="shared" ref="M258:M321" ca="1" si="20">RANDBETWEEN(40,103)</f>
        <v>65</v>
      </c>
      <c r="N258" s="6">
        <f t="shared" ref="N258:N321" ca="1" si="21">IF(OR(L258="",M258=""),"",M258/L258*100)</f>
        <v>63.10679611650486</v>
      </c>
      <c r="O258" s="3">
        <v>65.451513500000004</v>
      </c>
      <c r="P258" s="3">
        <f t="shared" si="19"/>
        <v>0</v>
      </c>
      <c r="Q258" s="3" t="s">
        <v>43</v>
      </c>
      <c r="R258" s="3" t="s">
        <v>40</v>
      </c>
      <c r="S258" s="3" t="str">
        <f t="shared" ref="S258:S321" si="22">IF(OR(ISNUMBER(SEARCH("Guest", F258)), ISNUMBER(SEARCH("Hands-on", F258)), ISNUMBER(SEARCH("Project", F258)), B258="Friday"), "Yes", "No")</f>
        <v>Yes</v>
      </c>
      <c r="T258" s="3" t="s">
        <v>34</v>
      </c>
      <c r="U258" s="3" t="str">
        <f t="shared" ref="U258:U321" si="23">IF(MONTH(A258)=6, IF(DAY(A258)&lt;20, "Sunny", "Cloudy"), IF(OR(MONTH(A258)=7, MONTH(A258)=8), "Rainy", "Sunny"))</f>
        <v>Rainy</v>
      </c>
      <c r="V258" s="3" t="s">
        <v>40</v>
      </c>
      <c r="W258" s="3" cm="1">
        <f t="array" ref="W258">_xlfn.IFS(
OR(F258="Selenium (Hands-on)",F258="Guest Lecture: HR Interview"),6,
OR(F258="Soft Skill",F258="Soft Skill (Examination)",F258="AWS Training",F258="AWS Session"),7,
OR(ISNUMBER(SEARCH("MAD",F258)),ISNUMBER(SEARCH("STQA",F258)),F258="CI/CD Session"),8,
OR(ISNUMBER(SEARCH("Cloud",F258)),F258="Industry Readiness Program",ISNUMBER(SEARCH("Talenlio",F258))),9,
OR(ISNUMBER(SEARCH("Innovation",F258)),F258="Mini Project"),10,
OR(ISNUMBER(SEARCH("Data Science",F258)),ISNUMBER(SEARCH("DS",F258))),11,
ISNUMBER(SEARCH("Generative AI",F258)),12
=_xlfn.IFS(
OR(F258="Selenium (Hands-on)",F258="Guest Lecture: HR Interview"),6,
OR(F258="Soft Skill",F258="Soft Skill (Examination)",F258="AWS Training",F258="AWS Session"),7,
OR(ISNUMBER(SEARCH("MAD",F258)),ISNUMBER(SEARCH("STQA",F258)),F258="CI/CD Session"),8,
OR(ISNUMBER(SEARCH("Cloud",F258)),F258="Industry Readiness Program",ISNUMBER(SEARCH("Talenlio",F258))),9,
OR(ISNUMBER(SEARCH("Innovation",F258)),F258="Mini Project"),10,
OR(ISNUMBER(SEARCH("Data Science",F258)),ISNUMBER(SEARCH("DS",F258))),11,
ISNUMBER(SEARCH("Generative AI",F258)),12
=_xlfn.IFS(
OR(F258="Selenium (Hands-on)",F258="Guest Lecture: HR Interview"),6,
OR(F258="Soft Skill",F258="Soft Skill (Examination)",F258="AWS Training",F258="AWS Session"),7,
OR(ISNUMBER(SEARCH("MAD",F258)),ISNUMBER(SEARCH("STQA",F258)),F258="CI/CD Session"),8,
OR(ISNUMBER(SEARCH("Cloud",F258)),F258="Industry Readiness Program",ISNUMBER(SEARCH("Talenlio",F258))),9,
OR(ISNUMBER(SEARCH("Innovation",F258)),F258="Mini Project"),10,
OR(ISNUMBER(SEARCH("Data Science",F258)),ISNUMBER(SEARCH("DS",F258))),11,
ISNUMBER(SEARCH("Generative AI",F258)),12
=_xlfn.IFS(
OR(F258="Selenium (Hands-on)",F258="Guest Lecture: HR Interview"),6,
OR(F258="Soft Skill",F258="Soft Skill (Examination)",F258="AWS Training",F258="AWS Session"),7,
OR(ISNUMBER(SEARCH("MAD",F258)),ISNUMBER(SEARCH("STQA",F258)),F258="CI/CD Session"),8,
OR(ISNUMBER(SEARCH("Cloud",F258)),F258="Industry Readiness Program",ISNUMBER(SEARCH("Talenlio",F258))),9,
OR(ISNUMBER(SEARCH("Innovation",F258)),F258="Mini Project"),10,
OR(ISNUMBER(SEARCH("Data Science",F258)),ISNUMBER(SEARCH("DS",F258))),11,
ISNUMBER(SEARCH("Generative AI",F258)),12
))))</f>
        <v>11</v>
      </c>
      <c r="X258" s="3">
        <v>9</v>
      </c>
      <c r="Y258" s="3">
        <v>57</v>
      </c>
      <c r="Z258" s="3" t="s">
        <v>35</v>
      </c>
    </row>
    <row r="259" spans="1:26" x14ac:dyDescent="0.3">
      <c r="A259" s="2">
        <v>46244</v>
      </c>
      <c r="B259" s="3" t="s">
        <v>26</v>
      </c>
      <c r="C259" s="3">
        <v>2</v>
      </c>
      <c r="D259" s="4">
        <v>0.42708333333333298</v>
      </c>
      <c r="E259" s="4">
        <v>0.46875</v>
      </c>
      <c r="F259" s="3" t="s">
        <v>82</v>
      </c>
      <c r="G259" s="3" t="s">
        <v>289</v>
      </c>
      <c r="H259" s="3" t="s">
        <v>29</v>
      </c>
      <c r="I259" s="3" t="s">
        <v>30</v>
      </c>
      <c r="J259" s="3" t="s">
        <v>31</v>
      </c>
      <c r="K259" s="3" t="s">
        <v>52</v>
      </c>
      <c r="L259" s="5">
        <v>103</v>
      </c>
      <c r="M259" s="5">
        <f t="shared" ca="1" si="20"/>
        <v>59</v>
      </c>
      <c r="N259" s="6">
        <f t="shared" ca="1" si="21"/>
        <v>57.28155339805825</v>
      </c>
      <c r="O259" s="3" cm="1">
        <f t="array" aca="1" ref="O259" ca="1">IFERROR(LOOKUP(2, 1/((F$1:F258=F259)*(J$1:J258=J259)*(ROW(F$1:F258)&lt;ROW(F259))), N$1:N258), "")</f>
        <v>63.10679611650486</v>
      </c>
      <c r="P259" s="3">
        <f t="shared" ref="P259:P322" si="24">IF(C259=1, 0, IF(AND(A259=A258, J259=J258), ROUND(MAX(0, (D259-E258)*24), 2), 0))</f>
        <v>0</v>
      </c>
      <c r="Q259" s="3" t="s">
        <v>43</v>
      </c>
      <c r="R259" s="3" t="s">
        <v>40</v>
      </c>
      <c r="S259" s="3" t="str">
        <f t="shared" si="22"/>
        <v>Yes</v>
      </c>
      <c r="T259" s="3" t="s">
        <v>34</v>
      </c>
      <c r="U259" s="3" t="str">
        <f t="shared" si="23"/>
        <v>Rainy</v>
      </c>
      <c r="V259" s="3" t="s">
        <v>40</v>
      </c>
      <c r="W259" s="3" cm="1">
        <f t="array" ref="W259">_xlfn.IFS(
OR(F259="Selenium (Hands-on)",F259="Guest Lecture: HR Interview"),6,
OR(F259="Soft Skill",F259="Soft Skill (Examination)",F259="AWS Training",F259="AWS Session"),7,
OR(ISNUMBER(SEARCH("MAD",F259)),ISNUMBER(SEARCH("STQA",F259)),F259="CI/CD Session"),8,
OR(ISNUMBER(SEARCH("Cloud",F259)),F259="Industry Readiness Program",ISNUMBER(SEARCH("Talenlio",F259))),9,
OR(ISNUMBER(SEARCH("Innovation",F259)),F259="Mini Project"),10,
OR(ISNUMBER(SEARCH("Data Science",F259)),ISNUMBER(SEARCH("DS",F259))),11,
ISNUMBER(SEARCH("Generative AI",F259)),12
=_xlfn.IFS(
OR(F259="Selenium (Hands-on)",F259="Guest Lecture: HR Interview"),6,
OR(F259="Soft Skill",F259="Soft Skill (Examination)",F259="AWS Training",F259="AWS Session"),7,
OR(ISNUMBER(SEARCH("MAD",F259)),ISNUMBER(SEARCH("STQA",F259)),F259="CI/CD Session"),8,
OR(ISNUMBER(SEARCH("Cloud",F259)),F259="Industry Readiness Program",ISNUMBER(SEARCH("Talenlio",F259))),9,
OR(ISNUMBER(SEARCH("Innovation",F259)),F259="Mini Project"),10,
OR(ISNUMBER(SEARCH("Data Science",F259)),ISNUMBER(SEARCH("DS",F259))),11,
ISNUMBER(SEARCH("Generative AI",F259)),12
=_xlfn.IFS(
OR(F259="Selenium (Hands-on)",F259="Guest Lecture: HR Interview"),6,
OR(F259="Soft Skill",F259="Soft Skill (Examination)",F259="AWS Training",F259="AWS Session"),7,
OR(ISNUMBER(SEARCH("MAD",F259)),ISNUMBER(SEARCH("STQA",F259)),F259="CI/CD Session"),8,
OR(ISNUMBER(SEARCH("Cloud",F259)),F259="Industry Readiness Program",ISNUMBER(SEARCH("Talenlio",F259))),9,
OR(ISNUMBER(SEARCH("Innovation",F259)),F259="Mini Project"),10,
OR(ISNUMBER(SEARCH("Data Science",F259)),ISNUMBER(SEARCH("DS",F259))),11,
ISNUMBER(SEARCH("Generative AI",F259)),12
=_xlfn.IFS(
OR(F259="Selenium (Hands-on)",F259="Guest Lecture: HR Interview"),6,
OR(F259="Soft Skill",F259="Soft Skill (Examination)",F259="AWS Training",F259="AWS Session"),7,
OR(ISNUMBER(SEARCH("MAD",F259)),ISNUMBER(SEARCH("STQA",F259)),F259="CI/CD Session"),8,
OR(ISNUMBER(SEARCH("Cloud",F259)),F259="Industry Readiness Program",ISNUMBER(SEARCH("Talenlio",F259))),9,
OR(ISNUMBER(SEARCH("Innovation",F259)),F259="Mini Project"),10,
OR(ISNUMBER(SEARCH("Data Science",F259)),ISNUMBER(SEARCH("DS",F259))),11,
ISNUMBER(SEARCH("Generative AI",F259)),12
))))</f>
        <v>11</v>
      </c>
      <c r="X259" s="3">
        <v>9</v>
      </c>
      <c r="Y259" s="3">
        <v>57</v>
      </c>
      <c r="Z259" s="3" t="s">
        <v>35</v>
      </c>
    </row>
    <row r="260" spans="1:26" x14ac:dyDescent="0.3">
      <c r="A260" s="2">
        <v>46244</v>
      </c>
      <c r="B260" s="3" t="s">
        <v>26</v>
      </c>
      <c r="C260" s="3">
        <v>3</v>
      </c>
      <c r="D260" s="4">
        <v>0.46875</v>
      </c>
      <c r="E260" s="4">
        <v>0.51041666666666696</v>
      </c>
      <c r="F260" s="3" t="s">
        <v>82</v>
      </c>
      <c r="G260" s="3" t="s">
        <v>289</v>
      </c>
      <c r="H260" s="3" t="s">
        <v>29</v>
      </c>
      <c r="I260" s="3" t="s">
        <v>30</v>
      </c>
      <c r="J260" s="3" t="s">
        <v>31</v>
      </c>
      <c r="K260" s="3" t="s">
        <v>52</v>
      </c>
      <c r="L260" s="5">
        <v>103</v>
      </c>
      <c r="M260" s="5">
        <f t="shared" ca="1" si="20"/>
        <v>60</v>
      </c>
      <c r="N260" s="6">
        <f t="shared" ca="1" si="21"/>
        <v>58.252427184466015</v>
      </c>
      <c r="O260" s="3" cm="1">
        <f t="array" aca="1" ref="O260" ca="1">IFERROR(LOOKUP(2, 1/((F$1:F259=F260)*(J$1:J259=J260)*(ROW(F$1:F259)&lt;ROW(F260))), N$1:N259), "")</f>
        <v>57.28155339805825</v>
      </c>
      <c r="P260" s="3">
        <f t="shared" si="24"/>
        <v>0</v>
      </c>
      <c r="Q260" s="3" t="s">
        <v>43</v>
      </c>
      <c r="R260" s="3" t="s">
        <v>40</v>
      </c>
      <c r="S260" s="3" t="str">
        <f t="shared" si="22"/>
        <v>Yes</v>
      </c>
      <c r="T260" s="3" t="s">
        <v>34</v>
      </c>
      <c r="U260" s="3" t="str">
        <f t="shared" si="23"/>
        <v>Rainy</v>
      </c>
      <c r="V260" s="3" t="s">
        <v>40</v>
      </c>
      <c r="W260" s="3" cm="1">
        <f t="array" ref="W260">_xlfn.IFS(
OR(F260="Selenium (Hands-on)",F260="Guest Lecture: HR Interview"),6,
OR(F260="Soft Skill",F260="Soft Skill (Examination)",F260="AWS Training",F260="AWS Session"),7,
OR(ISNUMBER(SEARCH("MAD",F260)),ISNUMBER(SEARCH("STQA",F260)),F260="CI/CD Session"),8,
OR(ISNUMBER(SEARCH("Cloud",F260)),F260="Industry Readiness Program",ISNUMBER(SEARCH("Talenlio",F260))),9,
OR(ISNUMBER(SEARCH("Innovation",F260)),F260="Mini Project"),10,
OR(ISNUMBER(SEARCH("Data Science",F260)),ISNUMBER(SEARCH("DS",F260))),11,
ISNUMBER(SEARCH("Generative AI",F260)),12
=_xlfn.IFS(
OR(F260="Selenium (Hands-on)",F260="Guest Lecture: HR Interview"),6,
OR(F260="Soft Skill",F260="Soft Skill (Examination)",F260="AWS Training",F260="AWS Session"),7,
OR(ISNUMBER(SEARCH("MAD",F260)),ISNUMBER(SEARCH("STQA",F260)),F260="CI/CD Session"),8,
OR(ISNUMBER(SEARCH("Cloud",F260)),F260="Industry Readiness Program",ISNUMBER(SEARCH("Talenlio",F260))),9,
OR(ISNUMBER(SEARCH("Innovation",F260)),F260="Mini Project"),10,
OR(ISNUMBER(SEARCH("Data Science",F260)),ISNUMBER(SEARCH("DS",F260))),11,
ISNUMBER(SEARCH("Generative AI",F260)),12
=_xlfn.IFS(
OR(F260="Selenium (Hands-on)",F260="Guest Lecture: HR Interview"),6,
OR(F260="Soft Skill",F260="Soft Skill (Examination)",F260="AWS Training",F260="AWS Session"),7,
OR(ISNUMBER(SEARCH("MAD",F260)),ISNUMBER(SEARCH("STQA",F260)),F260="CI/CD Session"),8,
OR(ISNUMBER(SEARCH("Cloud",F260)),F260="Industry Readiness Program",ISNUMBER(SEARCH("Talenlio",F260))),9,
OR(ISNUMBER(SEARCH("Innovation",F260)),F260="Mini Project"),10,
OR(ISNUMBER(SEARCH("Data Science",F260)),ISNUMBER(SEARCH("DS",F260))),11,
ISNUMBER(SEARCH("Generative AI",F260)),12
=_xlfn.IFS(
OR(F260="Selenium (Hands-on)",F260="Guest Lecture: HR Interview"),6,
OR(F260="Soft Skill",F260="Soft Skill (Examination)",F260="AWS Training",F260="AWS Session"),7,
OR(ISNUMBER(SEARCH("MAD",F260)),ISNUMBER(SEARCH("STQA",F260)),F260="CI/CD Session"),8,
OR(ISNUMBER(SEARCH("Cloud",F260)),F260="Industry Readiness Program",ISNUMBER(SEARCH("Talenlio",F260))),9,
OR(ISNUMBER(SEARCH("Innovation",F260)),F260="Mini Project"),10,
OR(ISNUMBER(SEARCH("Data Science",F260)),ISNUMBER(SEARCH("DS",F260))),11,
ISNUMBER(SEARCH("Generative AI",F260)),12
))))</f>
        <v>11</v>
      </c>
      <c r="X260" s="3">
        <v>9</v>
      </c>
      <c r="Y260" s="3">
        <v>57</v>
      </c>
      <c r="Z260" s="3" t="s">
        <v>35</v>
      </c>
    </row>
    <row r="261" spans="1:26" x14ac:dyDescent="0.3">
      <c r="A261" s="2">
        <v>46245</v>
      </c>
      <c r="B261" s="3" t="s">
        <v>39</v>
      </c>
      <c r="C261" s="3">
        <v>1</v>
      </c>
      <c r="D261" s="4">
        <v>0.38541666666666702</v>
      </c>
      <c r="E261" s="4">
        <v>0.42708333333333298</v>
      </c>
      <c r="F261" s="3" t="s">
        <v>82</v>
      </c>
      <c r="G261" s="3" t="s">
        <v>289</v>
      </c>
      <c r="H261" s="3" t="s">
        <v>29</v>
      </c>
      <c r="I261" s="3" t="s">
        <v>30</v>
      </c>
      <c r="J261" s="3" t="s">
        <v>31</v>
      </c>
      <c r="K261" s="3" t="s">
        <v>52</v>
      </c>
      <c r="L261" s="5">
        <v>103</v>
      </c>
      <c r="M261" s="5">
        <f t="shared" ca="1" si="20"/>
        <v>83</v>
      </c>
      <c r="N261" s="6">
        <f t="shared" ca="1" si="21"/>
        <v>80.582524271844662</v>
      </c>
      <c r="O261" s="3" cm="1">
        <f t="array" aca="1" ref="O261" ca="1">IFERROR(LOOKUP(2, 1/((F$1:F260=F261)*(J$1:J260=J261)*(ROW(F$1:F260)&lt;ROW(F261))), N$1:N260), "")</f>
        <v>58.252427184466015</v>
      </c>
      <c r="P261" s="3">
        <f t="shared" si="24"/>
        <v>0</v>
      </c>
      <c r="Q261" s="3" t="s">
        <v>43</v>
      </c>
      <c r="R261" s="3" t="s">
        <v>40</v>
      </c>
      <c r="S261" s="3" t="str">
        <f t="shared" si="22"/>
        <v>Yes</v>
      </c>
      <c r="T261" s="3" t="s">
        <v>40</v>
      </c>
      <c r="U261" s="3" t="str">
        <f t="shared" si="23"/>
        <v>Rainy</v>
      </c>
      <c r="V261" s="3" t="s">
        <v>40</v>
      </c>
      <c r="W261" s="3" cm="1">
        <f t="array" ref="W261">_xlfn.IFS(
OR(F261="Selenium (Hands-on)",F261="Guest Lecture: HR Interview"),6,
OR(F261="Soft Skill",F261="Soft Skill (Examination)",F261="AWS Training",F261="AWS Session"),7,
OR(ISNUMBER(SEARCH("MAD",F261)),ISNUMBER(SEARCH("STQA",F261)),F261="CI/CD Session"),8,
OR(ISNUMBER(SEARCH("Cloud",F261)),F261="Industry Readiness Program",ISNUMBER(SEARCH("Talenlio",F261))),9,
OR(ISNUMBER(SEARCH("Innovation",F261)),F261="Mini Project"),10,
OR(ISNUMBER(SEARCH("Data Science",F261)),ISNUMBER(SEARCH("DS",F261))),11,
ISNUMBER(SEARCH("Generative AI",F261)),12
=_xlfn.IFS(
OR(F261="Selenium (Hands-on)",F261="Guest Lecture: HR Interview"),6,
OR(F261="Soft Skill",F261="Soft Skill (Examination)",F261="AWS Training",F261="AWS Session"),7,
OR(ISNUMBER(SEARCH("MAD",F261)),ISNUMBER(SEARCH("STQA",F261)),F261="CI/CD Session"),8,
OR(ISNUMBER(SEARCH("Cloud",F261)),F261="Industry Readiness Program",ISNUMBER(SEARCH("Talenlio",F261))),9,
OR(ISNUMBER(SEARCH("Innovation",F261)),F261="Mini Project"),10,
OR(ISNUMBER(SEARCH("Data Science",F261)),ISNUMBER(SEARCH("DS",F261))),11,
ISNUMBER(SEARCH("Generative AI",F261)),12
=_xlfn.IFS(
OR(F261="Selenium (Hands-on)",F261="Guest Lecture: HR Interview"),6,
OR(F261="Soft Skill",F261="Soft Skill (Examination)",F261="AWS Training",F261="AWS Session"),7,
OR(ISNUMBER(SEARCH("MAD",F261)),ISNUMBER(SEARCH("STQA",F261)),F261="CI/CD Session"),8,
OR(ISNUMBER(SEARCH("Cloud",F261)),F261="Industry Readiness Program",ISNUMBER(SEARCH("Talenlio",F261))),9,
OR(ISNUMBER(SEARCH("Innovation",F261)),F261="Mini Project"),10,
OR(ISNUMBER(SEARCH("Data Science",F261)),ISNUMBER(SEARCH("DS",F261))),11,
ISNUMBER(SEARCH("Generative AI",F261)),12
=_xlfn.IFS(
OR(F261="Selenium (Hands-on)",F261="Guest Lecture: HR Interview"),6,
OR(F261="Soft Skill",F261="Soft Skill (Examination)",F261="AWS Training",F261="AWS Session"),7,
OR(ISNUMBER(SEARCH("MAD",F261)),ISNUMBER(SEARCH("STQA",F261)),F261="CI/CD Session"),8,
OR(ISNUMBER(SEARCH("Cloud",F261)),F261="Industry Readiness Program",ISNUMBER(SEARCH("Talenlio",F261))),9,
OR(ISNUMBER(SEARCH("Innovation",F261)),F261="Mini Project"),10,
OR(ISNUMBER(SEARCH("Data Science",F261)),ISNUMBER(SEARCH("DS",F261))),11,
ISNUMBER(SEARCH("Generative AI",F261)),12
))))</f>
        <v>11</v>
      </c>
      <c r="X261" s="3">
        <v>9</v>
      </c>
      <c r="Y261" s="3">
        <v>58</v>
      </c>
      <c r="Z261" s="3" t="s">
        <v>35</v>
      </c>
    </row>
    <row r="262" spans="1:26" x14ac:dyDescent="0.3">
      <c r="A262" s="2">
        <v>46245</v>
      </c>
      <c r="B262" s="3" t="s">
        <v>39</v>
      </c>
      <c r="C262" s="3">
        <v>2</v>
      </c>
      <c r="D262" s="4">
        <v>0.42708333333333298</v>
      </c>
      <c r="E262" s="4">
        <v>0.46875</v>
      </c>
      <c r="F262" s="3" t="s">
        <v>82</v>
      </c>
      <c r="G262" s="3" t="s">
        <v>289</v>
      </c>
      <c r="H262" s="3" t="s">
        <v>29</v>
      </c>
      <c r="I262" s="3" t="s">
        <v>30</v>
      </c>
      <c r="J262" s="3" t="s">
        <v>31</v>
      </c>
      <c r="K262" s="3" t="s">
        <v>52</v>
      </c>
      <c r="L262" s="5">
        <v>103</v>
      </c>
      <c r="M262" s="5">
        <f t="shared" ca="1" si="20"/>
        <v>75</v>
      </c>
      <c r="N262" s="6">
        <f t="shared" ca="1" si="21"/>
        <v>72.815533980582529</v>
      </c>
      <c r="O262" s="3" cm="1">
        <f t="array" aca="1" ref="O262" ca="1">IFERROR(LOOKUP(2, 1/((F$1:F261=F262)*(J$1:J261=J262)*(ROW(F$1:F261)&lt;ROW(F262))), N$1:N261), "")</f>
        <v>80.582524271844662</v>
      </c>
      <c r="P262" s="3">
        <f t="shared" si="24"/>
        <v>0</v>
      </c>
      <c r="Q262" s="3" t="s">
        <v>43</v>
      </c>
      <c r="R262" s="3" t="s">
        <v>40</v>
      </c>
      <c r="S262" s="3" t="str">
        <f t="shared" si="22"/>
        <v>Yes</v>
      </c>
      <c r="T262" s="3" t="s">
        <v>40</v>
      </c>
      <c r="U262" s="3" t="str">
        <f t="shared" si="23"/>
        <v>Rainy</v>
      </c>
      <c r="V262" s="3" t="s">
        <v>40</v>
      </c>
      <c r="W262" s="3" cm="1">
        <f t="array" ref="W262">_xlfn.IFS(
OR(F262="Selenium (Hands-on)",F262="Guest Lecture: HR Interview"),6,
OR(F262="Soft Skill",F262="Soft Skill (Examination)",F262="AWS Training",F262="AWS Session"),7,
OR(ISNUMBER(SEARCH("MAD",F262)),ISNUMBER(SEARCH("STQA",F262)),F262="CI/CD Session"),8,
OR(ISNUMBER(SEARCH("Cloud",F262)),F262="Industry Readiness Program",ISNUMBER(SEARCH("Talenlio",F262))),9,
OR(ISNUMBER(SEARCH("Innovation",F262)),F262="Mini Project"),10,
OR(ISNUMBER(SEARCH("Data Science",F262)),ISNUMBER(SEARCH("DS",F262))),11,
ISNUMBER(SEARCH("Generative AI",F262)),12
=_xlfn.IFS(
OR(F262="Selenium (Hands-on)",F262="Guest Lecture: HR Interview"),6,
OR(F262="Soft Skill",F262="Soft Skill (Examination)",F262="AWS Training",F262="AWS Session"),7,
OR(ISNUMBER(SEARCH("MAD",F262)),ISNUMBER(SEARCH("STQA",F262)),F262="CI/CD Session"),8,
OR(ISNUMBER(SEARCH("Cloud",F262)),F262="Industry Readiness Program",ISNUMBER(SEARCH("Talenlio",F262))),9,
OR(ISNUMBER(SEARCH("Innovation",F262)),F262="Mini Project"),10,
OR(ISNUMBER(SEARCH("Data Science",F262)),ISNUMBER(SEARCH("DS",F262))),11,
ISNUMBER(SEARCH("Generative AI",F262)),12
=_xlfn.IFS(
OR(F262="Selenium (Hands-on)",F262="Guest Lecture: HR Interview"),6,
OR(F262="Soft Skill",F262="Soft Skill (Examination)",F262="AWS Training",F262="AWS Session"),7,
OR(ISNUMBER(SEARCH("MAD",F262)),ISNUMBER(SEARCH("STQA",F262)),F262="CI/CD Session"),8,
OR(ISNUMBER(SEARCH("Cloud",F262)),F262="Industry Readiness Program",ISNUMBER(SEARCH("Talenlio",F262))),9,
OR(ISNUMBER(SEARCH("Innovation",F262)),F262="Mini Project"),10,
OR(ISNUMBER(SEARCH("Data Science",F262)),ISNUMBER(SEARCH("DS",F262))),11,
ISNUMBER(SEARCH("Generative AI",F262)),12
=_xlfn.IFS(
OR(F262="Selenium (Hands-on)",F262="Guest Lecture: HR Interview"),6,
OR(F262="Soft Skill",F262="Soft Skill (Examination)",F262="AWS Training",F262="AWS Session"),7,
OR(ISNUMBER(SEARCH("MAD",F262)),ISNUMBER(SEARCH("STQA",F262)),F262="CI/CD Session"),8,
OR(ISNUMBER(SEARCH("Cloud",F262)),F262="Industry Readiness Program",ISNUMBER(SEARCH("Talenlio",F262))),9,
OR(ISNUMBER(SEARCH("Innovation",F262)),F262="Mini Project"),10,
OR(ISNUMBER(SEARCH("Data Science",F262)),ISNUMBER(SEARCH("DS",F262))),11,
ISNUMBER(SEARCH("Generative AI",F262)),12
))))</f>
        <v>11</v>
      </c>
      <c r="X262" s="3">
        <v>9</v>
      </c>
      <c r="Y262" s="3">
        <v>58</v>
      </c>
      <c r="Z262" s="3" t="s">
        <v>35</v>
      </c>
    </row>
    <row r="263" spans="1:26" x14ac:dyDescent="0.3">
      <c r="A263" s="2">
        <v>46245</v>
      </c>
      <c r="B263" s="3" t="s">
        <v>39</v>
      </c>
      <c r="C263" s="3">
        <v>3</v>
      </c>
      <c r="D263" s="4">
        <v>0.46875</v>
      </c>
      <c r="E263" s="4">
        <v>0.51041666666666696</v>
      </c>
      <c r="F263" s="3" t="s">
        <v>82</v>
      </c>
      <c r="G263" s="3" t="s">
        <v>289</v>
      </c>
      <c r="H263" s="3" t="s">
        <v>29</v>
      </c>
      <c r="I263" s="3" t="s">
        <v>30</v>
      </c>
      <c r="J263" s="3" t="s">
        <v>31</v>
      </c>
      <c r="K263" s="3" t="s">
        <v>52</v>
      </c>
      <c r="L263" s="5">
        <v>103</v>
      </c>
      <c r="M263" s="5">
        <f t="shared" ca="1" si="20"/>
        <v>55</v>
      </c>
      <c r="N263" s="6">
        <f t="shared" ca="1" si="21"/>
        <v>53.398058252427184</v>
      </c>
      <c r="O263" s="3" cm="1">
        <f t="array" aca="1" ref="O263" ca="1">IFERROR(LOOKUP(2, 1/((F$1:F262=F263)*(J$1:J262=J263)*(ROW(F$1:F262)&lt;ROW(F263))), N$1:N262), "")</f>
        <v>72.815533980582529</v>
      </c>
      <c r="P263" s="3">
        <f t="shared" si="24"/>
        <v>0</v>
      </c>
      <c r="Q263" s="3" t="s">
        <v>43</v>
      </c>
      <c r="R263" s="3" t="s">
        <v>40</v>
      </c>
      <c r="S263" s="3" t="str">
        <f t="shared" si="22"/>
        <v>Yes</v>
      </c>
      <c r="T263" s="3" t="s">
        <v>40</v>
      </c>
      <c r="U263" s="3" t="str">
        <f t="shared" si="23"/>
        <v>Rainy</v>
      </c>
      <c r="V263" s="3" t="s">
        <v>40</v>
      </c>
      <c r="W263" s="3" cm="1">
        <f t="array" ref="W263">_xlfn.IFS(
OR(F263="Selenium (Hands-on)",F263="Guest Lecture: HR Interview"),6,
OR(F263="Soft Skill",F263="Soft Skill (Examination)",F263="AWS Training",F263="AWS Session"),7,
OR(ISNUMBER(SEARCH("MAD",F263)),ISNUMBER(SEARCH("STQA",F263)),F263="CI/CD Session"),8,
OR(ISNUMBER(SEARCH("Cloud",F263)),F263="Industry Readiness Program",ISNUMBER(SEARCH("Talenlio",F263))),9,
OR(ISNUMBER(SEARCH("Innovation",F263)),F263="Mini Project"),10,
OR(ISNUMBER(SEARCH("Data Science",F263)),ISNUMBER(SEARCH("DS",F263))),11,
ISNUMBER(SEARCH("Generative AI",F263)),12
=_xlfn.IFS(
OR(F263="Selenium (Hands-on)",F263="Guest Lecture: HR Interview"),6,
OR(F263="Soft Skill",F263="Soft Skill (Examination)",F263="AWS Training",F263="AWS Session"),7,
OR(ISNUMBER(SEARCH("MAD",F263)),ISNUMBER(SEARCH("STQA",F263)),F263="CI/CD Session"),8,
OR(ISNUMBER(SEARCH("Cloud",F263)),F263="Industry Readiness Program",ISNUMBER(SEARCH("Talenlio",F263))),9,
OR(ISNUMBER(SEARCH("Innovation",F263)),F263="Mini Project"),10,
OR(ISNUMBER(SEARCH("Data Science",F263)),ISNUMBER(SEARCH("DS",F263))),11,
ISNUMBER(SEARCH("Generative AI",F263)),12
=_xlfn.IFS(
OR(F263="Selenium (Hands-on)",F263="Guest Lecture: HR Interview"),6,
OR(F263="Soft Skill",F263="Soft Skill (Examination)",F263="AWS Training",F263="AWS Session"),7,
OR(ISNUMBER(SEARCH("MAD",F263)),ISNUMBER(SEARCH("STQA",F263)),F263="CI/CD Session"),8,
OR(ISNUMBER(SEARCH("Cloud",F263)),F263="Industry Readiness Program",ISNUMBER(SEARCH("Talenlio",F263))),9,
OR(ISNUMBER(SEARCH("Innovation",F263)),F263="Mini Project"),10,
OR(ISNUMBER(SEARCH("Data Science",F263)),ISNUMBER(SEARCH("DS",F263))),11,
ISNUMBER(SEARCH("Generative AI",F263)),12
=_xlfn.IFS(
OR(F263="Selenium (Hands-on)",F263="Guest Lecture: HR Interview"),6,
OR(F263="Soft Skill",F263="Soft Skill (Examination)",F263="AWS Training",F263="AWS Session"),7,
OR(ISNUMBER(SEARCH("MAD",F263)),ISNUMBER(SEARCH("STQA",F263)),F263="CI/CD Session"),8,
OR(ISNUMBER(SEARCH("Cloud",F263)),F263="Industry Readiness Program",ISNUMBER(SEARCH("Talenlio",F263))),9,
OR(ISNUMBER(SEARCH("Innovation",F263)),F263="Mini Project"),10,
OR(ISNUMBER(SEARCH("Data Science",F263)),ISNUMBER(SEARCH("DS",F263))),11,
ISNUMBER(SEARCH("Generative AI",F263)),12
))))</f>
        <v>11</v>
      </c>
      <c r="X263" s="3">
        <v>9</v>
      </c>
      <c r="Y263" s="3">
        <v>58</v>
      </c>
      <c r="Z263" s="3" t="s">
        <v>35</v>
      </c>
    </row>
    <row r="264" spans="1:26" x14ac:dyDescent="0.3">
      <c r="A264" s="2">
        <v>46246</v>
      </c>
      <c r="B264" s="3" t="s">
        <v>44</v>
      </c>
      <c r="C264" s="3">
        <v>1</v>
      </c>
      <c r="D264" s="4">
        <v>0.38541666666666702</v>
      </c>
      <c r="E264" s="4">
        <v>0.42708333333333298</v>
      </c>
      <c r="F264" s="3" t="s">
        <v>83</v>
      </c>
      <c r="G264" s="3" t="s">
        <v>289</v>
      </c>
      <c r="H264" s="3" t="s">
        <v>29</v>
      </c>
      <c r="I264" s="3" t="s">
        <v>30</v>
      </c>
      <c r="J264" s="3" t="s">
        <v>31</v>
      </c>
      <c r="K264" s="3" t="s">
        <v>52</v>
      </c>
      <c r="L264" s="5">
        <v>103</v>
      </c>
      <c r="M264" s="5">
        <f t="shared" ca="1" si="20"/>
        <v>87</v>
      </c>
      <c r="N264" s="6">
        <f t="shared" ca="1" si="21"/>
        <v>84.466019417475721</v>
      </c>
      <c r="O264" s="3">
        <v>78.115684000000002</v>
      </c>
      <c r="P264" s="3">
        <f t="shared" si="24"/>
        <v>0</v>
      </c>
      <c r="Q264" s="3" t="s">
        <v>43</v>
      </c>
      <c r="R264" s="3" t="s">
        <v>40</v>
      </c>
      <c r="S264" s="3" t="str">
        <f t="shared" si="22"/>
        <v>Yes</v>
      </c>
      <c r="T264" s="3" t="s">
        <v>40</v>
      </c>
      <c r="U264" s="3" t="str">
        <f t="shared" si="23"/>
        <v>Rainy</v>
      </c>
      <c r="V264" s="3" t="s">
        <v>40</v>
      </c>
      <c r="W264" s="3" cm="1">
        <f t="array" ref="W264">_xlfn.IFS(
OR(F264="Selenium (Hands-on)",F264="Guest Lecture: HR Interview"),6,
OR(F264="Soft Skill",F264="Soft Skill (Examination)",F264="AWS Training",F264="AWS Session"),7,
OR(ISNUMBER(SEARCH("MAD",F264)),ISNUMBER(SEARCH("STQA",F264)),F264="CI/CD Session"),8,
OR(ISNUMBER(SEARCH("Cloud",F264)),F264="Industry Readiness Program",ISNUMBER(SEARCH("Talenlio",F264))),9,
OR(ISNUMBER(SEARCH("Innovation",F264)),F264="Mini Project"),10,
OR(ISNUMBER(SEARCH("Data Science",F264)),ISNUMBER(SEARCH("DS",F264))),11,
ISNUMBER(SEARCH("Generative AI",F264)),12
=_xlfn.IFS(
OR(F264="Selenium (Hands-on)",F264="Guest Lecture: HR Interview"),6,
OR(F264="Soft Skill",F264="Soft Skill (Examination)",F264="AWS Training",F264="AWS Session"),7,
OR(ISNUMBER(SEARCH("MAD",F264)),ISNUMBER(SEARCH("STQA",F264)),F264="CI/CD Session"),8,
OR(ISNUMBER(SEARCH("Cloud",F264)),F264="Industry Readiness Program",ISNUMBER(SEARCH("Talenlio",F264))),9,
OR(ISNUMBER(SEARCH("Innovation",F264)),F264="Mini Project"),10,
OR(ISNUMBER(SEARCH("Data Science",F264)),ISNUMBER(SEARCH("DS",F264))),11,
ISNUMBER(SEARCH("Generative AI",F264)),12
=_xlfn.IFS(
OR(F264="Selenium (Hands-on)",F264="Guest Lecture: HR Interview"),6,
OR(F264="Soft Skill",F264="Soft Skill (Examination)",F264="AWS Training",F264="AWS Session"),7,
OR(ISNUMBER(SEARCH("MAD",F264)),ISNUMBER(SEARCH("STQA",F264)),F264="CI/CD Session"),8,
OR(ISNUMBER(SEARCH("Cloud",F264)),F264="Industry Readiness Program",ISNUMBER(SEARCH("Talenlio",F264))),9,
OR(ISNUMBER(SEARCH("Innovation",F264)),F264="Mini Project"),10,
OR(ISNUMBER(SEARCH("Data Science",F264)),ISNUMBER(SEARCH("DS",F264))),11,
ISNUMBER(SEARCH("Generative AI",F264)),12
=_xlfn.IFS(
OR(F264="Selenium (Hands-on)",F264="Guest Lecture: HR Interview"),6,
OR(F264="Soft Skill",F264="Soft Skill (Examination)",F264="AWS Training",F264="AWS Session"),7,
OR(ISNUMBER(SEARCH("MAD",F264)),ISNUMBER(SEARCH("STQA",F264)),F264="CI/CD Session"),8,
OR(ISNUMBER(SEARCH("Cloud",F264)),F264="Industry Readiness Program",ISNUMBER(SEARCH("Talenlio",F264))),9,
OR(ISNUMBER(SEARCH("Innovation",F264)),F264="Mini Project"),10,
OR(ISNUMBER(SEARCH("Data Science",F264)),ISNUMBER(SEARCH("DS",F264))),11,
ISNUMBER(SEARCH("Generative AI",F264)),12
))))</f>
        <v>8</v>
      </c>
      <c r="X264" s="3">
        <v>9</v>
      </c>
      <c r="Y264" s="3">
        <v>59</v>
      </c>
      <c r="Z264" s="3" t="s">
        <v>35</v>
      </c>
    </row>
    <row r="265" spans="1:26" x14ac:dyDescent="0.3">
      <c r="A265" s="2">
        <v>46246</v>
      </c>
      <c r="B265" s="3" t="s">
        <v>44</v>
      </c>
      <c r="C265" s="3">
        <v>2</v>
      </c>
      <c r="D265" s="4">
        <v>0.42708333333333298</v>
      </c>
      <c r="E265" s="4">
        <v>0.46875</v>
      </c>
      <c r="F265" s="3" t="s">
        <v>83</v>
      </c>
      <c r="G265" s="3" t="s">
        <v>289</v>
      </c>
      <c r="H265" s="3" t="s">
        <v>29</v>
      </c>
      <c r="I265" s="3" t="s">
        <v>30</v>
      </c>
      <c r="J265" s="3" t="s">
        <v>31</v>
      </c>
      <c r="K265" s="3" t="s">
        <v>52</v>
      </c>
      <c r="L265" s="5">
        <v>103</v>
      </c>
      <c r="M265" s="5">
        <f t="shared" ca="1" si="20"/>
        <v>44</v>
      </c>
      <c r="N265" s="6">
        <f t="shared" ca="1" si="21"/>
        <v>42.718446601941743</v>
      </c>
      <c r="O265" s="3" cm="1">
        <f t="array" aca="1" ref="O265" ca="1">IFERROR(LOOKUP(2, 1/((F$1:F264=F265)*(J$1:J264=J265)*(ROW(F$1:F264)&lt;ROW(F265))), N$1:N264), "")</f>
        <v>84.466019417475721</v>
      </c>
      <c r="P265" s="3">
        <f t="shared" si="24"/>
        <v>0</v>
      </c>
      <c r="Q265" s="3" t="s">
        <v>43</v>
      </c>
      <c r="R265" s="3" t="s">
        <v>40</v>
      </c>
      <c r="S265" s="3" t="str">
        <f t="shared" si="22"/>
        <v>Yes</v>
      </c>
      <c r="T265" s="3" t="s">
        <v>40</v>
      </c>
      <c r="U265" s="3" t="str">
        <f t="shared" si="23"/>
        <v>Rainy</v>
      </c>
      <c r="V265" s="3" t="s">
        <v>40</v>
      </c>
      <c r="W265" s="3" cm="1">
        <f t="array" ref="W265">_xlfn.IFS(
OR(F265="Selenium (Hands-on)",F265="Guest Lecture: HR Interview"),6,
OR(F265="Soft Skill",F265="Soft Skill (Examination)",F265="AWS Training",F265="AWS Session"),7,
OR(ISNUMBER(SEARCH("MAD",F265)),ISNUMBER(SEARCH("STQA",F265)),F265="CI/CD Session"),8,
OR(ISNUMBER(SEARCH("Cloud",F265)),F265="Industry Readiness Program",ISNUMBER(SEARCH("Talenlio",F265))),9,
OR(ISNUMBER(SEARCH("Innovation",F265)),F265="Mini Project"),10,
OR(ISNUMBER(SEARCH("Data Science",F265)),ISNUMBER(SEARCH("DS",F265))),11,
ISNUMBER(SEARCH("Generative AI",F265)),12
=_xlfn.IFS(
OR(F265="Selenium (Hands-on)",F265="Guest Lecture: HR Interview"),6,
OR(F265="Soft Skill",F265="Soft Skill (Examination)",F265="AWS Training",F265="AWS Session"),7,
OR(ISNUMBER(SEARCH("MAD",F265)),ISNUMBER(SEARCH("STQA",F265)),F265="CI/CD Session"),8,
OR(ISNUMBER(SEARCH("Cloud",F265)),F265="Industry Readiness Program",ISNUMBER(SEARCH("Talenlio",F265))),9,
OR(ISNUMBER(SEARCH("Innovation",F265)),F265="Mini Project"),10,
OR(ISNUMBER(SEARCH("Data Science",F265)),ISNUMBER(SEARCH("DS",F265))),11,
ISNUMBER(SEARCH("Generative AI",F265)),12
=_xlfn.IFS(
OR(F265="Selenium (Hands-on)",F265="Guest Lecture: HR Interview"),6,
OR(F265="Soft Skill",F265="Soft Skill (Examination)",F265="AWS Training",F265="AWS Session"),7,
OR(ISNUMBER(SEARCH("MAD",F265)),ISNUMBER(SEARCH("STQA",F265)),F265="CI/CD Session"),8,
OR(ISNUMBER(SEARCH("Cloud",F265)),F265="Industry Readiness Program",ISNUMBER(SEARCH("Talenlio",F265))),9,
OR(ISNUMBER(SEARCH("Innovation",F265)),F265="Mini Project"),10,
OR(ISNUMBER(SEARCH("Data Science",F265)),ISNUMBER(SEARCH("DS",F265))),11,
ISNUMBER(SEARCH("Generative AI",F265)),12
=_xlfn.IFS(
OR(F265="Selenium (Hands-on)",F265="Guest Lecture: HR Interview"),6,
OR(F265="Soft Skill",F265="Soft Skill (Examination)",F265="AWS Training",F265="AWS Session"),7,
OR(ISNUMBER(SEARCH("MAD",F265)),ISNUMBER(SEARCH("STQA",F265)),F265="CI/CD Session"),8,
OR(ISNUMBER(SEARCH("Cloud",F265)),F265="Industry Readiness Program",ISNUMBER(SEARCH("Talenlio",F265))),9,
OR(ISNUMBER(SEARCH("Innovation",F265)),F265="Mini Project"),10,
OR(ISNUMBER(SEARCH("Data Science",F265)),ISNUMBER(SEARCH("DS",F265))),11,
ISNUMBER(SEARCH("Generative AI",F265)),12
))))</f>
        <v>8</v>
      </c>
      <c r="X265" s="3">
        <v>9</v>
      </c>
      <c r="Y265" s="3">
        <v>59</v>
      </c>
      <c r="Z265" s="3" t="s">
        <v>35</v>
      </c>
    </row>
    <row r="266" spans="1:26" x14ac:dyDescent="0.3">
      <c r="A266" s="2">
        <v>46246</v>
      </c>
      <c r="B266" s="3" t="s">
        <v>44</v>
      </c>
      <c r="C266" s="3">
        <v>3</v>
      </c>
      <c r="D266" s="4">
        <v>0.46875</v>
      </c>
      <c r="E266" s="4">
        <v>0.51041666666666696</v>
      </c>
      <c r="F266" s="3" t="s">
        <v>83</v>
      </c>
      <c r="G266" s="3" t="s">
        <v>289</v>
      </c>
      <c r="H266" s="3" t="s">
        <v>29</v>
      </c>
      <c r="I266" s="3" t="s">
        <v>30</v>
      </c>
      <c r="J266" s="3" t="s">
        <v>31</v>
      </c>
      <c r="K266" s="3" t="s">
        <v>52</v>
      </c>
      <c r="L266" s="5">
        <v>103</v>
      </c>
      <c r="M266" s="5">
        <f t="shared" ca="1" si="20"/>
        <v>52</v>
      </c>
      <c r="N266" s="6">
        <f t="shared" ca="1" si="21"/>
        <v>50.485436893203882</v>
      </c>
      <c r="O266" s="3" cm="1">
        <f t="array" aca="1" ref="O266" ca="1">IFERROR(LOOKUP(2, 1/((F$1:F265=F266)*(J$1:J265=J266)*(ROW(F$1:F265)&lt;ROW(F266))), N$1:N265), "")</f>
        <v>42.718446601941743</v>
      </c>
      <c r="P266" s="3">
        <f t="shared" si="24"/>
        <v>0</v>
      </c>
      <c r="Q266" s="3" t="s">
        <v>43</v>
      </c>
      <c r="R266" s="3" t="s">
        <v>40</v>
      </c>
      <c r="S266" s="3" t="str">
        <f t="shared" si="22"/>
        <v>Yes</v>
      </c>
      <c r="T266" s="3" t="s">
        <v>40</v>
      </c>
      <c r="U266" s="3" t="str">
        <f t="shared" si="23"/>
        <v>Rainy</v>
      </c>
      <c r="V266" s="3" t="s">
        <v>40</v>
      </c>
      <c r="W266" s="3" cm="1">
        <f t="array" ref="W266">_xlfn.IFS(
OR(F266="Selenium (Hands-on)",F266="Guest Lecture: HR Interview"),6,
OR(F266="Soft Skill",F266="Soft Skill (Examination)",F266="AWS Training",F266="AWS Session"),7,
OR(ISNUMBER(SEARCH("MAD",F266)),ISNUMBER(SEARCH("STQA",F266)),F266="CI/CD Session"),8,
OR(ISNUMBER(SEARCH("Cloud",F266)),F266="Industry Readiness Program",ISNUMBER(SEARCH("Talenlio",F266))),9,
OR(ISNUMBER(SEARCH("Innovation",F266)),F266="Mini Project"),10,
OR(ISNUMBER(SEARCH("Data Science",F266)),ISNUMBER(SEARCH("DS",F266))),11,
ISNUMBER(SEARCH("Generative AI",F266)),12
=_xlfn.IFS(
OR(F266="Selenium (Hands-on)",F266="Guest Lecture: HR Interview"),6,
OR(F266="Soft Skill",F266="Soft Skill (Examination)",F266="AWS Training",F266="AWS Session"),7,
OR(ISNUMBER(SEARCH("MAD",F266)),ISNUMBER(SEARCH("STQA",F266)),F266="CI/CD Session"),8,
OR(ISNUMBER(SEARCH("Cloud",F266)),F266="Industry Readiness Program",ISNUMBER(SEARCH("Talenlio",F266))),9,
OR(ISNUMBER(SEARCH("Innovation",F266)),F266="Mini Project"),10,
OR(ISNUMBER(SEARCH("Data Science",F266)),ISNUMBER(SEARCH("DS",F266))),11,
ISNUMBER(SEARCH("Generative AI",F266)),12
=_xlfn.IFS(
OR(F266="Selenium (Hands-on)",F266="Guest Lecture: HR Interview"),6,
OR(F266="Soft Skill",F266="Soft Skill (Examination)",F266="AWS Training",F266="AWS Session"),7,
OR(ISNUMBER(SEARCH("MAD",F266)),ISNUMBER(SEARCH("STQA",F266)),F266="CI/CD Session"),8,
OR(ISNUMBER(SEARCH("Cloud",F266)),F266="Industry Readiness Program",ISNUMBER(SEARCH("Talenlio",F266))),9,
OR(ISNUMBER(SEARCH("Innovation",F266)),F266="Mini Project"),10,
OR(ISNUMBER(SEARCH("Data Science",F266)),ISNUMBER(SEARCH("DS",F266))),11,
ISNUMBER(SEARCH("Generative AI",F266)),12
=_xlfn.IFS(
OR(F266="Selenium (Hands-on)",F266="Guest Lecture: HR Interview"),6,
OR(F266="Soft Skill",F266="Soft Skill (Examination)",F266="AWS Training",F266="AWS Session"),7,
OR(ISNUMBER(SEARCH("MAD",F266)),ISNUMBER(SEARCH("STQA",F266)),F266="CI/CD Session"),8,
OR(ISNUMBER(SEARCH("Cloud",F266)),F266="Industry Readiness Program",ISNUMBER(SEARCH("Talenlio",F266))),9,
OR(ISNUMBER(SEARCH("Innovation",F266)),F266="Mini Project"),10,
OR(ISNUMBER(SEARCH("Data Science",F266)),ISNUMBER(SEARCH("DS",F266))),11,
ISNUMBER(SEARCH("Generative AI",F266)),12
))))</f>
        <v>8</v>
      </c>
      <c r="X266" s="3">
        <v>9</v>
      </c>
      <c r="Y266" s="3">
        <v>59</v>
      </c>
      <c r="Z266" s="3" t="s">
        <v>35</v>
      </c>
    </row>
    <row r="267" spans="1:26" x14ac:dyDescent="0.3">
      <c r="A267" s="2">
        <v>46247</v>
      </c>
      <c r="B267" s="3" t="s">
        <v>45</v>
      </c>
      <c r="C267" s="3">
        <v>1</v>
      </c>
      <c r="D267" s="4">
        <v>0.38541666666666702</v>
      </c>
      <c r="E267" s="4">
        <v>0.42708333333333298</v>
      </c>
      <c r="F267" s="3" t="s">
        <v>83</v>
      </c>
      <c r="G267" s="3" t="s">
        <v>289</v>
      </c>
      <c r="H267" s="3" t="s">
        <v>29</v>
      </c>
      <c r="I267" s="3" t="s">
        <v>30</v>
      </c>
      <c r="J267" s="3" t="s">
        <v>31</v>
      </c>
      <c r="K267" s="3" t="s">
        <v>52</v>
      </c>
      <c r="L267" s="5">
        <v>103</v>
      </c>
      <c r="M267" s="5">
        <f t="shared" ca="1" si="20"/>
        <v>44</v>
      </c>
      <c r="N267" s="6">
        <f t="shared" ca="1" si="21"/>
        <v>42.718446601941743</v>
      </c>
      <c r="O267" s="3" cm="1">
        <f t="array" aca="1" ref="O267" ca="1">IFERROR(LOOKUP(2, 1/((F$1:F266=F267)*(J$1:J266=J267)*(ROW(F$1:F266)&lt;ROW(F267))), N$1:N266), "")</f>
        <v>50.485436893203882</v>
      </c>
      <c r="P267" s="3">
        <f t="shared" si="24"/>
        <v>0</v>
      </c>
      <c r="Q267" s="3" t="s">
        <v>43</v>
      </c>
      <c r="R267" s="3" t="s">
        <v>40</v>
      </c>
      <c r="S267" s="3" t="str">
        <f t="shared" si="22"/>
        <v>Yes</v>
      </c>
      <c r="T267" s="3" t="s">
        <v>40</v>
      </c>
      <c r="U267" s="3" t="str">
        <f t="shared" si="23"/>
        <v>Rainy</v>
      </c>
      <c r="V267" s="3" t="s">
        <v>40</v>
      </c>
      <c r="W267" s="3" cm="1">
        <f t="array" ref="W267">_xlfn.IFS(
OR(F267="Selenium (Hands-on)",F267="Guest Lecture: HR Interview"),6,
OR(F267="Soft Skill",F267="Soft Skill (Examination)",F267="AWS Training",F267="AWS Session"),7,
OR(ISNUMBER(SEARCH("MAD",F267)),ISNUMBER(SEARCH("STQA",F267)),F267="CI/CD Session"),8,
OR(ISNUMBER(SEARCH("Cloud",F267)),F267="Industry Readiness Program",ISNUMBER(SEARCH("Talenlio",F267))),9,
OR(ISNUMBER(SEARCH("Innovation",F267)),F267="Mini Project"),10,
OR(ISNUMBER(SEARCH("Data Science",F267)),ISNUMBER(SEARCH("DS",F267))),11,
ISNUMBER(SEARCH("Generative AI",F267)),12
=_xlfn.IFS(
OR(F267="Selenium (Hands-on)",F267="Guest Lecture: HR Interview"),6,
OR(F267="Soft Skill",F267="Soft Skill (Examination)",F267="AWS Training",F267="AWS Session"),7,
OR(ISNUMBER(SEARCH("MAD",F267)),ISNUMBER(SEARCH("STQA",F267)),F267="CI/CD Session"),8,
OR(ISNUMBER(SEARCH("Cloud",F267)),F267="Industry Readiness Program",ISNUMBER(SEARCH("Talenlio",F267))),9,
OR(ISNUMBER(SEARCH("Innovation",F267)),F267="Mini Project"),10,
OR(ISNUMBER(SEARCH("Data Science",F267)),ISNUMBER(SEARCH("DS",F267))),11,
ISNUMBER(SEARCH("Generative AI",F267)),12
=_xlfn.IFS(
OR(F267="Selenium (Hands-on)",F267="Guest Lecture: HR Interview"),6,
OR(F267="Soft Skill",F267="Soft Skill (Examination)",F267="AWS Training",F267="AWS Session"),7,
OR(ISNUMBER(SEARCH("MAD",F267)),ISNUMBER(SEARCH("STQA",F267)),F267="CI/CD Session"),8,
OR(ISNUMBER(SEARCH("Cloud",F267)),F267="Industry Readiness Program",ISNUMBER(SEARCH("Talenlio",F267))),9,
OR(ISNUMBER(SEARCH("Innovation",F267)),F267="Mini Project"),10,
OR(ISNUMBER(SEARCH("Data Science",F267)),ISNUMBER(SEARCH("DS",F267))),11,
ISNUMBER(SEARCH("Generative AI",F267)),12
=_xlfn.IFS(
OR(F267="Selenium (Hands-on)",F267="Guest Lecture: HR Interview"),6,
OR(F267="Soft Skill",F267="Soft Skill (Examination)",F267="AWS Training",F267="AWS Session"),7,
OR(ISNUMBER(SEARCH("MAD",F267)),ISNUMBER(SEARCH("STQA",F267)),F267="CI/CD Session"),8,
OR(ISNUMBER(SEARCH("Cloud",F267)),F267="Industry Readiness Program",ISNUMBER(SEARCH("Talenlio",F267))),9,
OR(ISNUMBER(SEARCH("Innovation",F267)),F267="Mini Project"),10,
OR(ISNUMBER(SEARCH("Data Science",F267)),ISNUMBER(SEARCH("DS",F267))),11,
ISNUMBER(SEARCH("Generative AI",F267)),12
))))</f>
        <v>8</v>
      </c>
      <c r="X267" s="3">
        <v>9</v>
      </c>
      <c r="Y267" s="3">
        <v>60</v>
      </c>
      <c r="Z267" s="3" t="s">
        <v>35</v>
      </c>
    </row>
    <row r="268" spans="1:26" x14ac:dyDescent="0.3">
      <c r="A268" s="2">
        <v>46247</v>
      </c>
      <c r="B268" s="3" t="s">
        <v>45</v>
      </c>
      <c r="C268" s="3">
        <v>2</v>
      </c>
      <c r="D268" s="4">
        <v>0.42708333333333298</v>
      </c>
      <c r="E268" s="4">
        <v>0.46875</v>
      </c>
      <c r="F268" s="3" t="s">
        <v>83</v>
      </c>
      <c r="G268" s="3" t="s">
        <v>289</v>
      </c>
      <c r="H268" s="3" t="s">
        <v>29</v>
      </c>
      <c r="I268" s="3" t="s">
        <v>30</v>
      </c>
      <c r="J268" s="3" t="s">
        <v>31</v>
      </c>
      <c r="K268" s="3" t="s">
        <v>52</v>
      </c>
      <c r="L268" s="5">
        <v>103</v>
      </c>
      <c r="M268" s="5">
        <f t="shared" ca="1" si="20"/>
        <v>54</v>
      </c>
      <c r="N268" s="6">
        <f t="shared" ca="1" si="21"/>
        <v>52.427184466019419</v>
      </c>
      <c r="O268" s="3" cm="1">
        <f t="array" aca="1" ref="O268" ca="1">IFERROR(LOOKUP(2, 1/((F$1:F267=F268)*(J$1:J267=J268)*(ROW(F$1:F267)&lt;ROW(F268))), N$1:N267), "")</f>
        <v>42.718446601941743</v>
      </c>
      <c r="P268" s="3">
        <f t="shared" si="24"/>
        <v>0</v>
      </c>
      <c r="Q268" s="3" t="s">
        <v>43</v>
      </c>
      <c r="R268" s="3" t="s">
        <v>40</v>
      </c>
      <c r="S268" s="3" t="str">
        <f t="shared" si="22"/>
        <v>Yes</v>
      </c>
      <c r="T268" s="3" t="s">
        <v>40</v>
      </c>
      <c r="U268" s="3" t="str">
        <f t="shared" si="23"/>
        <v>Rainy</v>
      </c>
      <c r="V268" s="3" t="s">
        <v>40</v>
      </c>
      <c r="W268" s="3" cm="1">
        <f t="array" ref="W268">_xlfn.IFS(
OR(F268="Selenium (Hands-on)",F268="Guest Lecture: HR Interview"),6,
OR(F268="Soft Skill",F268="Soft Skill (Examination)",F268="AWS Training",F268="AWS Session"),7,
OR(ISNUMBER(SEARCH("MAD",F268)),ISNUMBER(SEARCH("STQA",F268)),F268="CI/CD Session"),8,
OR(ISNUMBER(SEARCH("Cloud",F268)),F268="Industry Readiness Program",ISNUMBER(SEARCH("Talenlio",F268))),9,
OR(ISNUMBER(SEARCH("Innovation",F268)),F268="Mini Project"),10,
OR(ISNUMBER(SEARCH("Data Science",F268)),ISNUMBER(SEARCH("DS",F268))),11,
ISNUMBER(SEARCH("Generative AI",F268)),12
=_xlfn.IFS(
OR(F268="Selenium (Hands-on)",F268="Guest Lecture: HR Interview"),6,
OR(F268="Soft Skill",F268="Soft Skill (Examination)",F268="AWS Training",F268="AWS Session"),7,
OR(ISNUMBER(SEARCH("MAD",F268)),ISNUMBER(SEARCH("STQA",F268)),F268="CI/CD Session"),8,
OR(ISNUMBER(SEARCH("Cloud",F268)),F268="Industry Readiness Program",ISNUMBER(SEARCH("Talenlio",F268))),9,
OR(ISNUMBER(SEARCH("Innovation",F268)),F268="Mini Project"),10,
OR(ISNUMBER(SEARCH("Data Science",F268)),ISNUMBER(SEARCH("DS",F268))),11,
ISNUMBER(SEARCH("Generative AI",F268)),12
=_xlfn.IFS(
OR(F268="Selenium (Hands-on)",F268="Guest Lecture: HR Interview"),6,
OR(F268="Soft Skill",F268="Soft Skill (Examination)",F268="AWS Training",F268="AWS Session"),7,
OR(ISNUMBER(SEARCH("MAD",F268)),ISNUMBER(SEARCH("STQA",F268)),F268="CI/CD Session"),8,
OR(ISNUMBER(SEARCH("Cloud",F268)),F268="Industry Readiness Program",ISNUMBER(SEARCH("Talenlio",F268))),9,
OR(ISNUMBER(SEARCH("Innovation",F268)),F268="Mini Project"),10,
OR(ISNUMBER(SEARCH("Data Science",F268)),ISNUMBER(SEARCH("DS",F268))),11,
ISNUMBER(SEARCH("Generative AI",F268)),12
=_xlfn.IFS(
OR(F268="Selenium (Hands-on)",F268="Guest Lecture: HR Interview"),6,
OR(F268="Soft Skill",F268="Soft Skill (Examination)",F268="AWS Training",F268="AWS Session"),7,
OR(ISNUMBER(SEARCH("MAD",F268)),ISNUMBER(SEARCH("STQA",F268)),F268="CI/CD Session"),8,
OR(ISNUMBER(SEARCH("Cloud",F268)),F268="Industry Readiness Program",ISNUMBER(SEARCH("Talenlio",F268))),9,
OR(ISNUMBER(SEARCH("Innovation",F268)),F268="Mini Project"),10,
OR(ISNUMBER(SEARCH("Data Science",F268)),ISNUMBER(SEARCH("DS",F268))),11,
ISNUMBER(SEARCH("Generative AI",F268)),12
))))</f>
        <v>8</v>
      </c>
      <c r="X268" s="3">
        <v>9</v>
      </c>
      <c r="Y268" s="3">
        <v>60</v>
      </c>
      <c r="Z268" s="3" t="s">
        <v>35</v>
      </c>
    </row>
    <row r="269" spans="1:26" x14ac:dyDescent="0.3">
      <c r="A269" s="2">
        <v>46247</v>
      </c>
      <c r="B269" s="3" t="s">
        <v>45</v>
      </c>
      <c r="C269" s="3">
        <v>3</v>
      </c>
      <c r="D269" s="4">
        <v>0.46875</v>
      </c>
      <c r="E269" s="4">
        <v>0.51041666666666696</v>
      </c>
      <c r="F269" s="3" t="s">
        <v>83</v>
      </c>
      <c r="G269" s="3" t="s">
        <v>289</v>
      </c>
      <c r="H269" s="3" t="s">
        <v>29</v>
      </c>
      <c r="I269" s="3" t="s">
        <v>30</v>
      </c>
      <c r="J269" s="3" t="s">
        <v>31</v>
      </c>
      <c r="K269" s="3" t="s">
        <v>52</v>
      </c>
      <c r="L269" s="5">
        <v>103</v>
      </c>
      <c r="M269" s="5">
        <f t="shared" ca="1" si="20"/>
        <v>91</v>
      </c>
      <c r="N269" s="6">
        <f t="shared" ca="1" si="21"/>
        <v>88.349514563106794</v>
      </c>
      <c r="O269" s="3" cm="1">
        <f t="array" aca="1" ref="O269" ca="1">IFERROR(LOOKUP(2, 1/((F$1:F268=F269)*(J$1:J268=J269)*(ROW(F$1:F268)&lt;ROW(F269))), N$1:N268), "")</f>
        <v>52.427184466019419</v>
      </c>
      <c r="P269" s="3">
        <f t="shared" si="24"/>
        <v>0</v>
      </c>
      <c r="Q269" s="3" t="s">
        <v>43</v>
      </c>
      <c r="R269" s="3" t="s">
        <v>40</v>
      </c>
      <c r="S269" s="3" t="str">
        <f t="shared" si="22"/>
        <v>Yes</v>
      </c>
      <c r="T269" s="3" t="s">
        <v>40</v>
      </c>
      <c r="U269" s="3" t="str">
        <f t="shared" si="23"/>
        <v>Rainy</v>
      </c>
      <c r="V269" s="3" t="s">
        <v>40</v>
      </c>
      <c r="W269" s="3" cm="1">
        <f t="array" ref="W269">_xlfn.IFS(
OR(F269="Selenium (Hands-on)",F269="Guest Lecture: HR Interview"),6,
OR(F269="Soft Skill",F269="Soft Skill (Examination)",F269="AWS Training",F269="AWS Session"),7,
OR(ISNUMBER(SEARCH("MAD",F269)),ISNUMBER(SEARCH("STQA",F269)),F269="CI/CD Session"),8,
OR(ISNUMBER(SEARCH("Cloud",F269)),F269="Industry Readiness Program",ISNUMBER(SEARCH("Talenlio",F269))),9,
OR(ISNUMBER(SEARCH("Innovation",F269)),F269="Mini Project"),10,
OR(ISNUMBER(SEARCH("Data Science",F269)),ISNUMBER(SEARCH("DS",F269))),11,
ISNUMBER(SEARCH("Generative AI",F269)),12
=_xlfn.IFS(
OR(F269="Selenium (Hands-on)",F269="Guest Lecture: HR Interview"),6,
OR(F269="Soft Skill",F269="Soft Skill (Examination)",F269="AWS Training",F269="AWS Session"),7,
OR(ISNUMBER(SEARCH("MAD",F269)),ISNUMBER(SEARCH("STQA",F269)),F269="CI/CD Session"),8,
OR(ISNUMBER(SEARCH("Cloud",F269)),F269="Industry Readiness Program",ISNUMBER(SEARCH("Talenlio",F269))),9,
OR(ISNUMBER(SEARCH("Innovation",F269)),F269="Mini Project"),10,
OR(ISNUMBER(SEARCH("Data Science",F269)),ISNUMBER(SEARCH("DS",F269))),11,
ISNUMBER(SEARCH("Generative AI",F269)),12
=_xlfn.IFS(
OR(F269="Selenium (Hands-on)",F269="Guest Lecture: HR Interview"),6,
OR(F269="Soft Skill",F269="Soft Skill (Examination)",F269="AWS Training",F269="AWS Session"),7,
OR(ISNUMBER(SEARCH("MAD",F269)),ISNUMBER(SEARCH("STQA",F269)),F269="CI/CD Session"),8,
OR(ISNUMBER(SEARCH("Cloud",F269)),F269="Industry Readiness Program",ISNUMBER(SEARCH("Talenlio",F269))),9,
OR(ISNUMBER(SEARCH("Innovation",F269)),F269="Mini Project"),10,
OR(ISNUMBER(SEARCH("Data Science",F269)),ISNUMBER(SEARCH("DS",F269))),11,
ISNUMBER(SEARCH("Generative AI",F269)),12
=_xlfn.IFS(
OR(F269="Selenium (Hands-on)",F269="Guest Lecture: HR Interview"),6,
OR(F269="Soft Skill",F269="Soft Skill (Examination)",F269="AWS Training",F269="AWS Session"),7,
OR(ISNUMBER(SEARCH("MAD",F269)),ISNUMBER(SEARCH("STQA",F269)),F269="CI/CD Session"),8,
OR(ISNUMBER(SEARCH("Cloud",F269)),F269="Industry Readiness Program",ISNUMBER(SEARCH("Talenlio",F269))),9,
OR(ISNUMBER(SEARCH("Innovation",F269)),F269="Mini Project"),10,
OR(ISNUMBER(SEARCH("Data Science",F269)),ISNUMBER(SEARCH("DS",F269))),11,
ISNUMBER(SEARCH("Generative AI",F269)),12
))))</f>
        <v>8</v>
      </c>
      <c r="X269" s="3">
        <v>9</v>
      </c>
      <c r="Y269" s="3">
        <v>60</v>
      </c>
      <c r="Z269" s="3" t="s">
        <v>35</v>
      </c>
    </row>
    <row r="270" spans="1:26" x14ac:dyDescent="0.3">
      <c r="A270" s="2">
        <v>46247</v>
      </c>
      <c r="B270" s="3" t="s">
        <v>45</v>
      </c>
      <c r="C270" s="3">
        <v>4</v>
      </c>
      <c r="D270" s="4">
        <v>0.5625</v>
      </c>
      <c r="E270" s="4">
        <v>0.60416666666666696</v>
      </c>
      <c r="F270" s="3" t="s">
        <v>81</v>
      </c>
      <c r="G270" s="3" t="s">
        <v>289</v>
      </c>
      <c r="H270" s="3" t="s">
        <v>29</v>
      </c>
      <c r="I270" s="3" t="s">
        <v>30</v>
      </c>
      <c r="J270" s="3" t="s">
        <v>31</v>
      </c>
      <c r="K270" s="3" t="s">
        <v>52</v>
      </c>
      <c r="L270" s="5">
        <v>103</v>
      </c>
      <c r="M270" s="5">
        <f t="shared" ca="1" si="20"/>
        <v>43</v>
      </c>
      <c r="N270" s="6">
        <f t="shared" ca="1" si="21"/>
        <v>41.747572815533978</v>
      </c>
      <c r="O270" s="3" cm="1">
        <f t="array" aca="1" ref="O270" ca="1">IFERROR(LOOKUP(2, 1/((F$1:F269=F270)*(J$1:J269=J270)*(ROW(F$1:F269)&lt;ROW(F270))), N$1:N269), "")</f>
        <v>85.436893203883486</v>
      </c>
      <c r="P270" s="3">
        <f t="shared" si="24"/>
        <v>1.25</v>
      </c>
      <c r="Q270" s="3" t="s">
        <v>43</v>
      </c>
      <c r="R270" s="3" t="s">
        <v>40</v>
      </c>
      <c r="S270" s="3" t="str">
        <f t="shared" si="22"/>
        <v>No</v>
      </c>
      <c r="T270" s="3" t="s">
        <v>40</v>
      </c>
      <c r="U270" s="3" t="str">
        <f t="shared" si="23"/>
        <v>Rainy</v>
      </c>
      <c r="V270" s="3" t="s">
        <v>40</v>
      </c>
      <c r="W270" s="3" cm="1">
        <f t="array" ref="W270">_xlfn.IFS(
OR(F270="Selenium (Hands-on)",F270="Guest Lecture: HR Interview"),6,
OR(F270="Soft Skill",F270="Soft Skill (Examination)",F270="AWS Training",F270="AWS Session"),7,
OR(ISNUMBER(SEARCH("MAD",F270)),ISNUMBER(SEARCH("STQA",F270)),F270="CI/CD Session"),8,
OR(ISNUMBER(SEARCH("Cloud",F270)),F270="Industry Readiness Program",ISNUMBER(SEARCH("Talenlio",F270))),9,
OR(ISNUMBER(SEARCH("Innovation",F270)),F270="Mini Project"),10,
OR(ISNUMBER(SEARCH("Data Science",F270)),ISNUMBER(SEARCH("DS",F270))),11,
ISNUMBER(SEARCH("Generative AI",F270)),12
=_xlfn.IFS(
OR(F270="Selenium (Hands-on)",F270="Guest Lecture: HR Interview"),6,
OR(F270="Soft Skill",F270="Soft Skill (Examination)",F270="AWS Training",F270="AWS Session"),7,
OR(ISNUMBER(SEARCH("MAD",F270)),ISNUMBER(SEARCH("STQA",F270)),F270="CI/CD Session"),8,
OR(ISNUMBER(SEARCH("Cloud",F270)),F270="Industry Readiness Program",ISNUMBER(SEARCH("Talenlio",F270))),9,
OR(ISNUMBER(SEARCH("Innovation",F270)),F270="Mini Project"),10,
OR(ISNUMBER(SEARCH("Data Science",F270)),ISNUMBER(SEARCH("DS",F270))),11,
ISNUMBER(SEARCH("Generative AI",F270)),12
=_xlfn.IFS(
OR(F270="Selenium (Hands-on)",F270="Guest Lecture: HR Interview"),6,
OR(F270="Soft Skill",F270="Soft Skill (Examination)",F270="AWS Training",F270="AWS Session"),7,
OR(ISNUMBER(SEARCH("MAD",F270)),ISNUMBER(SEARCH("STQA",F270)),F270="CI/CD Session"),8,
OR(ISNUMBER(SEARCH("Cloud",F270)),F270="Industry Readiness Program",ISNUMBER(SEARCH("Talenlio",F270))),9,
OR(ISNUMBER(SEARCH("Innovation",F270)),F270="Mini Project"),10,
OR(ISNUMBER(SEARCH("Data Science",F270)),ISNUMBER(SEARCH("DS",F270))),11,
ISNUMBER(SEARCH("Generative AI",F270)),12
=_xlfn.IFS(
OR(F270="Selenium (Hands-on)",F270="Guest Lecture: HR Interview"),6,
OR(F270="Soft Skill",F270="Soft Skill (Examination)",F270="AWS Training",F270="AWS Session"),7,
OR(ISNUMBER(SEARCH("MAD",F270)),ISNUMBER(SEARCH("STQA",F270)),F270="CI/CD Session"),8,
OR(ISNUMBER(SEARCH("Cloud",F270)),F270="Industry Readiness Program",ISNUMBER(SEARCH("Talenlio",F270))),9,
OR(ISNUMBER(SEARCH("Innovation",F270)),F270="Mini Project"),10,
OR(ISNUMBER(SEARCH("Data Science",F270)),ISNUMBER(SEARCH("DS",F270))),11,
ISNUMBER(SEARCH("Generative AI",F270)),12
))))</f>
        <v>7</v>
      </c>
      <c r="X270" s="3">
        <v>9</v>
      </c>
      <c r="Y270" s="3">
        <v>60</v>
      </c>
      <c r="Z270" s="3" t="s">
        <v>38</v>
      </c>
    </row>
    <row r="271" spans="1:26" x14ac:dyDescent="0.3">
      <c r="A271" s="2">
        <v>46247</v>
      </c>
      <c r="B271" s="3" t="s">
        <v>45</v>
      </c>
      <c r="C271" s="3">
        <v>5</v>
      </c>
      <c r="D271" s="4">
        <v>0.60416666666666696</v>
      </c>
      <c r="E271" s="4">
        <v>0.64583333333333304</v>
      </c>
      <c r="F271" s="3" t="s">
        <v>81</v>
      </c>
      <c r="G271" s="3" t="s">
        <v>289</v>
      </c>
      <c r="H271" s="3" t="s">
        <v>29</v>
      </c>
      <c r="I271" s="3" t="s">
        <v>30</v>
      </c>
      <c r="J271" s="3" t="s">
        <v>31</v>
      </c>
      <c r="K271" s="3" t="s">
        <v>52</v>
      </c>
      <c r="L271" s="5">
        <v>103</v>
      </c>
      <c r="M271" s="5">
        <f t="shared" ca="1" si="20"/>
        <v>81</v>
      </c>
      <c r="N271" s="6">
        <f t="shared" ca="1" si="21"/>
        <v>78.640776699029118</v>
      </c>
      <c r="O271" s="3" cm="1">
        <f t="array" aca="1" ref="O271" ca="1">IFERROR(LOOKUP(2, 1/((F$1:F270=F271)*(J$1:J270=J271)*(ROW(F$1:F270)&lt;ROW(F271))), N$1:N270), "")</f>
        <v>41.747572815533978</v>
      </c>
      <c r="P271" s="3">
        <f t="shared" si="24"/>
        <v>0</v>
      </c>
      <c r="Q271" s="3" t="s">
        <v>43</v>
      </c>
      <c r="R271" s="3" t="s">
        <v>40</v>
      </c>
      <c r="S271" s="3" t="str">
        <f t="shared" si="22"/>
        <v>No</v>
      </c>
      <c r="T271" s="3" t="s">
        <v>40</v>
      </c>
      <c r="U271" s="3" t="str">
        <f t="shared" si="23"/>
        <v>Rainy</v>
      </c>
      <c r="V271" s="3" t="s">
        <v>40</v>
      </c>
      <c r="W271" s="3" cm="1">
        <f t="array" ref="W271">_xlfn.IFS(
OR(F271="Selenium (Hands-on)",F271="Guest Lecture: HR Interview"),6,
OR(F271="Soft Skill",F271="Soft Skill (Examination)",F271="AWS Training",F271="AWS Session"),7,
OR(ISNUMBER(SEARCH("MAD",F271)),ISNUMBER(SEARCH("STQA",F271)),F271="CI/CD Session"),8,
OR(ISNUMBER(SEARCH("Cloud",F271)),F271="Industry Readiness Program",ISNUMBER(SEARCH("Talenlio",F271))),9,
OR(ISNUMBER(SEARCH("Innovation",F271)),F271="Mini Project"),10,
OR(ISNUMBER(SEARCH("Data Science",F271)),ISNUMBER(SEARCH("DS",F271))),11,
ISNUMBER(SEARCH("Generative AI",F271)),12
=_xlfn.IFS(
OR(F271="Selenium (Hands-on)",F271="Guest Lecture: HR Interview"),6,
OR(F271="Soft Skill",F271="Soft Skill (Examination)",F271="AWS Training",F271="AWS Session"),7,
OR(ISNUMBER(SEARCH("MAD",F271)),ISNUMBER(SEARCH("STQA",F271)),F271="CI/CD Session"),8,
OR(ISNUMBER(SEARCH("Cloud",F271)),F271="Industry Readiness Program",ISNUMBER(SEARCH("Talenlio",F271))),9,
OR(ISNUMBER(SEARCH("Innovation",F271)),F271="Mini Project"),10,
OR(ISNUMBER(SEARCH("Data Science",F271)),ISNUMBER(SEARCH("DS",F271))),11,
ISNUMBER(SEARCH("Generative AI",F271)),12
=_xlfn.IFS(
OR(F271="Selenium (Hands-on)",F271="Guest Lecture: HR Interview"),6,
OR(F271="Soft Skill",F271="Soft Skill (Examination)",F271="AWS Training",F271="AWS Session"),7,
OR(ISNUMBER(SEARCH("MAD",F271)),ISNUMBER(SEARCH("STQA",F271)),F271="CI/CD Session"),8,
OR(ISNUMBER(SEARCH("Cloud",F271)),F271="Industry Readiness Program",ISNUMBER(SEARCH("Talenlio",F271))),9,
OR(ISNUMBER(SEARCH("Innovation",F271)),F271="Mini Project"),10,
OR(ISNUMBER(SEARCH("Data Science",F271)),ISNUMBER(SEARCH("DS",F271))),11,
ISNUMBER(SEARCH("Generative AI",F271)),12
=_xlfn.IFS(
OR(F271="Selenium (Hands-on)",F271="Guest Lecture: HR Interview"),6,
OR(F271="Soft Skill",F271="Soft Skill (Examination)",F271="AWS Training",F271="AWS Session"),7,
OR(ISNUMBER(SEARCH("MAD",F271)),ISNUMBER(SEARCH("STQA",F271)),F271="CI/CD Session"),8,
OR(ISNUMBER(SEARCH("Cloud",F271)),F271="Industry Readiness Program",ISNUMBER(SEARCH("Talenlio",F271))),9,
OR(ISNUMBER(SEARCH("Innovation",F271)),F271="Mini Project"),10,
OR(ISNUMBER(SEARCH("Data Science",F271)),ISNUMBER(SEARCH("DS",F271))),11,
ISNUMBER(SEARCH("Generative AI",F271)),12
))))</f>
        <v>7</v>
      </c>
      <c r="X271" s="3">
        <v>9</v>
      </c>
      <c r="Y271" s="3">
        <v>60</v>
      </c>
      <c r="Z271" s="3" t="s">
        <v>38</v>
      </c>
    </row>
    <row r="272" spans="1:26" x14ac:dyDescent="0.3">
      <c r="A272" s="2">
        <v>46247</v>
      </c>
      <c r="B272" s="3" t="s">
        <v>45</v>
      </c>
      <c r="C272" s="3">
        <v>6</v>
      </c>
      <c r="D272" s="4">
        <v>0.64583333333333304</v>
      </c>
      <c r="E272" s="4">
        <v>0.6875</v>
      </c>
      <c r="F272" s="3" t="s">
        <v>81</v>
      </c>
      <c r="G272" s="3" t="s">
        <v>289</v>
      </c>
      <c r="H272" s="3" t="s">
        <v>29</v>
      </c>
      <c r="I272" s="3" t="s">
        <v>30</v>
      </c>
      <c r="J272" s="3" t="s">
        <v>31</v>
      </c>
      <c r="K272" s="3" t="s">
        <v>52</v>
      </c>
      <c r="L272" s="5">
        <v>103</v>
      </c>
      <c r="M272" s="5">
        <f t="shared" ca="1" si="20"/>
        <v>82</v>
      </c>
      <c r="N272" s="6">
        <f t="shared" ca="1" si="21"/>
        <v>79.611650485436897</v>
      </c>
      <c r="O272" s="3" cm="1">
        <f t="array" aca="1" ref="O272" ca="1">IFERROR(LOOKUP(2, 1/((F$1:F271=F272)*(J$1:J271=J272)*(ROW(F$1:F271)&lt;ROW(F272))), N$1:N271), "")</f>
        <v>78.640776699029118</v>
      </c>
      <c r="P272" s="3">
        <f t="shared" si="24"/>
        <v>0</v>
      </c>
      <c r="Q272" s="3" t="s">
        <v>43</v>
      </c>
      <c r="R272" s="3" t="s">
        <v>40</v>
      </c>
      <c r="S272" s="3" t="str">
        <f t="shared" si="22"/>
        <v>No</v>
      </c>
      <c r="T272" s="3" t="s">
        <v>40</v>
      </c>
      <c r="U272" s="3" t="str">
        <f t="shared" si="23"/>
        <v>Rainy</v>
      </c>
      <c r="V272" s="3" t="s">
        <v>40</v>
      </c>
      <c r="W272" s="3" cm="1">
        <f t="array" ref="W272">_xlfn.IFS(
OR(F272="Selenium (Hands-on)",F272="Guest Lecture: HR Interview"),6,
OR(F272="Soft Skill",F272="Soft Skill (Examination)",F272="AWS Training",F272="AWS Session"),7,
OR(ISNUMBER(SEARCH("MAD",F272)),ISNUMBER(SEARCH("STQA",F272)),F272="CI/CD Session"),8,
OR(ISNUMBER(SEARCH("Cloud",F272)),F272="Industry Readiness Program",ISNUMBER(SEARCH("Talenlio",F272))),9,
OR(ISNUMBER(SEARCH("Innovation",F272)),F272="Mini Project"),10,
OR(ISNUMBER(SEARCH("Data Science",F272)),ISNUMBER(SEARCH("DS",F272))),11,
ISNUMBER(SEARCH("Generative AI",F272)),12
=_xlfn.IFS(
OR(F272="Selenium (Hands-on)",F272="Guest Lecture: HR Interview"),6,
OR(F272="Soft Skill",F272="Soft Skill (Examination)",F272="AWS Training",F272="AWS Session"),7,
OR(ISNUMBER(SEARCH("MAD",F272)),ISNUMBER(SEARCH("STQA",F272)),F272="CI/CD Session"),8,
OR(ISNUMBER(SEARCH("Cloud",F272)),F272="Industry Readiness Program",ISNUMBER(SEARCH("Talenlio",F272))),9,
OR(ISNUMBER(SEARCH("Innovation",F272)),F272="Mini Project"),10,
OR(ISNUMBER(SEARCH("Data Science",F272)),ISNUMBER(SEARCH("DS",F272))),11,
ISNUMBER(SEARCH("Generative AI",F272)),12
=_xlfn.IFS(
OR(F272="Selenium (Hands-on)",F272="Guest Lecture: HR Interview"),6,
OR(F272="Soft Skill",F272="Soft Skill (Examination)",F272="AWS Training",F272="AWS Session"),7,
OR(ISNUMBER(SEARCH("MAD",F272)),ISNUMBER(SEARCH("STQA",F272)),F272="CI/CD Session"),8,
OR(ISNUMBER(SEARCH("Cloud",F272)),F272="Industry Readiness Program",ISNUMBER(SEARCH("Talenlio",F272))),9,
OR(ISNUMBER(SEARCH("Innovation",F272)),F272="Mini Project"),10,
OR(ISNUMBER(SEARCH("Data Science",F272)),ISNUMBER(SEARCH("DS",F272))),11,
ISNUMBER(SEARCH("Generative AI",F272)),12
=_xlfn.IFS(
OR(F272="Selenium (Hands-on)",F272="Guest Lecture: HR Interview"),6,
OR(F272="Soft Skill",F272="Soft Skill (Examination)",F272="AWS Training",F272="AWS Session"),7,
OR(ISNUMBER(SEARCH("MAD",F272)),ISNUMBER(SEARCH("STQA",F272)),F272="CI/CD Session"),8,
OR(ISNUMBER(SEARCH("Cloud",F272)),F272="Industry Readiness Program",ISNUMBER(SEARCH("Talenlio",F272))),9,
OR(ISNUMBER(SEARCH("Innovation",F272)),F272="Mini Project"),10,
OR(ISNUMBER(SEARCH("Data Science",F272)),ISNUMBER(SEARCH("DS",F272))),11,
ISNUMBER(SEARCH("Generative AI",F272)),12
))))</f>
        <v>7</v>
      </c>
      <c r="X272" s="3">
        <v>9</v>
      </c>
      <c r="Y272" s="3">
        <v>60</v>
      </c>
      <c r="Z272" s="3" t="s">
        <v>38</v>
      </c>
    </row>
    <row r="273" spans="1:26" x14ac:dyDescent="0.3">
      <c r="A273" s="2">
        <v>46248</v>
      </c>
      <c r="B273" s="3" t="s">
        <v>46</v>
      </c>
      <c r="C273" s="3">
        <v>1</v>
      </c>
      <c r="D273" s="4">
        <v>0.35416666666666702</v>
      </c>
      <c r="E273" s="4">
        <v>0.38541666666666702</v>
      </c>
      <c r="F273" s="3" t="s">
        <v>50</v>
      </c>
      <c r="G273" s="3" t="s">
        <v>51</v>
      </c>
      <c r="H273" s="3" t="s">
        <v>29</v>
      </c>
      <c r="I273" s="3" t="s">
        <v>30</v>
      </c>
      <c r="J273" s="3" t="s">
        <v>31</v>
      </c>
      <c r="K273" s="3" t="s">
        <v>52</v>
      </c>
      <c r="L273" s="5">
        <v>103</v>
      </c>
      <c r="M273" s="5">
        <f t="shared" ca="1" si="20"/>
        <v>47</v>
      </c>
      <c r="N273" s="6">
        <f t="shared" ca="1" si="21"/>
        <v>45.631067961165051</v>
      </c>
      <c r="O273" s="3" cm="1">
        <f t="array" aca="1" ref="O273" ca="1">IFERROR(LOOKUP(2, 1/((F$1:F272=F273)*(J$1:J272=J273)*(ROW(F$1:F272)&lt;ROW(F273))), N$1:N272), "")</f>
        <v>43.689320388349515</v>
      </c>
      <c r="P273" s="3">
        <f t="shared" si="24"/>
        <v>0</v>
      </c>
      <c r="Q273" s="3" t="s">
        <v>43</v>
      </c>
      <c r="R273" s="3" t="s">
        <v>40</v>
      </c>
      <c r="S273" s="3" t="str">
        <f t="shared" si="22"/>
        <v>Yes</v>
      </c>
      <c r="T273" s="3" t="s">
        <v>34</v>
      </c>
      <c r="U273" s="3" t="str">
        <f t="shared" si="23"/>
        <v>Rainy</v>
      </c>
      <c r="V273" s="3" t="s">
        <v>40</v>
      </c>
      <c r="W273" s="3" cm="1">
        <f t="array" ref="W273">_xlfn.IFS(
OR(F273="Selenium (Hands-on)",F273="Guest Lecture: HR Interview"),6,
OR(F273="Soft Skill",F273="Soft Skill (Examination)",F273="AWS Training",F273="AWS Session"),7,
OR(ISNUMBER(SEARCH("MAD",F273)),ISNUMBER(SEARCH("STQA",F273)),F273="CI/CD Session"),8,
OR(ISNUMBER(SEARCH("Cloud",F273)),F273="Industry Readiness Program",ISNUMBER(SEARCH("Talenlio",F273))),9,
OR(ISNUMBER(SEARCH("Innovation",F273)),F273="Mini Project"),10,
OR(ISNUMBER(SEARCH("Data Science",F273)),ISNUMBER(SEARCH("DS",F273))),11,
ISNUMBER(SEARCH("Generative AI",F273)),12
=_xlfn.IFS(
OR(F273="Selenium (Hands-on)",F273="Guest Lecture: HR Interview"),6,
OR(F273="Soft Skill",F273="Soft Skill (Examination)",F273="AWS Training",F273="AWS Session"),7,
OR(ISNUMBER(SEARCH("MAD",F273)),ISNUMBER(SEARCH("STQA",F273)),F273="CI/CD Session"),8,
OR(ISNUMBER(SEARCH("Cloud",F273)),F273="Industry Readiness Program",ISNUMBER(SEARCH("Talenlio",F273))),9,
OR(ISNUMBER(SEARCH("Innovation",F273)),F273="Mini Project"),10,
OR(ISNUMBER(SEARCH("Data Science",F273)),ISNUMBER(SEARCH("DS",F273))),11,
ISNUMBER(SEARCH("Generative AI",F273)),12
=_xlfn.IFS(
OR(F273="Selenium (Hands-on)",F273="Guest Lecture: HR Interview"),6,
OR(F273="Soft Skill",F273="Soft Skill (Examination)",F273="AWS Training",F273="AWS Session"),7,
OR(ISNUMBER(SEARCH("MAD",F273)),ISNUMBER(SEARCH("STQA",F273)),F273="CI/CD Session"),8,
OR(ISNUMBER(SEARCH("Cloud",F273)),F273="Industry Readiness Program",ISNUMBER(SEARCH("Talenlio",F273))),9,
OR(ISNUMBER(SEARCH("Innovation",F273)),F273="Mini Project"),10,
OR(ISNUMBER(SEARCH("Data Science",F273)),ISNUMBER(SEARCH("DS",F273))),11,
ISNUMBER(SEARCH("Generative AI",F273)),12
=_xlfn.IFS(
OR(F273="Selenium (Hands-on)",F273="Guest Lecture: HR Interview"),6,
OR(F273="Soft Skill",F273="Soft Skill (Examination)",F273="AWS Training",F273="AWS Session"),7,
OR(ISNUMBER(SEARCH("MAD",F273)),ISNUMBER(SEARCH("STQA",F273)),F273="CI/CD Session"),8,
OR(ISNUMBER(SEARCH("Cloud",F273)),F273="Industry Readiness Program",ISNUMBER(SEARCH("Talenlio",F273))),9,
OR(ISNUMBER(SEARCH("Innovation",F273)),F273="Mini Project"),10,
OR(ISNUMBER(SEARCH("Data Science",F273)),ISNUMBER(SEARCH("DS",F273))),11,
ISNUMBER(SEARCH("Generative AI",F273)),12
))))</f>
        <v>8</v>
      </c>
      <c r="X273" s="3">
        <v>9</v>
      </c>
      <c r="Y273" s="3">
        <v>61</v>
      </c>
      <c r="Z273" s="3" t="s">
        <v>35</v>
      </c>
    </row>
    <row r="274" spans="1:26" x14ac:dyDescent="0.3">
      <c r="A274" s="2">
        <v>46248</v>
      </c>
      <c r="B274" s="3" t="s">
        <v>46</v>
      </c>
      <c r="C274" s="3">
        <v>2</v>
      </c>
      <c r="D274" s="4">
        <v>0.38541666666666702</v>
      </c>
      <c r="E274" s="4">
        <v>0.42708333333333298</v>
      </c>
      <c r="F274" s="3" t="s">
        <v>50</v>
      </c>
      <c r="G274" s="3" t="s">
        <v>51</v>
      </c>
      <c r="H274" s="3" t="s">
        <v>29</v>
      </c>
      <c r="I274" s="3" t="s">
        <v>30</v>
      </c>
      <c r="J274" s="3" t="s">
        <v>31</v>
      </c>
      <c r="K274" s="3" t="s">
        <v>52</v>
      </c>
      <c r="L274" s="5">
        <v>103</v>
      </c>
      <c r="M274" s="5">
        <f t="shared" ca="1" si="20"/>
        <v>52</v>
      </c>
      <c r="N274" s="6">
        <f t="shared" ca="1" si="21"/>
        <v>50.485436893203882</v>
      </c>
      <c r="O274" s="3" cm="1">
        <f t="array" aca="1" ref="O274" ca="1">IFERROR(LOOKUP(2, 1/((F$1:F273=F274)*(J$1:J273=J274)*(ROW(F$1:F273)&lt;ROW(F274))), N$1:N273), "")</f>
        <v>45.631067961165051</v>
      </c>
      <c r="P274" s="3">
        <f t="shared" si="24"/>
        <v>0</v>
      </c>
      <c r="Q274" s="3" t="s">
        <v>43</v>
      </c>
      <c r="R274" s="3" t="s">
        <v>40</v>
      </c>
      <c r="S274" s="3" t="str">
        <f t="shared" si="22"/>
        <v>Yes</v>
      </c>
      <c r="T274" s="3" t="s">
        <v>34</v>
      </c>
      <c r="U274" s="3" t="str">
        <f t="shared" si="23"/>
        <v>Rainy</v>
      </c>
      <c r="V274" s="3" t="s">
        <v>40</v>
      </c>
      <c r="W274" s="3" cm="1">
        <f t="array" ref="W274">_xlfn.IFS(
OR(F274="Selenium (Hands-on)",F274="Guest Lecture: HR Interview"),6,
OR(F274="Soft Skill",F274="Soft Skill (Examination)",F274="AWS Training",F274="AWS Session"),7,
OR(ISNUMBER(SEARCH("MAD",F274)),ISNUMBER(SEARCH("STQA",F274)),F274="CI/CD Session"),8,
OR(ISNUMBER(SEARCH("Cloud",F274)),F274="Industry Readiness Program",ISNUMBER(SEARCH("Talenlio",F274))),9,
OR(ISNUMBER(SEARCH("Innovation",F274)),F274="Mini Project"),10,
OR(ISNUMBER(SEARCH("Data Science",F274)),ISNUMBER(SEARCH("DS",F274))),11,
ISNUMBER(SEARCH("Generative AI",F274)),12
=_xlfn.IFS(
OR(F274="Selenium (Hands-on)",F274="Guest Lecture: HR Interview"),6,
OR(F274="Soft Skill",F274="Soft Skill (Examination)",F274="AWS Training",F274="AWS Session"),7,
OR(ISNUMBER(SEARCH("MAD",F274)),ISNUMBER(SEARCH("STQA",F274)),F274="CI/CD Session"),8,
OR(ISNUMBER(SEARCH("Cloud",F274)),F274="Industry Readiness Program",ISNUMBER(SEARCH("Talenlio",F274))),9,
OR(ISNUMBER(SEARCH("Innovation",F274)),F274="Mini Project"),10,
OR(ISNUMBER(SEARCH("Data Science",F274)),ISNUMBER(SEARCH("DS",F274))),11,
ISNUMBER(SEARCH("Generative AI",F274)),12
=_xlfn.IFS(
OR(F274="Selenium (Hands-on)",F274="Guest Lecture: HR Interview"),6,
OR(F274="Soft Skill",F274="Soft Skill (Examination)",F274="AWS Training",F274="AWS Session"),7,
OR(ISNUMBER(SEARCH("MAD",F274)),ISNUMBER(SEARCH("STQA",F274)),F274="CI/CD Session"),8,
OR(ISNUMBER(SEARCH("Cloud",F274)),F274="Industry Readiness Program",ISNUMBER(SEARCH("Talenlio",F274))),9,
OR(ISNUMBER(SEARCH("Innovation",F274)),F274="Mini Project"),10,
OR(ISNUMBER(SEARCH("Data Science",F274)),ISNUMBER(SEARCH("DS",F274))),11,
ISNUMBER(SEARCH("Generative AI",F274)),12
=_xlfn.IFS(
OR(F274="Selenium (Hands-on)",F274="Guest Lecture: HR Interview"),6,
OR(F274="Soft Skill",F274="Soft Skill (Examination)",F274="AWS Training",F274="AWS Session"),7,
OR(ISNUMBER(SEARCH("MAD",F274)),ISNUMBER(SEARCH("STQA",F274)),F274="CI/CD Session"),8,
OR(ISNUMBER(SEARCH("Cloud",F274)),F274="Industry Readiness Program",ISNUMBER(SEARCH("Talenlio",F274))),9,
OR(ISNUMBER(SEARCH("Innovation",F274)),F274="Mini Project"),10,
OR(ISNUMBER(SEARCH("Data Science",F274)),ISNUMBER(SEARCH("DS",F274))),11,
ISNUMBER(SEARCH("Generative AI",F274)),12
))))</f>
        <v>8</v>
      </c>
      <c r="X274" s="3">
        <v>9</v>
      </c>
      <c r="Y274" s="3">
        <v>61</v>
      </c>
      <c r="Z274" s="3" t="s">
        <v>35</v>
      </c>
    </row>
    <row r="275" spans="1:26" x14ac:dyDescent="0.3">
      <c r="A275" s="2">
        <v>46248</v>
      </c>
      <c r="B275" s="3" t="s">
        <v>46</v>
      </c>
      <c r="C275" s="3">
        <v>3</v>
      </c>
      <c r="D275" s="4">
        <v>0.42708333333333298</v>
      </c>
      <c r="E275" s="4">
        <v>0.46875</v>
      </c>
      <c r="F275" s="3" t="s">
        <v>59</v>
      </c>
      <c r="G275" s="3" t="s">
        <v>73</v>
      </c>
      <c r="H275" s="3" t="s">
        <v>29</v>
      </c>
      <c r="I275" s="3" t="s">
        <v>30</v>
      </c>
      <c r="J275" s="3" t="s">
        <v>31</v>
      </c>
      <c r="K275" s="3" t="s">
        <v>52</v>
      </c>
      <c r="L275" s="5">
        <v>103</v>
      </c>
      <c r="M275" s="5">
        <f t="shared" ca="1" si="20"/>
        <v>99</v>
      </c>
      <c r="N275" s="6">
        <f t="shared" ca="1" si="21"/>
        <v>96.116504854368941</v>
      </c>
      <c r="O275" s="3" cm="1">
        <f t="array" aca="1" ref="O275" ca="1">IFERROR(LOOKUP(2, 1/((F$1:F274=F275)*(J$1:J274=J275)*(ROW(F$1:F274)&lt;ROW(F275))), N$1:N274), "")</f>
        <v>86.40776699029125</v>
      </c>
      <c r="P275" s="3">
        <f t="shared" si="24"/>
        <v>0</v>
      </c>
      <c r="Q275" s="3" t="s">
        <v>33</v>
      </c>
      <c r="R275" s="3" t="s">
        <v>40</v>
      </c>
      <c r="S275" s="3" t="str">
        <f t="shared" si="22"/>
        <v>Yes</v>
      </c>
      <c r="T275" s="3" t="s">
        <v>34</v>
      </c>
      <c r="U275" s="3" t="str">
        <f t="shared" si="23"/>
        <v>Rainy</v>
      </c>
      <c r="V275" s="3" t="s">
        <v>40</v>
      </c>
      <c r="W275" s="3" cm="1">
        <f t="array" ref="W275">_xlfn.IFS(
OR(F275="Selenium (Hands-on)",F275="Guest Lecture: HR Interview"),6,
OR(F275="Soft Skill",F275="Soft Skill (Examination)",F275="AWS Training",F275="AWS Session"),7,
OR(ISNUMBER(SEARCH("MAD",F275)),ISNUMBER(SEARCH("STQA",F275)),F275="CI/CD Session"),8,
OR(ISNUMBER(SEARCH("Cloud",F275)),F275="Industry Readiness Program",ISNUMBER(SEARCH("Talenlio",F275))),9,
OR(ISNUMBER(SEARCH("Innovation",F275)),F275="Mini Project"),10,
OR(ISNUMBER(SEARCH("Data Science",F275)),ISNUMBER(SEARCH("DS",F275))),11,
ISNUMBER(SEARCH("Generative AI",F275)),12
=_xlfn.IFS(
OR(F275="Selenium (Hands-on)",F275="Guest Lecture: HR Interview"),6,
OR(F275="Soft Skill",F275="Soft Skill (Examination)",F275="AWS Training",F275="AWS Session"),7,
OR(ISNUMBER(SEARCH("MAD",F275)),ISNUMBER(SEARCH("STQA",F275)),F275="CI/CD Session"),8,
OR(ISNUMBER(SEARCH("Cloud",F275)),F275="Industry Readiness Program",ISNUMBER(SEARCH("Talenlio",F275))),9,
OR(ISNUMBER(SEARCH("Innovation",F275)),F275="Mini Project"),10,
OR(ISNUMBER(SEARCH("Data Science",F275)),ISNUMBER(SEARCH("DS",F275))),11,
ISNUMBER(SEARCH("Generative AI",F275)),12
=_xlfn.IFS(
OR(F275="Selenium (Hands-on)",F275="Guest Lecture: HR Interview"),6,
OR(F275="Soft Skill",F275="Soft Skill (Examination)",F275="AWS Training",F275="AWS Session"),7,
OR(ISNUMBER(SEARCH("MAD",F275)),ISNUMBER(SEARCH("STQA",F275)),F275="CI/CD Session"),8,
OR(ISNUMBER(SEARCH("Cloud",F275)),F275="Industry Readiness Program",ISNUMBER(SEARCH("Talenlio",F275))),9,
OR(ISNUMBER(SEARCH("Innovation",F275)),F275="Mini Project"),10,
OR(ISNUMBER(SEARCH("Data Science",F275)),ISNUMBER(SEARCH("DS",F275))),11,
ISNUMBER(SEARCH("Generative AI",F275)),12
=_xlfn.IFS(
OR(F275="Selenium (Hands-on)",F275="Guest Lecture: HR Interview"),6,
OR(F275="Soft Skill",F275="Soft Skill (Examination)",F275="AWS Training",F275="AWS Session"),7,
OR(ISNUMBER(SEARCH("MAD",F275)),ISNUMBER(SEARCH("STQA",F275)),F275="CI/CD Session"),8,
OR(ISNUMBER(SEARCH("Cloud",F275)),F275="Industry Readiness Program",ISNUMBER(SEARCH("Talenlio",F275))),9,
OR(ISNUMBER(SEARCH("Innovation",F275)),F275="Mini Project"),10,
OR(ISNUMBER(SEARCH("Data Science",F275)),ISNUMBER(SEARCH("DS",F275))),11,
ISNUMBER(SEARCH("Generative AI",F275)),12
))))</f>
        <v>11</v>
      </c>
      <c r="X275" s="3">
        <v>9</v>
      </c>
      <c r="Y275" s="3">
        <v>61</v>
      </c>
      <c r="Z275" s="3" t="s">
        <v>35</v>
      </c>
    </row>
    <row r="276" spans="1:26" x14ac:dyDescent="0.3">
      <c r="A276" s="2">
        <v>46248</v>
      </c>
      <c r="B276" s="3" t="s">
        <v>46</v>
      </c>
      <c r="C276" s="3">
        <v>4</v>
      </c>
      <c r="D276" s="4">
        <v>0.46875</v>
      </c>
      <c r="E276" s="4">
        <v>0.51041666666666696</v>
      </c>
      <c r="F276" s="3" t="s">
        <v>57</v>
      </c>
      <c r="G276" s="3" t="s">
        <v>71</v>
      </c>
      <c r="H276" s="3" t="s">
        <v>29</v>
      </c>
      <c r="I276" s="3" t="s">
        <v>30</v>
      </c>
      <c r="J276" s="3" t="s">
        <v>31</v>
      </c>
      <c r="K276" s="3" t="s">
        <v>52</v>
      </c>
      <c r="L276" s="5">
        <v>103</v>
      </c>
      <c r="M276" s="5">
        <f t="shared" ca="1" si="20"/>
        <v>80</v>
      </c>
      <c r="N276" s="6">
        <f t="shared" ca="1" si="21"/>
        <v>77.669902912621353</v>
      </c>
      <c r="O276" s="3" cm="1">
        <f t="array" aca="1" ref="O276" ca="1">IFERROR(LOOKUP(2, 1/((F$1:F275=F276)*(J$1:J275=J276)*(ROW(F$1:F275)&lt;ROW(F276))), N$1:N275), "")</f>
        <v>69.902912621359221</v>
      </c>
      <c r="P276" s="3">
        <f t="shared" si="24"/>
        <v>0</v>
      </c>
      <c r="Q276" s="3" t="s">
        <v>33</v>
      </c>
      <c r="R276" s="3" t="s">
        <v>40</v>
      </c>
      <c r="S276" s="3" t="str">
        <f t="shared" si="22"/>
        <v>Yes</v>
      </c>
      <c r="T276" s="3" t="s">
        <v>34</v>
      </c>
      <c r="U276" s="3" t="str">
        <f t="shared" si="23"/>
        <v>Rainy</v>
      </c>
      <c r="V276" s="3" t="s">
        <v>40</v>
      </c>
      <c r="W276" s="3" cm="1">
        <f t="array" ref="W276">_xlfn.IFS(
OR(F276="Selenium (Hands-on)",F276="Guest Lecture: HR Interview"),6,
OR(F276="Soft Skill",F276="Soft Skill (Examination)",F276="AWS Training",F276="AWS Session"),7,
OR(ISNUMBER(SEARCH("MAD",F276)),ISNUMBER(SEARCH("STQA",F276)),F276="CI/CD Session"),8,
OR(ISNUMBER(SEARCH("Cloud",F276)),F276="Industry Readiness Program",ISNUMBER(SEARCH("Talenlio",F276))),9,
OR(ISNUMBER(SEARCH("Innovation",F276)),F276="Mini Project"),10,
OR(ISNUMBER(SEARCH("Data Science",F276)),ISNUMBER(SEARCH("DS",F276))),11,
ISNUMBER(SEARCH("Generative AI",F276)),12
=_xlfn.IFS(
OR(F276="Selenium (Hands-on)",F276="Guest Lecture: HR Interview"),6,
OR(F276="Soft Skill",F276="Soft Skill (Examination)",F276="AWS Training",F276="AWS Session"),7,
OR(ISNUMBER(SEARCH("MAD",F276)),ISNUMBER(SEARCH("STQA",F276)),F276="CI/CD Session"),8,
OR(ISNUMBER(SEARCH("Cloud",F276)),F276="Industry Readiness Program",ISNUMBER(SEARCH("Talenlio",F276))),9,
OR(ISNUMBER(SEARCH("Innovation",F276)),F276="Mini Project"),10,
OR(ISNUMBER(SEARCH("Data Science",F276)),ISNUMBER(SEARCH("DS",F276))),11,
ISNUMBER(SEARCH("Generative AI",F276)),12
=_xlfn.IFS(
OR(F276="Selenium (Hands-on)",F276="Guest Lecture: HR Interview"),6,
OR(F276="Soft Skill",F276="Soft Skill (Examination)",F276="AWS Training",F276="AWS Session"),7,
OR(ISNUMBER(SEARCH("MAD",F276)),ISNUMBER(SEARCH("STQA",F276)),F276="CI/CD Session"),8,
OR(ISNUMBER(SEARCH("Cloud",F276)),F276="Industry Readiness Program",ISNUMBER(SEARCH("Talenlio",F276))),9,
OR(ISNUMBER(SEARCH("Innovation",F276)),F276="Mini Project"),10,
OR(ISNUMBER(SEARCH("Data Science",F276)),ISNUMBER(SEARCH("DS",F276))),11,
ISNUMBER(SEARCH("Generative AI",F276)),12
=_xlfn.IFS(
OR(F276="Selenium (Hands-on)",F276="Guest Lecture: HR Interview"),6,
OR(F276="Soft Skill",F276="Soft Skill (Examination)",F276="AWS Training",F276="AWS Session"),7,
OR(ISNUMBER(SEARCH("MAD",F276)),ISNUMBER(SEARCH("STQA",F276)),F276="CI/CD Session"),8,
OR(ISNUMBER(SEARCH("Cloud",F276)),F276="Industry Readiness Program",ISNUMBER(SEARCH("Talenlio",F276))),9,
OR(ISNUMBER(SEARCH("Innovation",F276)),F276="Mini Project"),10,
OR(ISNUMBER(SEARCH("Data Science",F276)),ISNUMBER(SEARCH("DS",F276))),11,
ISNUMBER(SEARCH("Generative AI",F276)),12
))))</f>
        <v>9</v>
      </c>
      <c r="X276" s="3">
        <v>9</v>
      </c>
      <c r="Y276" s="3">
        <v>61</v>
      </c>
      <c r="Z276" s="3" t="s">
        <v>35</v>
      </c>
    </row>
    <row r="277" spans="1:26" x14ac:dyDescent="0.3">
      <c r="A277" s="2">
        <v>46248</v>
      </c>
      <c r="B277" s="3" t="s">
        <v>46</v>
      </c>
      <c r="C277" s="3">
        <v>5</v>
      </c>
      <c r="D277" s="4">
        <v>0.5625</v>
      </c>
      <c r="E277" s="4">
        <v>0.60416666666666696</v>
      </c>
      <c r="F277" s="3" t="s">
        <v>81</v>
      </c>
      <c r="G277" s="3" t="s">
        <v>289</v>
      </c>
      <c r="H277" s="3" t="s">
        <v>29</v>
      </c>
      <c r="I277" s="3" t="s">
        <v>30</v>
      </c>
      <c r="J277" s="3" t="s">
        <v>31</v>
      </c>
      <c r="K277" s="3" t="s">
        <v>52</v>
      </c>
      <c r="L277" s="5">
        <v>103</v>
      </c>
      <c r="M277" s="5">
        <f t="shared" ca="1" si="20"/>
        <v>99</v>
      </c>
      <c r="N277" s="6">
        <f t="shared" ca="1" si="21"/>
        <v>96.116504854368941</v>
      </c>
      <c r="O277" s="3" cm="1">
        <f t="array" aca="1" ref="O277" ca="1">IFERROR(LOOKUP(2, 1/((F$1:F276=F277)*(J$1:J276=J277)*(ROW(F$1:F276)&lt;ROW(F277))), N$1:N276), "")</f>
        <v>79.611650485436897</v>
      </c>
      <c r="P277" s="3">
        <f t="shared" si="24"/>
        <v>1.25</v>
      </c>
      <c r="Q277" s="3" t="s">
        <v>43</v>
      </c>
      <c r="R277" s="3" t="s">
        <v>40</v>
      </c>
      <c r="S277" s="3" t="str">
        <f t="shared" si="22"/>
        <v>Yes</v>
      </c>
      <c r="T277" s="3" t="s">
        <v>34</v>
      </c>
      <c r="U277" s="3" t="str">
        <f t="shared" si="23"/>
        <v>Rainy</v>
      </c>
      <c r="V277" s="3" t="s">
        <v>40</v>
      </c>
      <c r="W277" s="3" cm="1">
        <f t="array" ref="W277">_xlfn.IFS(
OR(F277="Selenium (Hands-on)",F277="Guest Lecture: HR Interview"),6,
OR(F277="Soft Skill",F277="Soft Skill (Examination)",F277="AWS Training",F277="AWS Session"),7,
OR(ISNUMBER(SEARCH("MAD",F277)),ISNUMBER(SEARCH("STQA",F277)),F277="CI/CD Session"),8,
OR(ISNUMBER(SEARCH("Cloud",F277)),F277="Industry Readiness Program",ISNUMBER(SEARCH("Talenlio",F277))),9,
OR(ISNUMBER(SEARCH("Innovation",F277)),F277="Mini Project"),10,
OR(ISNUMBER(SEARCH("Data Science",F277)),ISNUMBER(SEARCH("DS",F277))),11,
ISNUMBER(SEARCH("Generative AI",F277)),12
=_xlfn.IFS(
OR(F277="Selenium (Hands-on)",F277="Guest Lecture: HR Interview"),6,
OR(F277="Soft Skill",F277="Soft Skill (Examination)",F277="AWS Training",F277="AWS Session"),7,
OR(ISNUMBER(SEARCH("MAD",F277)),ISNUMBER(SEARCH("STQA",F277)),F277="CI/CD Session"),8,
OR(ISNUMBER(SEARCH("Cloud",F277)),F277="Industry Readiness Program",ISNUMBER(SEARCH("Talenlio",F277))),9,
OR(ISNUMBER(SEARCH("Innovation",F277)),F277="Mini Project"),10,
OR(ISNUMBER(SEARCH("Data Science",F277)),ISNUMBER(SEARCH("DS",F277))),11,
ISNUMBER(SEARCH("Generative AI",F277)),12
=_xlfn.IFS(
OR(F277="Selenium (Hands-on)",F277="Guest Lecture: HR Interview"),6,
OR(F277="Soft Skill",F277="Soft Skill (Examination)",F277="AWS Training",F277="AWS Session"),7,
OR(ISNUMBER(SEARCH("MAD",F277)),ISNUMBER(SEARCH("STQA",F277)),F277="CI/CD Session"),8,
OR(ISNUMBER(SEARCH("Cloud",F277)),F277="Industry Readiness Program",ISNUMBER(SEARCH("Talenlio",F277))),9,
OR(ISNUMBER(SEARCH("Innovation",F277)),F277="Mini Project"),10,
OR(ISNUMBER(SEARCH("Data Science",F277)),ISNUMBER(SEARCH("DS",F277))),11,
ISNUMBER(SEARCH("Generative AI",F277)),12
=_xlfn.IFS(
OR(F277="Selenium (Hands-on)",F277="Guest Lecture: HR Interview"),6,
OR(F277="Soft Skill",F277="Soft Skill (Examination)",F277="AWS Training",F277="AWS Session"),7,
OR(ISNUMBER(SEARCH("MAD",F277)),ISNUMBER(SEARCH("STQA",F277)),F277="CI/CD Session"),8,
OR(ISNUMBER(SEARCH("Cloud",F277)),F277="Industry Readiness Program",ISNUMBER(SEARCH("Talenlio",F277))),9,
OR(ISNUMBER(SEARCH("Innovation",F277)),F277="Mini Project"),10,
OR(ISNUMBER(SEARCH("Data Science",F277)),ISNUMBER(SEARCH("DS",F277))),11,
ISNUMBER(SEARCH("Generative AI",F277)),12
))))</f>
        <v>7</v>
      </c>
      <c r="X277" s="3">
        <v>9</v>
      </c>
      <c r="Y277" s="3">
        <v>61</v>
      </c>
      <c r="Z277" s="3" t="s">
        <v>38</v>
      </c>
    </row>
    <row r="278" spans="1:26" x14ac:dyDescent="0.3">
      <c r="A278" s="2">
        <v>46248</v>
      </c>
      <c r="B278" s="3" t="s">
        <v>46</v>
      </c>
      <c r="C278" s="3">
        <v>6</v>
      </c>
      <c r="D278" s="4">
        <v>0.60416666666666696</v>
      </c>
      <c r="E278" s="4">
        <v>0.64583333333333304</v>
      </c>
      <c r="F278" s="3" t="s">
        <v>81</v>
      </c>
      <c r="G278" s="3" t="s">
        <v>289</v>
      </c>
      <c r="H278" s="3" t="s">
        <v>29</v>
      </c>
      <c r="I278" s="3" t="s">
        <v>30</v>
      </c>
      <c r="J278" s="3" t="s">
        <v>31</v>
      </c>
      <c r="K278" s="3" t="s">
        <v>52</v>
      </c>
      <c r="L278" s="5">
        <v>103</v>
      </c>
      <c r="M278" s="5">
        <f t="shared" ca="1" si="20"/>
        <v>96</v>
      </c>
      <c r="N278" s="6">
        <f t="shared" ca="1" si="21"/>
        <v>93.203883495145632</v>
      </c>
      <c r="O278" s="3" cm="1">
        <f t="array" aca="1" ref="O278" ca="1">IFERROR(LOOKUP(2, 1/((F$1:F277=F278)*(J$1:J277=J278)*(ROW(F$1:F277)&lt;ROW(F278))), N$1:N277), "")</f>
        <v>96.116504854368941</v>
      </c>
      <c r="P278" s="3">
        <f t="shared" si="24"/>
        <v>0</v>
      </c>
      <c r="Q278" s="3" t="s">
        <v>43</v>
      </c>
      <c r="R278" s="3" t="s">
        <v>40</v>
      </c>
      <c r="S278" s="3" t="str">
        <f t="shared" si="22"/>
        <v>Yes</v>
      </c>
      <c r="T278" s="3" t="s">
        <v>34</v>
      </c>
      <c r="U278" s="3" t="str">
        <f t="shared" si="23"/>
        <v>Rainy</v>
      </c>
      <c r="V278" s="3" t="s">
        <v>40</v>
      </c>
      <c r="W278" s="3" cm="1">
        <f t="array" ref="W278">_xlfn.IFS(
OR(F278="Selenium (Hands-on)",F278="Guest Lecture: HR Interview"),6,
OR(F278="Soft Skill",F278="Soft Skill (Examination)",F278="AWS Training",F278="AWS Session"),7,
OR(ISNUMBER(SEARCH("MAD",F278)),ISNUMBER(SEARCH("STQA",F278)),F278="CI/CD Session"),8,
OR(ISNUMBER(SEARCH("Cloud",F278)),F278="Industry Readiness Program",ISNUMBER(SEARCH("Talenlio",F278))),9,
OR(ISNUMBER(SEARCH("Innovation",F278)),F278="Mini Project"),10,
OR(ISNUMBER(SEARCH("Data Science",F278)),ISNUMBER(SEARCH("DS",F278))),11,
ISNUMBER(SEARCH("Generative AI",F278)),12
=_xlfn.IFS(
OR(F278="Selenium (Hands-on)",F278="Guest Lecture: HR Interview"),6,
OR(F278="Soft Skill",F278="Soft Skill (Examination)",F278="AWS Training",F278="AWS Session"),7,
OR(ISNUMBER(SEARCH("MAD",F278)),ISNUMBER(SEARCH("STQA",F278)),F278="CI/CD Session"),8,
OR(ISNUMBER(SEARCH("Cloud",F278)),F278="Industry Readiness Program",ISNUMBER(SEARCH("Talenlio",F278))),9,
OR(ISNUMBER(SEARCH("Innovation",F278)),F278="Mini Project"),10,
OR(ISNUMBER(SEARCH("Data Science",F278)),ISNUMBER(SEARCH("DS",F278))),11,
ISNUMBER(SEARCH("Generative AI",F278)),12
=_xlfn.IFS(
OR(F278="Selenium (Hands-on)",F278="Guest Lecture: HR Interview"),6,
OR(F278="Soft Skill",F278="Soft Skill (Examination)",F278="AWS Training",F278="AWS Session"),7,
OR(ISNUMBER(SEARCH("MAD",F278)),ISNUMBER(SEARCH("STQA",F278)),F278="CI/CD Session"),8,
OR(ISNUMBER(SEARCH("Cloud",F278)),F278="Industry Readiness Program",ISNUMBER(SEARCH("Talenlio",F278))),9,
OR(ISNUMBER(SEARCH("Innovation",F278)),F278="Mini Project"),10,
OR(ISNUMBER(SEARCH("Data Science",F278)),ISNUMBER(SEARCH("DS",F278))),11,
ISNUMBER(SEARCH("Generative AI",F278)),12
=_xlfn.IFS(
OR(F278="Selenium (Hands-on)",F278="Guest Lecture: HR Interview"),6,
OR(F278="Soft Skill",F278="Soft Skill (Examination)",F278="AWS Training",F278="AWS Session"),7,
OR(ISNUMBER(SEARCH("MAD",F278)),ISNUMBER(SEARCH("STQA",F278)),F278="CI/CD Session"),8,
OR(ISNUMBER(SEARCH("Cloud",F278)),F278="Industry Readiness Program",ISNUMBER(SEARCH("Talenlio",F278))),9,
OR(ISNUMBER(SEARCH("Innovation",F278)),F278="Mini Project"),10,
OR(ISNUMBER(SEARCH("Data Science",F278)),ISNUMBER(SEARCH("DS",F278))),11,
ISNUMBER(SEARCH("Generative AI",F278)),12
))))</f>
        <v>7</v>
      </c>
      <c r="X278" s="3">
        <v>9</v>
      </c>
      <c r="Y278" s="3">
        <v>61</v>
      </c>
      <c r="Z278" s="3" t="s">
        <v>38</v>
      </c>
    </row>
    <row r="279" spans="1:26" x14ac:dyDescent="0.3">
      <c r="A279" s="2">
        <v>46248</v>
      </c>
      <c r="B279" s="3" t="s">
        <v>46</v>
      </c>
      <c r="C279" s="3">
        <v>7</v>
      </c>
      <c r="D279" s="4">
        <v>0.64583333333333304</v>
      </c>
      <c r="E279" s="4">
        <v>0.6875</v>
      </c>
      <c r="F279" s="3" t="s">
        <v>81</v>
      </c>
      <c r="G279" s="3" t="s">
        <v>289</v>
      </c>
      <c r="H279" s="3" t="s">
        <v>29</v>
      </c>
      <c r="I279" s="3" t="s">
        <v>30</v>
      </c>
      <c r="J279" s="3" t="s">
        <v>31</v>
      </c>
      <c r="K279" s="3" t="s">
        <v>52</v>
      </c>
      <c r="L279" s="5">
        <v>103</v>
      </c>
      <c r="M279" s="5">
        <f t="shared" ca="1" si="20"/>
        <v>76</v>
      </c>
      <c r="N279" s="6">
        <f t="shared" ca="1" si="21"/>
        <v>73.786407766990294</v>
      </c>
      <c r="O279" s="3" cm="1">
        <f t="array" aca="1" ref="O279" ca="1">IFERROR(LOOKUP(2, 1/((F$1:F278=F279)*(J$1:J278=J279)*(ROW(F$1:F278)&lt;ROW(F279))), N$1:N278), "")</f>
        <v>93.203883495145632</v>
      </c>
      <c r="P279" s="3">
        <f t="shared" si="24"/>
        <v>0</v>
      </c>
      <c r="Q279" s="3" t="s">
        <v>43</v>
      </c>
      <c r="R279" s="3" t="s">
        <v>40</v>
      </c>
      <c r="S279" s="3" t="str">
        <f t="shared" si="22"/>
        <v>Yes</v>
      </c>
      <c r="T279" s="3" t="s">
        <v>34</v>
      </c>
      <c r="U279" s="3" t="str">
        <f t="shared" si="23"/>
        <v>Rainy</v>
      </c>
      <c r="V279" s="3" t="s">
        <v>40</v>
      </c>
      <c r="W279" s="3" cm="1">
        <f t="array" ref="W279">_xlfn.IFS(
OR(F279="Selenium (Hands-on)",F279="Guest Lecture: HR Interview"),6,
OR(F279="Soft Skill",F279="Soft Skill (Examination)",F279="AWS Training",F279="AWS Session"),7,
OR(ISNUMBER(SEARCH("MAD",F279)),ISNUMBER(SEARCH("STQA",F279)),F279="CI/CD Session"),8,
OR(ISNUMBER(SEARCH("Cloud",F279)),F279="Industry Readiness Program",ISNUMBER(SEARCH("Talenlio",F279))),9,
OR(ISNUMBER(SEARCH("Innovation",F279)),F279="Mini Project"),10,
OR(ISNUMBER(SEARCH("Data Science",F279)),ISNUMBER(SEARCH("DS",F279))),11,
ISNUMBER(SEARCH("Generative AI",F279)),12
=_xlfn.IFS(
OR(F279="Selenium (Hands-on)",F279="Guest Lecture: HR Interview"),6,
OR(F279="Soft Skill",F279="Soft Skill (Examination)",F279="AWS Training",F279="AWS Session"),7,
OR(ISNUMBER(SEARCH("MAD",F279)),ISNUMBER(SEARCH("STQA",F279)),F279="CI/CD Session"),8,
OR(ISNUMBER(SEARCH("Cloud",F279)),F279="Industry Readiness Program",ISNUMBER(SEARCH("Talenlio",F279))),9,
OR(ISNUMBER(SEARCH("Innovation",F279)),F279="Mini Project"),10,
OR(ISNUMBER(SEARCH("Data Science",F279)),ISNUMBER(SEARCH("DS",F279))),11,
ISNUMBER(SEARCH("Generative AI",F279)),12
=_xlfn.IFS(
OR(F279="Selenium (Hands-on)",F279="Guest Lecture: HR Interview"),6,
OR(F279="Soft Skill",F279="Soft Skill (Examination)",F279="AWS Training",F279="AWS Session"),7,
OR(ISNUMBER(SEARCH("MAD",F279)),ISNUMBER(SEARCH("STQA",F279)),F279="CI/CD Session"),8,
OR(ISNUMBER(SEARCH("Cloud",F279)),F279="Industry Readiness Program",ISNUMBER(SEARCH("Talenlio",F279))),9,
OR(ISNUMBER(SEARCH("Innovation",F279)),F279="Mini Project"),10,
OR(ISNUMBER(SEARCH("Data Science",F279)),ISNUMBER(SEARCH("DS",F279))),11,
ISNUMBER(SEARCH("Generative AI",F279)),12
=_xlfn.IFS(
OR(F279="Selenium (Hands-on)",F279="Guest Lecture: HR Interview"),6,
OR(F279="Soft Skill",F279="Soft Skill (Examination)",F279="AWS Training",F279="AWS Session"),7,
OR(ISNUMBER(SEARCH("MAD",F279)),ISNUMBER(SEARCH("STQA",F279)),F279="CI/CD Session"),8,
OR(ISNUMBER(SEARCH("Cloud",F279)),F279="Industry Readiness Program",ISNUMBER(SEARCH("Talenlio",F279))),9,
OR(ISNUMBER(SEARCH("Innovation",F279)),F279="Mini Project"),10,
OR(ISNUMBER(SEARCH("Data Science",F279)),ISNUMBER(SEARCH("DS",F279))),11,
ISNUMBER(SEARCH("Generative AI",F279)),12
))))</f>
        <v>7</v>
      </c>
      <c r="X279" s="3">
        <v>9</v>
      </c>
      <c r="Y279" s="3">
        <v>61</v>
      </c>
      <c r="Z279" s="3" t="s">
        <v>38</v>
      </c>
    </row>
    <row r="280" spans="1:26" x14ac:dyDescent="0.3">
      <c r="A280" s="2">
        <v>46251</v>
      </c>
      <c r="B280" s="3" t="s">
        <v>26</v>
      </c>
      <c r="C280" s="3">
        <v>1</v>
      </c>
      <c r="D280" s="4">
        <v>0.35416666666666702</v>
      </c>
      <c r="E280" s="4">
        <v>0.38541666666666702</v>
      </c>
      <c r="F280" s="3" t="s">
        <v>50</v>
      </c>
      <c r="G280" s="3" t="s">
        <v>51</v>
      </c>
      <c r="H280" s="3" t="s">
        <v>29</v>
      </c>
      <c r="I280" s="3" t="s">
        <v>30</v>
      </c>
      <c r="J280" s="3" t="s">
        <v>31</v>
      </c>
      <c r="K280" s="3" t="s">
        <v>52</v>
      </c>
      <c r="L280" s="5">
        <v>103</v>
      </c>
      <c r="M280" s="5">
        <f t="shared" ca="1" si="20"/>
        <v>80</v>
      </c>
      <c r="N280" s="6">
        <f t="shared" ca="1" si="21"/>
        <v>77.669902912621353</v>
      </c>
      <c r="O280" s="3" cm="1">
        <f t="array" aca="1" ref="O280" ca="1">IFERROR(LOOKUP(2, 1/((F$1:F279=F280)*(J$1:J279=J280)*(ROW(F$1:F279)&lt;ROW(F280))), N$1:N279), "")</f>
        <v>50.485436893203882</v>
      </c>
      <c r="P280" s="3">
        <f t="shared" si="24"/>
        <v>0</v>
      </c>
      <c r="Q280" s="3" t="s">
        <v>43</v>
      </c>
      <c r="R280" s="3" t="s">
        <v>40</v>
      </c>
      <c r="S280" s="3" t="str">
        <f t="shared" si="22"/>
        <v>No</v>
      </c>
      <c r="T280" s="3" t="s">
        <v>34</v>
      </c>
      <c r="U280" s="3" t="str">
        <f t="shared" si="23"/>
        <v>Rainy</v>
      </c>
      <c r="V280" s="3" t="s">
        <v>40</v>
      </c>
      <c r="W280" s="3" cm="1">
        <f t="array" ref="W280">_xlfn.IFS(
OR(F280="Selenium (Hands-on)",F280="Guest Lecture: HR Interview"),6,
OR(F280="Soft Skill",F280="Soft Skill (Examination)",F280="AWS Training",F280="AWS Session"),7,
OR(ISNUMBER(SEARCH("MAD",F280)),ISNUMBER(SEARCH("STQA",F280)),F280="CI/CD Session"),8,
OR(ISNUMBER(SEARCH("Cloud",F280)),F280="Industry Readiness Program",ISNUMBER(SEARCH("Talenlio",F280))),9,
OR(ISNUMBER(SEARCH("Innovation",F280)),F280="Mini Project"),10,
OR(ISNUMBER(SEARCH("Data Science",F280)),ISNUMBER(SEARCH("DS",F280))),11,
ISNUMBER(SEARCH("Generative AI",F280)),12
=_xlfn.IFS(
OR(F280="Selenium (Hands-on)",F280="Guest Lecture: HR Interview"),6,
OR(F280="Soft Skill",F280="Soft Skill (Examination)",F280="AWS Training",F280="AWS Session"),7,
OR(ISNUMBER(SEARCH("MAD",F280)),ISNUMBER(SEARCH("STQA",F280)),F280="CI/CD Session"),8,
OR(ISNUMBER(SEARCH("Cloud",F280)),F280="Industry Readiness Program",ISNUMBER(SEARCH("Talenlio",F280))),9,
OR(ISNUMBER(SEARCH("Innovation",F280)),F280="Mini Project"),10,
OR(ISNUMBER(SEARCH("Data Science",F280)),ISNUMBER(SEARCH("DS",F280))),11,
ISNUMBER(SEARCH("Generative AI",F280)),12
=_xlfn.IFS(
OR(F280="Selenium (Hands-on)",F280="Guest Lecture: HR Interview"),6,
OR(F280="Soft Skill",F280="Soft Skill (Examination)",F280="AWS Training",F280="AWS Session"),7,
OR(ISNUMBER(SEARCH("MAD",F280)),ISNUMBER(SEARCH("STQA",F280)),F280="CI/CD Session"),8,
OR(ISNUMBER(SEARCH("Cloud",F280)),F280="Industry Readiness Program",ISNUMBER(SEARCH("Talenlio",F280))),9,
OR(ISNUMBER(SEARCH("Innovation",F280)),F280="Mini Project"),10,
OR(ISNUMBER(SEARCH("Data Science",F280)),ISNUMBER(SEARCH("DS",F280))),11,
ISNUMBER(SEARCH("Generative AI",F280)),12
=_xlfn.IFS(
OR(F280="Selenium (Hands-on)",F280="Guest Lecture: HR Interview"),6,
OR(F280="Soft Skill",F280="Soft Skill (Examination)",F280="AWS Training",F280="AWS Session"),7,
OR(ISNUMBER(SEARCH("MAD",F280)),ISNUMBER(SEARCH("STQA",F280)),F280="CI/CD Session"),8,
OR(ISNUMBER(SEARCH("Cloud",F280)),F280="Industry Readiness Program",ISNUMBER(SEARCH("Talenlio",F280))),9,
OR(ISNUMBER(SEARCH("Innovation",F280)),F280="Mini Project"),10,
OR(ISNUMBER(SEARCH("Data Science",F280)),ISNUMBER(SEARCH("DS",F280))),11,
ISNUMBER(SEARCH("Generative AI",F280)),12
))))</f>
        <v>8</v>
      </c>
      <c r="X280" s="3">
        <v>10</v>
      </c>
      <c r="Y280" s="3">
        <v>64</v>
      </c>
      <c r="Z280" s="3" t="s">
        <v>35</v>
      </c>
    </row>
    <row r="281" spans="1:26" x14ac:dyDescent="0.3">
      <c r="A281" s="2">
        <v>46251</v>
      </c>
      <c r="B281" s="3" t="s">
        <v>26</v>
      </c>
      <c r="C281" s="3">
        <v>2</v>
      </c>
      <c r="D281" s="4">
        <v>0.38541666666666702</v>
      </c>
      <c r="E281" s="4">
        <v>0.42708333333333298</v>
      </c>
      <c r="F281" s="3" t="s">
        <v>50</v>
      </c>
      <c r="G281" s="3" t="s">
        <v>51</v>
      </c>
      <c r="H281" s="3" t="s">
        <v>29</v>
      </c>
      <c r="I281" s="3" t="s">
        <v>30</v>
      </c>
      <c r="J281" s="3" t="s">
        <v>31</v>
      </c>
      <c r="K281" s="3" t="s">
        <v>52</v>
      </c>
      <c r="L281" s="5">
        <v>103</v>
      </c>
      <c r="M281" s="5">
        <f t="shared" ca="1" si="20"/>
        <v>100</v>
      </c>
      <c r="N281" s="6">
        <f t="shared" ca="1" si="21"/>
        <v>97.087378640776706</v>
      </c>
      <c r="O281" s="3" cm="1">
        <f t="array" aca="1" ref="O281" ca="1">IFERROR(LOOKUP(2, 1/((F$1:F280=F281)*(J$1:J280=J281)*(ROW(F$1:F280)&lt;ROW(F281))), N$1:N280), "")</f>
        <v>77.669902912621353</v>
      </c>
      <c r="P281" s="3">
        <f t="shared" si="24"/>
        <v>0</v>
      </c>
      <c r="Q281" s="3" t="s">
        <v>43</v>
      </c>
      <c r="R281" s="3" t="s">
        <v>40</v>
      </c>
      <c r="S281" s="3" t="str">
        <f t="shared" si="22"/>
        <v>No</v>
      </c>
      <c r="T281" s="3" t="s">
        <v>34</v>
      </c>
      <c r="U281" s="3" t="str">
        <f t="shared" si="23"/>
        <v>Rainy</v>
      </c>
      <c r="V281" s="3" t="s">
        <v>40</v>
      </c>
      <c r="W281" s="3" cm="1">
        <f t="array" ref="W281">_xlfn.IFS(
OR(F281="Selenium (Hands-on)",F281="Guest Lecture: HR Interview"),6,
OR(F281="Soft Skill",F281="Soft Skill (Examination)",F281="AWS Training",F281="AWS Session"),7,
OR(ISNUMBER(SEARCH("MAD",F281)),ISNUMBER(SEARCH("STQA",F281)),F281="CI/CD Session"),8,
OR(ISNUMBER(SEARCH("Cloud",F281)),F281="Industry Readiness Program",ISNUMBER(SEARCH("Talenlio",F281))),9,
OR(ISNUMBER(SEARCH("Innovation",F281)),F281="Mini Project"),10,
OR(ISNUMBER(SEARCH("Data Science",F281)),ISNUMBER(SEARCH("DS",F281))),11,
ISNUMBER(SEARCH("Generative AI",F281)),12
=_xlfn.IFS(
OR(F281="Selenium (Hands-on)",F281="Guest Lecture: HR Interview"),6,
OR(F281="Soft Skill",F281="Soft Skill (Examination)",F281="AWS Training",F281="AWS Session"),7,
OR(ISNUMBER(SEARCH("MAD",F281)),ISNUMBER(SEARCH("STQA",F281)),F281="CI/CD Session"),8,
OR(ISNUMBER(SEARCH("Cloud",F281)),F281="Industry Readiness Program",ISNUMBER(SEARCH("Talenlio",F281))),9,
OR(ISNUMBER(SEARCH("Innovation",F281)),F281="Mini Project"),10,
OR(ISNUMBER(SEARCH("Data Science",F281)),ISNUMBER(SEARCH("DS",F281))),11,
ISNUMBER(SEARCH("Generative AI",F281)),12
=_xlfn.IFS(
OR(F281="Selenium (Hands-on)",F281="Guest Lecture: HR Interview"),6,
OR(F281="Soft Skill",F281="Soft Skill (Examination)",F281="AWS Training",F281="AWS Session"),7,
OR(ISNUMBER(SEARCH("MAD",F281)),ISNUMBER(SEARCH("STQA",F281)),F281="CI/CD Session"),8,
OR(ISNUMBER(SEARCH("Cloud",F281)),F281="Industry Readiness Program",ISNUMBER(SEARCH("Talenlio",F281))),9,
OR(ISNUMBER(SEARCH("Innovation",F281)),F281="Mini Project"),10,
OR(ISNUMBER(SEARCH("Data Science",F281)),ISNUMBER(SEARCH("DS",F281))),11,
ISNUMBER(SEARCH("Generative AI",F281)),12
=_xlfn.IFS(
OR(F281="Selenium (Hands-on)",F281="Guest Lecture: HR Interview"),6,
OR(F281="Soft Skill",F281="Soft Skill (Examination)",F281="AWS Training",F281="AWS Session"),7,
OR(ISNUMBER(SEARCH("MAD",F281)),ISNUMBER(SEARCH("STQA",F281)),F281="CI/CD Session"),8,
OR(ISNUMBER(SEARCH("Cloud",F281)),F281="Industry Readiness Program",ISNUMBER(SEARCH("Talenlio",F281))),9,
OR(ISNUMBER(SEARCH("Innovation",F281)),F281="Mini Project"),10,
OR(ISNUMBER(SEARCH("Data Science",F281)),ISNUMBER(SEARCH("DS",F281))),11,
ISNUMBER(SEARCH("Generative AI",F281)),12
))))</f>
        <v>8</v>
      </c>
      <c r="X281" s="3">
        <v>10</v>
      </c>
      <c r="Y281" s="3">
        <v>64</v>
      </c>
      <c r="Z281" s="3" t="s">
        <v>35</v>
      </c>
    </row>
    <row r="282" spans="1:26" x14ac:dyDescent="0.3">
      <c r="A282" s="2">
        <v>46251</v>
      </c>
      <c r="B282" s="3" t="s">
        <v>26</v>
      </c>
      <c r="C282" s="3">
        <v>3</v>
      </c>
      <c r="D282" s="4">
        <v>0.42708333333333298</v>
      </c>
      <c r="E282" s="4">
        <v>0.46875</v>
      </c>
      <c r="F282" s="3" t="s">
        <v>53</v>
      </c>
      <c r="G282" s="3" t="s">
        <v>54</v>
      </c>
      <c r="H282" s="3" t="s">
        <v>29</v>
      </c>
      <c r="I282" s="3" t="s">
        <v>30</v>
      </c>
      <c r="J282" s="3" t="s">
        <v>31</v>
      </c>
      <c r="K282" s="3" t="s">
        <v>52</v>
      </c>
      <c r="L282" s="5">
        <v>103</v>
      </c>
      <c r="M282" s="5">
        <f t="shared" ca="1" si="20"/>
        <v>79</v>
      </c>
      <c r="N282" s="6">
        <f t="shared" ca="1" si="21"/>
        <v>76.699029126213588</v>
      </c>
      <c r="O282" s="3" cm="1">
        <f t="array" aca="1" ref="O282" ca="1">IFERROR(LOOKUP(2, 1/((F$1:F281=F282)*(J$1:J281=J282)*(ROW(F$1:F281)&lt;ROW(F282))), N$1:N281), "")</f>
        <v>84.466019417475721</v>
      </c>
      <c r="P282" s="3">
        <f t="shared" si="24"/>
        <v>0</v>
      </c>
      <c r="Q282" s="3" t="s">
        <v>33</v>
      </c>
      <c r="R282" s="3" t="s">
        <v>40</v>
      </c>
      <c r="S282" s="3" t="str">
        <f t="shared" si="22"/>
        <v>No</v>
      </c>
      <c r="T282" s="3" t="s">
        <v>34</v>
      </c>
      <c r="U282" s="3" t="str">
        <f t="shared" si="23"/>
        <v>Rainy</v>
      </c>
      <c r="V282" s="3" t="s">
        <v>40</v>
      </c>
      <c r="W282" s="3" cm="1">
        <f t="array" ref="W282">_xlfn.IFS(
OR(F282="Selenium (Hands-on)",F282="Guest Lecture: HR Interview"),6,
OR(F282="Soft Skill",F282="Soft Skill (Examination)",F282="AWS Training",F282="AWS Session"),7,
OR(ISNUMBER(SEARCH("MAD",F282)),ISNUMBER(SEARCH("STQA",F282)),F282="CI/CD Session"),8,
OR(ISNUMBER(SEARCH("Cloud",F282)),F282="Industry Readiness Program",ISNUMBER(SEARCH("Talenlio",F282))),9,
OR(ISNUMBER(SEARCH("Innovation",F282)),F282="Mini Project"),10,
OR(ISNUMBER(SEARCH("Data Science",F282)),ISNUMBER(SEARCH("DS",F282))),11,
ISNUMBER(SEARCH("Generative AI",F282)),12
=_xlfn.IFS(
OR(F282="Selenium (Hands-on)",F282="Guest Lecture: HR Interview"),6,
OR(F282="Soft Skill",F282="Soft Skill (Examination)",F282="AWS Training",F282="AWS Session"),7,
OR(ISNUMBER(SEARCH("MAD",F282)),ISNUMBER(SEARCH("STQA",F282)),F282="CI/CD Session"),8,
OR(ISNUMBER(SEARCH("Cloud",F282)),F282="Industry Readiness Program",ISNUMBER(SEARCH("Talenlio",F282))),9,
OR(ISNUMBER(SEARCH("Innovation",F282)),F282="Mini Project"),10,
OR(ISNUMBER(SEARCH("Data Science",F282)),ISNUMBER(SEARCH("DS",F282))),11,
ISNUMBER(SEARCH("Generative AI",F282)),12
=_xlfn.IFS(
OR(F282="Selenium (Hands-on)",F282="Guest Lecture: HR Interview"),6,
OR(F282="Soft Skill",F282="Soft Skill (Examination)",F282="AWS Training",F282="AWS Session"),7,
OR(ISNUMBER(SEARCH("MAD",F282)),ISNUMBER(SEARCH("STQA",F282)),F282="CI/CD Session"),8,
OR(ISNUMBER(SEARCH("Cloud",F282)),F282="Industry Readiness Program",ISNUMBER(SEARCH("Talenlio",F282))),9,
OR(ISNUMBER(SEARCH("Innovation",F282)),F282="Mini Project"),10,
OR(ISNUMBER(SEARCH("Data Science",F282)),ISNUMBER(SEARCH("DS",F282))),11,
ISNUMBER(SEARCH("Generative AI",F282)),12
=_xlfn.IFS(
OR(F282="Selenium (Hands-on)",F282="Guest Lecture: HR Interview"),6,
OR(F282="Soft Skill",F282="Soft Skill (Examination)",F282="AWS Training",F282="AWS Session"),7,
OR(ISNUMBER(SEARCH("MAD",F282)),ISNUMBER(SEARCH("STQA",F282)),F282="CI/CD Session"),8,
OR(ISNUMBER(SEARCH("Cloud",F282)),F282="Industry Readiness Program",ISNUMBER(SEARCH("Talenlio",F282))),9,
OR(ISNUMBER(SEARCH("Innovation",F282)),F282="Mini Project"),10,
OR(ISNUMBER(SEARCH("Data Science",F282)),ISNUMBER(SEARCH("DS",F282))),11,
ISNUMBER(SEARCH("Generative AI",F282)),12
))))</f>
        <v>10</v>
      </c>
      <c r="X282" s="3">
        <v>10</v>
      </c>
      <c r="Y282" s="3">
        <v>64</v>
      </c>
      <c r="Z282" s="3" t="s">
        <v>35</v>
      </c>
    </row>
    <row r="283" spans="1:26" x14ac:dyDescent="0.3">
      <c r="A283" s="2">
        <v>46251</v>
      </c>
      <c r="B283" s="3" t="s">
        <v>26</v>
      </c>
      <c r="C283" s="3">
        <v>4</v>
      </c>
      <c r="D283" s="4">
        <v>0.46875</v>
      </c>
      <c r="E283" s="4">
        <v>0.51041666666666696</v>
      </c>
      <c r="F283" s="3" t="s">
        <v>53</v>
      </c>
      <c r="G283" s="3" t="s">
        <v>54</v>
      </c>
      <c r="H283" s="3" t="s">
        <v>29</v>
      </c>
      <c r="I283" s="3" t="s">
        <v>30</v>
      </c>
      <c r="J283" s="3" t="s">
        <v>31</v>
      </c>
      <c r="K283" s="3" t="s">
        <v>52</v>
      </c>
      <c r="L283" s="5">
        <v>103</v>
      </c>
      <c r="M283" s="5">
        <f t="shared" ca="1" si="20"/>
        <v>45</v>
      </c>
      <c r="N283" s="6">
        <f t="shared" ca="1" si="21"/>
        <v>43.689320388349515</v>
      </c>
      <c r="O283" s="3" cm="1">
        <f t="array" aca="1" ref="O283" ca="1">IFERROR(LOOKUP(2, 1/((F$1:F282=F283)*(J$1:J282=J283)*(ROW(F$1:F282)&lt;ROW(F283))), N$1:N282), "")</f>
        <v>76.699029126213588</v>
      </c>
      <c r="P283" s="3">
        <f t="shared" si="24"/>
        <v>0</v>
      </c>
      <c r="Q283" s="3" t="s">
        <v>33</v>
      </c>
      <c r="R283" s="3" t="s">
        <v>40</v>
      </c>
      <c r="S283" s="3" t="str">
        <f t="shared" si="22"/>
        <v>No</v>
      </c>
      <c r="T283" s="3" t="s">
        <v>34</v>
      </c>
      <c r="U283" s="3" t="str">
        <f t="shared" si="23"/>
        <v>Rainy</v>
      </c>
      <c r="V283" s="3" t="s">
        <v>40</v>
      </c>
      <c r="W283" s="3" cm="1">
        <f t="array" ref="W283">_xlfn.IFS(
OR(F283="Selenium (Hands-on)",F283="Guest Lecture: HR Interview"),6,
OR(F283="Soft Skill",F283="Soft Skill (Examination)",F283="AWS Training",F283="AWS Session"),7,
OR(ISNUMBER(SEARCH("MAD",F283)),ISNUMBER(SEARCH("STQA",F283)),F283="CI/CD Session"),8,
OR(ISNUMBER(SEARCH("Cloud",F283)),F283="Industry Readiness Program",ISNUMBER(SEARCH("Talenlio",F283))),9,
OR(ISNUMBER(SEARCH("Innovation",F283)),F283="Mini Project"),10,
OR(ISNUMBER(SEARCH("Data Science",F283)),ISNUMBER(SEARCH("DS",F283))),11,
ISNUMBER(SEARCH("Generative AI",F283)),12
=_xlfn.IFS(
OR(F283="Selenium (Hands-on)",F283="Guest Lecture: HR Interview"),6,
OR(F283="Soft Skill",F283="Soft Skill (Examination)",F283="AWS Training",F283="AWS Session"),7,
OR(ISNUMBER(SEARCH("MAD",F283)),ISNUMBER(SEARCH("STQA",F283)),F283="CI/CD Session"),8,
OR(ISNUMBER(SEARCH("Cloud",F283)),F283="Industry Readiness Program",ISNUMBER(SEARCH("Talenlio",F283))),9,
OR(ISNUMBER(SEARCH("Innovation",F283)),F283="Mini Project"),10,
OR(ISNUMBER(SEARCH("Data Science",F283)),ISNUMBER(SEARCH("DS",F283))),11,
ISNUMBER(SEARCH("Generative AI",F283)),12
=_xlfn.IFS(
OR(F283="Selenium (Hands-on)",F283="Guest Lecture: HR Interview"),6,
OR(F283="Soft Skill",F283="Soft Skill (Examination)",F283="AWS Training",F283="AWS Session"),7,
OR(ISNUMBER(SEARCH("MAD",F283)),ISNUMBER(SEARCH("STQA",F283)),F283="CI/CD Session"),8,
OR(ISNUMBER(SEARCH("Cloud",F283)),F283="Industry Readiness Program",ISNUMBER(SEARCH("Talenlio",F283))),9,
OR(ISNUMBER(SEARCH("Innovation",F283)),F283="Mini Project"),10,
OR(ISNUMBER(SEARCH("Data Science",F283)),ISNUMBER(SEARCH("DS",F283))),11,
ISNUMBER(SEARCH("Generative AI",F283)),12
=_xlfn.IFS(
OR(F283="Selenium (Hands-on)",F283="Guest Lecture: HR Interview"),6,
OR(F283="Soft Skill",F283="Soft Skill (Examination)",F283="AWS Training",F283="AWS Session"),7,
OR(ISNUMBER(SEARCH("MAD",F283)),ISNUMBER(SEARCH("STQA",F283)),F283="CI/CD Session"),8,
OR(ISNUMBER(SEARCH("Cloud",F283)),F283="Industry Readiness Program",ISNUMBER(SEARCH("Talenlio",F283))),9,
OR(ISNUMBER(SEARCH("Innovation",F283)),F283="Mini Project"),10,
OR(ISNUMBER(SEARCH("Data Science",F283)),ISNUMBER(SEARCH("DS",F283))),11,
ISNUMBER(SEARCH("Generative AI",F283)),12
))))</f>
        <v>10</v>
      </c>
      <c r="X283" s="3">
        <v>10</v>
      </c>
      <c r="Y283" s="3">
        <v>64</v>
      </c>
      <c r="Z283" s="3" t="s">
        <v>35</v>
      </c>
    </row>
    <row r="284" spans="1:26" x14ac:dyDescent="0.3">
      <c r="A284" s="2">
        <v>46251</v>
      </c>
      <c r="B284" s="3" t="s">
        <v>26</v>
      </c>
      <c r="C284" s="3">
        <v>5</v>
      </c>
      <c r="D284" s="4">
        <v>0.5625</v>
      </c>
      <c r="E284" s="4">
        <v>0.60416666666666696</v>
      </c>
      <c r="F284" s="3" t="s">
        <v>81</v>
      </c>
      <c r="G284" s="3" t="s">
        <v>289</v>
      </c>
      <c r="H284" s="3" t="s">
        <v>29</v>
      </c>
      <c r="I284" s="3" t="s">
        <v>30</v>
      </c>
      <c r="J284" s="3" t="s">
        <v>31</v>
      </c>
      <c r="K284" s="3" t="s">
        <v>52</v>
      </c>
      <c r="L284" s="5">
        <v>103</v>
      </c>
      <c r="M284" s="5">
        <f t="shared" ca="1" si="20"/>
        <v>98</v>
      </c>
      <c r="N284" s="6">
        <f t="shared" ca="1" si="21"/>
        <v>95.145631067961162</v>
      </c>
      <c r="O284" s="3" cm="1">
        <f t="array" aca="1" ref="O284" ca="1">IFERROR(LOOKUP(2, 1/((F$1:F283=F284)*(J$1:J283=J284)*(ROW(F$1:F283)&lt;ROW(F284))), N$1:N283), "")</f>
        <v>73.786407766990294</v>
      </c>
      <c r="P284" s="3">
        <f t="shared" si="24"/>
        <v>1.25</v>
      </c>
      <c r="Q284" s="3" t="s">
        <v>43</v>
      </c>
      <c r="R284" s="3" t="s">
        <v>40</v>
      </c>
      <c r="S284" s="3" t="str">
        <f t="shared" si="22"/>
        <v>No</v>
      </c>
      <c r="T284" s="3" t="s">
        <v>34</v>
      </c>
      <c r="U284" s="3" t="str">
        <f t="shared" si="23"/>
        <v>Rainy</v>
      </c>
      <c r="V284" s="3" t="s">
        <v>40</v>
      </c>
      <c r="W284" s="3" cm="1">
        <f t="array" ref="W284">_xlfn.IFS(
OR(F284="Selenium (Hands-on)",F284="Guest Lecture: HR Interview"),6,
OR(F284="Soft Skill",F284="Soft Skill (Examination)",F284="AWS Training",F284="AWS Session"),7,
OR(ISNUMBER(SEARCH("MAD",F284)),ISNUMBER(SEARCH("STQA",F284)),F284="CI/CD Session"),8,
OR(ISNUMBER(SEARCH("Cloud",F284)),F284="Industry Readiness Program",ISNUMBER(SEARCH("Talenlio",F284))),9,
OR(ISNUMBER(SEARCH("Innovation",F284)),F284="Mini Project"),10,
OR(ISNUMBER(SEARCH("Data Science",F284)),ISNUMBER(SEARCH("DS",F284))),11,
ISNUMBER(SEARCH("Generative AI",F284)),12
=_xlfn.IFS(
OR(F284="Selenium (Hands-on)",F284="Guest Lecture: HR Interview"),6,
OR(F284="Soft Skill",F284="Soft Skill (Examination)",F284="AWS Training",F284="AWS Session"),7,
OR(ISNUMBER(SEARCH("MAD",F284)),ISNUMBER(SEARCH("STQA",F284)),F284="CI/CD Session"),8,
OR(ISNUMBER(SEARCH("Cloud",F284)),F284="Industry Readiness Program",ISNUMBER(SEARCH("Talenlio",F284))),9,
OR(ISNUMBER(SEARCH("Innovation",F284)),F284="Mini Project"),10,
OR(ISNUMBER(SEARCH("Data Science",F284)),ISNUMBER(SEARCH("DS",F284))),11,
ISNUMBER(SEARCH("Generative AI",F284)),12
=_xlfn.IFS(
OR(F284="Selenium (Hands-on)",F284="Guest Lecture: HR Interview"),6,
OR(F284="Soft Skill",F284="Soft Skill (Examination)",F284="AWS Training",F284="AWS Session"),7,
OR(ISNUMBER(SEARCH("MAD",F284)),ISNUMBER(SEARCH("STQA",F284)),F284="CI/CD Session"),8,
OR(ISNUMBER(SEARCH("Cloud",F284)),F284="Industry Readiness Program",ISNUMBER(SEARCH("Talenlio",F284))),9,
OR(ISNUMBER(SEARCH("Innovation",F284)),F284="Mini Project"),10,
OR(ISNUMBER(SEARCH("Data Science",F284)),ISNUMBER(SEARCH("DS",F284))),11,
ISNUMBER(SEARCH("Generative AI",F284)),12
=_xlfn.IFS(
OR(F284="Selenium (Hands-on)",F284="Guest Lecture: HR Interview"),6,
OR(F284="Soft Skill",F284="Soft Skill (Examination)",F284="AWS Training",F284="AWS Session"),7,
OR(ISNUMBER(SEARCH("MAD",F284)),ISNUMBER(SEARCH("STQA",F284)),F284="CI/CD Session"),8,
OR(ISNUMBER(SEARCH("Cloud",F284)),F284="Industry Readiness Program",ISNUMBER(SEARCH("Talenlio",F284))),9,
OR(ISNUMBER(SEARCH("Innovation",F284)),F284="Mini Project"),10,
OR(ISNUMBER(SEARCH("Data Science",F284)),ISNUMBER(SEARCH("DS",F284))),11,
ISNUMBER(SEARCH("Generative AI",F284)),12
))))</f>
        <v>7</v>
      </c>
      <c r="X284" s="3">
        <v>10</v>
      </c>
      <c r="Y284" s="3">
        <v>64</v>
      </c>
      <c r="Z284" s="3" t="s">
        <v>38</v>
      </c>
    </row>
    <row r="285" spans="1:26" x14ac:dyDescent="0.3">
      <c r="A285" s="2">
        <v>46251</v>
      </c>
      <c r="B285" s="3" t="s">
        <v>26</v>
      </c>
      <c r="C285" s="3">
        <v>6</v>
      </c>
      <c r="D285" s="4">
        <v>0.60416666666666696</v>
      </c>
      <c r="E285" s="4">
        <v>0.64583333333333304</v>
      </c>
      <c r="F285" s="3" t="s">
        <v>81</v>
      </c>
      <c r="G285" s="3" t="s">
        <v>289</v>
      </c>
      <c r="H285" s="3" t="s">
        <v>29</v>
      </c>
      <c r="I285" s="3" t="s">
        <v>30</v>
      </c>
      <c r="J285" s="3" t="s">
        <v>31</v>
      </c>
      <c r="K285" s="3" t="s">
        <v>52</v>
      </c>
      <c r="L285" s="5">
        <v>103</v>
      </c>
      <c r="M285" s="5">
        <f t="shared" ca="1" si="20"/>
        <v>49</v>
      </c>
      <c r="N285" s="6">
        <f t="shared" ca="1" si="21"/>
        <v>47.572815533980581</v>
      </c>
      <c r="O285" s="3" cm="1">
        <f t="array" aca="1" ref="O285" ca="1">IFERROR(LOOKUP(2, 1/((F$1:F284=F285)*(J$1:J284=J285)*(ROW(F$1:F284)&lt;ROW(F285))), N$1:N284), "")</f>
        <v>95.145631067961162</v>
      </c>
      <c r="P285" s="3">
        <f t="shared" si="24"/>
        <v>0</v>
      </c>
      <c r="Q285" s="3" t="s">
        <v>43</v>
      </c>
      <c r="R285" s="3" t="s">
        <v>40</v>
      </c>
      <c r="S285" s="3" t="str">
        <f t="shared" si="22"/>
        <v>No</v>
      </c>
      <c r="T285" s="3" t="s">
        <v>34</v>
      </c>
      <c r="U285" s="3" t="str">
        <f t="shared" si="23"/>
        <v>Rainy</v>
      </c>
      <c r="V285" s="3" t="s">
        <v>40</v>
      </c>
      <c r="W285" s="3" cm="1">
        <f t="array" ref="W285">_xlfn.IFS(
OR(F285="Selenium (Hands-on)",F285="Guest Lecture: HR Interview"),6,
OR(F285="Soft Skill",F285="Soft Skill (Examination)",F285="AWS Training",F285="AWS Session"),7,
OR(ISNUMBER(SEARCH("MAD",F285)),ISNUMBER(SEARCH("STQA",F285)),F285="CI/CD Session"),8,
OR(ISNUMBER(SEARCH("Cloud",F285)),F285="Industry Readiness Program",ISNUMBER(SEARCH("Talenlio",F285))),9,
OR(ISNUMBER(SEARCH("Innovation",F285)),F285="Mini Project"),10,
OR(ISNUMBER(SEARCH("Data Science",F285)),ISNUMBER(SEARCH("DS",F285))),11,
ISNUMBER(SEARCH("Generative AI",F285)),12
=_xlfn.IFS(
OR(F285="Selenium (Hands-on)",F285="Guest Lecture: HR Interview"),6,
OR(F285="Soft Skill",F285="Soft Skill (Examination)",F285="AWS Training",F285="AWS Session"),7,
OR(ISNUMBER(SEARCH("MAD",F285)),ISNUMBER(SEARCH("STQA",F285)),F285="CI/CD Session"),8,
OR(ISNUMBER(SEARCH("Cloud",F285)),F285="Industry Readiness Program",ISNUMBER(SEARCH("Talenlio",F285))),9,
OR(ISNUMBER(SEARCH("Innovation",F285)),F285="Mini Project"),10,
OR(ISNUMBER(SEARCH("Data Science",F285)),ISNUMBER(SEARCH("DS",F285))),11,
ISNUMBER(SEARCH("Generative AI",F285)),12
=_xlfn.IFS(
OR(F285="Selenium (Hands-on)",F285="Guest Lecture: HR Interview"),6,
OR(F285="Soft Skill",F285="Soft Skill (Examination)",F285="AWS Training",F285="AWS Session"),7,
OR(ISNUMBER(SEARCH("MAD",F285)),ISNUMBER(SEARCH("STQA",F285)),F285="CI/CD Session"),8,
OR(ISNUMBER(SEARCH("Cloud",F285)),F285="Industry Readiness Program",ISNUMBER(SEARCH("Talenlio",F285))),9,
OR(ISNUMBER(SEARCH("Innovation",F285)),F285="Mini Project"),10,
OR(ISNUMBER(SEARCH("Data Science",F285)),ISNUMBER(SEARCH("DS",F285))),11,
ISNUMBER(SEARCH("Generative AI",F285)),12
=_xlfn.IFS(
OR(F285="Selenium (Hands-on)",F285="Guest Lecture: HR Interview"),6,
OR(F285="Soft Skill",F285="Soft Skill (Examination)",F285="AWS Training",F285="AWS Session"),7,
OR(ISNUMBER(SEARCH("MAD",F285)),ISNUMBER(SEARCH("STQA",F285)),F285="CI/CD Session"),8,
OR(ISNUMBER(SEARCH("Cloud",F285)),F285="Industry Readiness Program",ISNUMBER(SEARCH("Talenlio",F285))),9,
OR(ISNUMBER(SEARCH("Innovation",F285)),F285="Mini Project"),10,
OR(ISNUMBER(SEARCH("Data Science",F285)),ISNUMBER(SEARCH("DS",F285))),11,
ISNUMBER(SEARCH("Generative AI",F285)),12
))))</f>
        <v>7</v>
      </c>
      <c r="X285" s="3">
        <v>10</v>
      </c>
      <c r="Y285" s="3">
        <v>64</v>
      </c>
      <c r="Z285" s="3" t="s">
        <v>38</v>
      </c>
    </row>
    <row r="286" spans="1:26" x14ac:dyDescent="0.3">
      <c r="A286" s="2">
        <v>46251</v>
      </c>
      <c r="B286" s="3" t="s">
        <v>26</v>
      </c>
      <c r="C286" s="3">
        <v>7</v>
      </c>
      <c r="D286" s="4">
        <v>0.64583333333333304</v>
      </c>
      <c r="E286" s="4">
        <v>0.6875</v>
      </c>
      <c r="F286" s="3" t="s">
        <v>81</v>
      </c>
      <c r="G286" s="3" t="s">
        <v>289</v>
      </c>
      <c r="H286" s="3" t="s">
        <v>29</v>
      </c>
      <c r="I286" s="3" t="s">
        <v>30</v>
      </c>
      <c r="J286" s="3" t="s">
        <v>31</v>
      </c>
      <c r="K286" s="3" t="s">
        <v>52</v>
      </c>
      <c r="L286" s="5">
        <v>103</v>
      </c>
      <c r="M286" s="5">
        <f t="shared" ca="1" si="20"/>
        <v>55</v>
      </c>
      <c r="N286" s="6">
        <f t="shared" ca="1" si="21"/>
        <v>53.398058252427184</v>
      </c>
      <c r="O286" s="3" cm="1">
        <f t="array" aca="1" ref="O286" ca="1">IFERROR(LOOKUP(2, 1/((F$1:F285=F286)*(J$1:J285=J286)*(ROW(F$1:F285)&lt;ROW(F286))), N$1:N285), "")</f>
        <v>47.572815533980581</v>
      </c>
      <c r="P286" s="3">
        <f t="shared" si="24"/>
        <v>0</v>
      </c>
      <c r="Q286" s="3" t="s">
        <v>43</v>
      </c>
      <c r="R286" s="3" t="s">
        <v>40</v>
      </c>
      <c r="S286" s="3" t="str">
        <f t="shared" si="22"/>
        <v>No</v>
      </c>
      <c r="T286" s="3" t="s">
        <v>34</v>
      </c>
      <c r="U286" s="3" t="str">
        <f t="shared" si="23"/>
        <v>Rainy</v>
      </c>
      <c r="V286" s="3" t="s">
        <v>40</v>
      </c>
      <c r="W286" s="3" cm="1">
        <f t="array" ref="W286">_xlfn.IFS(
OR(F286="Selenium (Hands-on)",F286="Guest Lecture: HR Interview"),6,
OR(F286="Soft Skill",F286="Soft Skill (Examination)",F286="AWS Training",F286="AWS Session"),7,
OR(ISNUMBER(SEARCH("MAD",F286)),ISNUMBER(SEARCH("STQA",F286)),F286="CI/CD Session"),8,
OR(ISNUMBER(SEARCH("Cloud",F286)),F286="Industry Readiness Program",ISNUMBER(SEARCH("Talenlio",F286))),9,
OR(ISNUMBER(SEARCH("Innovation",F286)),F286="Mini Project"),10,
OR(ISNUMBER(SEARCH("Data Science",F286)),ISNUMBER(SEARCH("DS",F286))),11,
ISNUMBER(SEARCH("Generative AI",F286)),12
=_xlfn.IFS(
OR(F286="Selenium (Hands-on)",F286="Guest Lecture: HR Interview"),6,
OR(F286="Soft Skill",F286="Soft Skill (Examination)",F286="AWS Training",F286="AWS Session"),7,
OR(ISNUMBER(SEARCH("MAD",F286)),ISNUMBER(SEARCH("STQA",F286)),F286="CI/CD Session"),8,
OR(ISNUMBER(SEARCH("Cloud",F286)),F286="Industry Readiness Program",ISNUMBER(SEARCH("Talenlio",F286))),9,
OR(ISNUMBER(SEARCH("Innovation",F286)),F286="Mini Project"),10,
OR(ISNUMBER(SEARCH("Data Science",F286)),ISNUMBER(SEARCH("DS",F286))),11,
ISNUMBER(SEARCH("Generative AI",F286)),12
=_xlfn.IFS(
OR(F286="Selenium (Hands-on)",F286="Guest Lecture: HR Interview"),6,
OR(F286="Soft Skill",F286="Soft Skill (Examination)",F286="AWS Training",F286="AWS Session"),7,
OR(ISNUMBER(SEARCH("MAD",F286)),ISNUMBER(SEARCH("STQA",F286)),F286="CI/CD Session"),8,
OR(ISNUMBER(SEARCH("Cloud",F286)),F286="Industry Readiness Program",ISNUMBER(SEARCH("Talenlio",F286))),9,
OR(ISNUMBER(SEARCH("Innovation",F286)),F286="Mini Project"),10,
OR(ISNUMBER(SEARCH("Data Science",F286)),ISNUMBER(SEARCH("DS",F286))),11,
ISNUMBER(SEARCH("Generative AI",F286)),12
=_xlfn.IFS(
OR(F286="Selenium (Hands-on)",F286="Guest Lecture: HR Interview"),6,
OR(F286="Soft Skill",F286="Soft Skill (Examination)",F286="AWS Training",F286="AWS Session"),7,
OR(ISNUMBER(SEARCH("MAD",F286)),ISNUMBER(SEARCH("STQA",F286)),F286="CI/CD Session"),8,
OR(ISNUMBER(SEARCH("Cloud",F286)),F286="Industry Readiness Program",ISNUMBER(SEARCH("Talenlio",F286))),9,
OR(ISNUMBER(SEARCH("Innovation",F286)),F286="Mini Project"),10,
OR(ISNUMBER(SEARCH("Data Science",F286)),ISNUMBER(SEARCH("DS",F286))),11,
ISNUMBER(SEARCH("Generative AI",F286)),12
))))</f>
        <v>7</v>
      </c>
      <c r="X286" s="3">
        <v>10</v>
      </c>
      <c r="Y286" s="3">
        <v>64</v>
      </c>
      <c r="Z286" s="3" t="s">
        <v>38</v>
      </c>
    </row>
    <row r="287" spans="1:26" x14ac:dyDescent="0.3">
      <c r="A287" s="2">
        <v>46252</v>
      </c>
      <c r="B287" s="3" t="s">
        <v>39</v>
      </c>
      <c r="C287" s="3">
        <v>1</v>
      </c>
      <c r="D287" s="4">
        <v>0.35416666666666702</v>
      </c>
      <c r="E287" s="4">
        <v>0.38541666666666702</v>
      </c>
      <c r="F287" s="3" t="s">
        <v>50</v>
      </c>
      <c r="G287" s="3" t="s">
        <v>51</v>
      </c>
      <c r="H287" s="3" t="s">
        <v>29</v>
      </c>
      <c r="I287" s="3" t="s">
        <v>30</v>
      </c>
      <c r="J287" s="3" t="s">
        <v>31</v>
      </c>
      <c r="K287" s="3" t="s">
        <v>52</v>
      </c>
      <c r="L287" s="5">
        <v>103</v>
      </c>
      <c r="M287" s="5">
        <f t="shared" ca="1" si="20"/>
        <v>45</v>
      </c>
      <c r="N287" s="6">
        <f t="shared" ca="1" si="21"/>
        <v>43.689320388349515</v>
      </c>
      <c r="O287" s="3" cm="1">
        <f t="array" aca="1" ref="O287" ca="1">IFERROR(LOOKUP(2, 1/((F$1:F286=F287)*(J$1:J286=J287)*(ROW(F$1:F286)&lt;ROW(F287))), N$1:N286), "")</f>
        <v>97.087378640776706</v>
      </c>
      <c r="P287" s="3">
        <f t="shared" si="24"/>
        <v>0</v>
      </c>
      <c r="Q287" s="3" t="s">
        <v>43</v>
      </c>
      <c r="R287" s="3" t="s">
        <v>40</v>
      </c>
      <c r="S287" s="3" t="str">
        <f t="shared" si="22"/>
        <v>No</v>
      </c>
      <c r="T287" s="3" t="s">
        <v>40</v>
      </c>
      <c r="U287" s="3" t="str">
        <f t="shared" si="23"/>
        <v>Rainy</v>
      </c>
      <c r="V287" s="3" t="s">
        <v>40</v>
      </c>
      <c r="W287" s="3" cm="1">
        <f t="array" ref="W287">_xlfn.IFS(
OR(F287="Selenium (Hands-on)",F287="Guest Lecture: HR Interview"),6,
OR(F287="Soft Skill",F287="Soft Skill (Examination)",F287="AWS Training",F287="AWS Session"),7,
OR(ISNUMBER(SEARCH("MAD",F287)),ISNUMBER(SEARCH("STQA",F287)),F287="CI/CD Session"),8,
OR(ISNUMBER(SEARCH("Cloud",F287)),F287="Industry Readiness Program",ISNUMBER(SEARCH("Talenlio",F287))),9,
OR(ISNUMBER(SEARCH("Innovation",F287)),F287="Mini Project"),10,
OR(ISNUMBER(SEARCH("Data Science",F287)),ISNUMBER(SEARCH("DS",F287))),11,
ISNUMBER(SEARCH("Generative AI",F287)),12
=_xlfn.IFS(
OR(F287="Selenium (Hands-on)",F287="Guest Lecture: HR Interview"),6,
OR(F287="Soft Skill",F287="Soft Skill (Examination)",F287="AWS Training",F287="AWS Session"),7,
OR(ISNUMBER(SEARCH("MAD",F287)),ISNUMBER(SEARCH("STQA",F287)),F287="CI/CD Session"),8,
OR(ISNUMBER(SEARCH("Cloud",F287)),F287="Industry Readiness Program",ISNUMBER(SEARCH("Talenlio",F287))),9,
OR(ISNUMBER(SEARCH("Innovation",F287)),F287="Mini Project"),10,
OR(ISNUMBER(SEARCH("Data Science",F287)),ISNUMBER(SEARCH("DS",F287))),11,
ISNUMBER(SEARCH("Generative AI",F287)),12
=_xlfn.IFS(
OR(F287="Selenium (Hands-on)",F287="Guest Lecture: HR Interview"),6,
OR(F287="Soft Skill",F287="Soft Skill (Examination)",F287="AWS Training",F287="AWS Session"),7,
OR(ISNUMBER(SEARCH("MAD",F287)),ISNUMBER(SEARCH("STQA",F287)),F287="CI/CD Session"),8,
OR(ISNUMBER(SEARCH("Cloud",F287)),F287="Industry Readiness Program",ISNUMBER(SEARCH("Talenlio",F287))),9,
OR(ISNUMBER(SEARCH("Innovation",F287)),F287="Mini Project"),10,
OR(ISNUMBER(SEARCH("Data Science",F287)),ISNUMBER(SEARCH("DS",F287))),11,
ISNUMBER(SEARCH("Generative AI",F287)),12
=_xlfn.IFS(
OR(F287="Selenium (Hands-on)",F287="Guest Lecture: HR Interview"),6,
OR(F287="Soft Skill",F287="Soft Skill (Examination)",F287="AWS Training",F287="AWS Session"),7,
OR(ISNUMBER(SEARCH("MAD",F287)),ISNUMBER(SEARCH("STQA",F287)),F287="CI/CD Session"),8,
OR(ISNUMBER(SEARCH("Cloud",F287)),F287="Industry Readiness Program",ISNUMBER(SEARCH("Talenlio",F287))),9,
OR(ISNUMBER(SEARCH("Innovation",F287)),F287="Mini Project"),10,
OR(ISNUMBER(SEARCH("Data Science",F287)),ISNUMBER(SEARCH("DS",F287))),11,
ISNUMBER(SEARCH("Generative AI",F287)),12
))))</f>
        <v>8</v>
      </c>
      <c r="X287" s="3">
        <v>10</v>
      </c>
      <c r="Y287" s="3">
        <v>65</v>
      </c>
      <c r="Z287" s="3" t="s">
        <v>35</v>
      </c>
    </row>
    <row r="288" spans="1:26" x14ac:dyDescent="0.3">
      <c r="A288" s="2">
        <v>46252</v>
      </c>
      <c r="B288" s="3" t="s">
        <v>39</v>
      </c>
      <c r="C288" s="3">
        <v>2</v>
      </c>
      <c r="D288" s="4">
        <v>0.38541666666666702</v>
      </c>
      <c r="E288" s="4">
        <v>0.42708333333333298</v>
      </c>
      <c r="F288" s="3" t="s">
        <v>50</v>
      </c>
      <c r="G288" s="3" t="s">
        <v>51</v>
      </c>
      <c r="H288" s="3" t="s">
        <v>29</v>
      </c>
      <c r="I288" s="3" t="s">
        <v>30</v>
      </c>
      <c r="J288" s="3" t="s">
        <v>31</v>
      </c>
      <c r="K288" s="3" t="s">
        <v>52</v>
      </c>
      <c r="L288" s="5">
        <v>103</v>
      </c>
      <c r="M288" s="5">
        <f t="shared" ca="1" si="20"/>
        <v>52</v>
      </c>
      <c r="N288" s="6">
        <f t="shared" ca="1" si="21"/>
        <v>50.485436893203882</v>
      </c>
      <c r="O288" s="3" cm="1">
        <f t="array" aca="1" ref="O288" ca="1">IFERROR(LOOKUP(2, 1/((F$1:F287=F288)*(J$1:J287=J288)*(ROW(F$1:F287)&lt;ROW(F288))), N$1:N287), "")</f>
        <v>43.689320388349515</v>
      </c>
      <c r="P288" s="3">
        <f t="shared" si="24"/>
        <v>0</v>
      </c>
      <c r="Q288" s="3" t="s">
        <v>43</v>
      </c>
      <c r="R288" s="3" t="s">
        <v>40</v>
      </c>
      <c r="S288" s="3" t="str">
        <f t="shared" si="22"/>
        <v>No</v>
      </c>
      <c r="T288" s="3" t="s">
        <v>40</v>
      </c>
      <c r="U288" s="3" t="str">
        <f t="shared" si="23"/>
        <v>Rainy</v>
      </c>
      <c r="V288" s="3" t="s">
        <v>40</v>
      </c>
      <c r="W288" s="3" cm="1">
        <f t="array" ref="W288">_xlfn.IFS(
OR(F288="Selenium (Hands-on)",F288="Guest Lecture: HR Interview"),6,
OR(F288="Soft Skill",F288="Soft Skill (Examination)",F288="AWS Training",F288="AWS Session"),7,
OR(ISNUMBER(SEARCH("MAD",F288)),ISNUMBER(SEARCH("STQA",F288)),F288="CI/CD Session"),8,
OR(ISNUMBER(SEARCH("Cloud",F288)),F288="Industry Readiness Program",ISNUMBER(SEARCH("Talenlio",F288))),9,
OR(ISNUMBER(SEARCH("Innovation",F288)),F288="Mini Project"),10,
OR(ISNUMBER(SEARCH("Data Science",F288)),ISNUMBER(SEARCH("DS",F288))),11,
ISNUMBER(SEARCH("Generative AI",F288)),12
=_xlfn.IFS(
OR(F288="Selenium (Hands-on)",F288="Guest Lecture: HR Interview"),6,
OR(F288="Soft Skill",F288="Soft Skill (Examination)",F288="AWS Training",F288="AWS Session"),7,
OR(ISNUMBER(SEARCH("MAD",F288)),ISNUMBER(SEARCH("STQA",F288)),F288="CI/CD Session"),8,
OR(ISNUMBER(SEARCH("Cloud",F288)),F288="Industry Readiness Program",ISNUMBER(SEARCH("Talenlio",F288))),9,
OR(ISNUMBER(SEARCH("Innovation",F288)),F288="Mini Project"),10,
OR(ISNUMBER(SEARCH("Data Science",F288)),ISNUMBER(SEARCH("DS",F288))),11,
ISNUMBER(SEARCH("Generative AI",F288)),12
=_xlfn.IFS(
OR(F288="Selenium (Hands-on)",F288="Guest Lecture: HR Interview"),6,
OR(F288="Soft Skill",F288="Soft Skill (Examination)",F288="AWS Training",F288="AWS Session"),7,
OR(ISNUMBER(SEARCH("MAD",F288)),ISNUMBER(SEARCH("STQA",F288)),F288="CI/CD Session"),8,
OR(ISNUMBER(SEARCH("Cloud",F288)),F288="Industry Readiness Program",ISNUMBER(SEARCH("Talenlio",F288))),9,
OR(ISNUMBER(SEARCH("Innovation",F288)),F288="Mini Project"),10,
OR(ISNUMBER(SEARCH("Data Science",F288)),ISNUMBER(SEARCH("DS",F288))),11,
ISNUMBER(SEARCH("Generative AI",F288)),12
=_xlfn.IFS(
OR(F288="Selenium (Hands-on)",F288="Guest Lecture: HR Interview"),6,
OR(F288="Soft Skill",F288="Soft Skill (Examination)",F288="AWS Training",F288="AWS Session"),7,
OR(ISNUMBER(SEARCH("MAD",F288)),ISNUMBER(SEARCH("STQA",F288)),F288="CI/CD Session"),8,
OR(ISNUMBER(SEARCH("Cloud",F288)),F288="Industry Readiness Program",ISNUMBER(SEARCH("Talenlio",F288))),9,
OR(ISNUMBER(SEARCH("Innovation",F288)),F288="Mini Project"),10,
OR(ISNUMBER(SEARCH("Data Science",F288)),ISNUMBER(SEARCH("DS",F288))),11,
ISNUMBER(SEARCH("Generative AI",F288)),12
))))</f>
        <v>8</v>
      </c>
      <c r="X288" s="3">
        <v>10</v>
      </c>
      <c r="Y288" s="3">
        <v>65</v>
      </c>
      <c r="Z288" s="3" t="s">
        <v>35</v>
      </c>
    </row>
    <row r="289" spans="1:26" x14ac:dyDescent="0.3">
      <c r="A289" s="2">
        <v>46252</v>
      </c>
      <c r="B289" s="3" t="s">
        <v>39</v>
      </c>
      <c r="C289" s="3">
        <v>3</v>
      </c>
      <c r="D289" s="4">
        <v>0.42708333333333298</v>
      </c>
      <c r="E289" s="4">
        <v>0.46875</v>
      </c>
      <c r="F289" s="3" t="s">
        <v>57</v>
      </c>
      <c r="G289" s="3" t="s">
        <v>71</v>
      </c>
      <c r="H289" s="3" t="s">
        <v>29</v>
      </c>
      <c r="I289" s="3" t="s">
        <v>30</v>
      </c>
      <c r="J289" s="3" t="s">
        <v>31</v>
      </c>
      <c r="K289" s="3" t="s">
        <v>52</v>
      </c>
      <c r="L289" s="5">
        <v>103</v>
      </c>
      <c r="M289" s="5">
        <f t="shared" ca="1" si="20"/>
        <v>70</v>
      </c>
      <c r="N289" s="6">
        <f t="shared" ca="1" si="21"/>
        <v>67.961165048543691</v>
      </c>
      <c r="O289" s="3" cm="1">
        <f t="array" aca="1" ref="O289" ca="1">IFERROR(LOOKUP(2, 1/((F$1:F288=F289)*(J$1:J288=J289)*(ROW(F$1:F288)&lt;ROW(F289))), N$1:N288), "")</f>
        <v>77.669902912621353</v>
      </c>
      <c r="P289" s="3">
        <f t="shared" si="24"/>
        <v>0</v>
      </c>
      <c r="Q289" s="3" t="s">
        <v>33</v>
      </c>
      <c r="R289" s="3" t="s">
        <v>40</v>
      </c>
      <c r="S289" s="3" t="str">
        <f t="shared" si="22"/>
        <v>No</v>
      </c>
      <c r="T289" s="3" t="s">
        <v>40</v>
      </c>
      <c r="U289" s="3" t="str">
        <f t="shared" si="23"/>
        <v>Rainy</v>
      </c>
      <c r="V289" s="3" t="s">
        <v>40</v>
      </c>
      <c r="W289" s="3" cm="1">
        <f t="array" ref="W289">_xlfn.IFS(
OR(F289="Selenium (Hands-on)",F289="Guest Lecture: HR Interview"),6,
OR(F289="Soft Skill",F289="Soft Skill (Examination)",F289="AWS Training",F289="AWS Session"),7,
OR(ISNUMBER(SEARCH("MAD",F289)),ISNUMBER(SEARCH("STQA",F289)),F289="CI/CD Session"),8,
OR(ISNUMBER(SEARCH("Cloud",F289)),F289="Industry Readiness Program",ISNUMBER(SEARCH("Talenlio",F289))),9,
OR(ISNUMBER(SEARCH("Innovation",F289)),F289="Mini Project"),10,
OR(ISNUMBER(SEARCH("Data Science",F289)),ISNUMBER(SEARCH("DS",F289))),11,
ISNUMBER(SEARCH("Generative AI",F289)),12
=_xlfn.IFS(
OR(F289="Selenium (Hands-on)",F289="Guest Lecture: HR Interview"),6,
OR(F289="Soft Skill",F289="Soft Skill (Examination)",F289="AWS Training",F289="AWS Session"),7,
OR(ISNUMBER(SEARCH("MAD",F289)),ISNUMBER(SEARCH("STQA",F289)),F289="CI/CD Session"),8,
OR(ISNUMBER(SEARCH("Cloud",F289)),F289="Industry Readiness Program",ISNUMBER(SEARCH("Talenlio",F289))),9,
OR(ISNUMBER(SEARCH("Innovation",F289)),F289="Mini Project"),10,
OR(ISNUMBER(SEARCH("Data Science",F289)),ISNUMBER(SEARCH("DS",F289))),11,
ISNUMBER(SEARCH("Generative AI",F289)),12
=_xlfn.IFS(
OR(F289="Selenium (Hands-on)",F289="Guest Lecture: HR Interview"),6,
OR(F289="Soft Skill",F289="Soft Skill (Examination)",F289="AWS Training",F289="AWS Session"),7,
OR(ISNUMBER(SEARCH("MAD",F289)),ISNUMBER(SEARCH("STQA",F289)),F289="CI/CD Session"),8,
OR(ISNUMBER(SEARCH("Cloud",F289)),F289="Industry Readiness Program",ISNUMBER(SEARCH("Talenlio",F289))),9,
OR(ISNUMBER(SEARCH("Innovation",F289)),F289="Mini Project"),10,
OR(ISNUMBER(SEARCH("Data Science",F289)),ISNUMBER(SEARCH("DS",F289))),11,
ISNUMBER(SEARCH("Generative AI",F289)),12
=_xlfn.IFS(
OR(F289="Selenium (Hands-on)",F289="Guest Lecture: HR Interview"),6,
OR(F289="Soft Skill",F289="Soft Skill (Examination)",F289="AWS Training",F289="AWS Session"),7,
OR(ISNUMBER(SEARCH("MAD",F289)),ISNUMBER(SEARCH("STQA",F289)),F289="CI/CD Session"),8,
OR(ISNUMBER(SEARCH("Cloud",F289)),F289="Industry Readiness Program",ISNUMBER(SEARCH("Talenlio",F289))),9,
OR(ISNUMBER(SEARCH("Innovation",F289)),F289="Mini Project"),10,
OR(ISNUMBER(SEARCH("Data Science",F289)),ISNUMBER(SEARCH("DS",F289))),11,
ISNUMBER(SEARCH("Generative AI",F289)),12
))))</f>
        <v>9</v>
      </c>
      <c r="X289" s="3">
        <v>10</v>
      </c>
      <c r="Y289" s="3">
        <v>65</v>
      </c>
      <c r="Z289" s="3" t="s">
        <v>35</v>
      </c>
    </row>
    <row r="290" spans="1:26" x14ac:dyDescent="0.3">
      <c r="A290" s="2">
        <v>46252</v>
      </c>
      <c r="B290" s="3" t="s">
        <v>39</v>
      </c>
      <c r="C290" s="3">
        <v>4</v>
      </c>
      <c r="D290" s="4">
        <v>0.46875</v>
      </c>
      <c r="E290" s="4">
        <v>0.51041666666666696</v>
      </c>
      <c r="F290" s="3" t="s">
        <v>59</v>
      </c>
      <c r="G290" s="3" t="s">
        <v>73</v>
      </c>
      <c r="H290" s="3" t="s">
        <v>29</v>
      </c>
      <c r="I290" s="3" t="s">
        <v>30</v>
      </c>
      <c r="J290" s="3" t="s">
        <v>31</v>
      </c>
      <c r="K290" s="3" t="s">
        <v>52</v>
      </c>
      <c r="L290" s="5">
        <v>103</v>
      </c>
      <c r="M290" s="5">
        <f t="shared" ca="1" si="20"/>
        <v>67</v>
      </c>
      <c r="N290" s="6">
        <f t="shared" ca="1" si="21"/>
        <v>65.048543689320397</v>
      </c>
      <c r="O290" s="3" cm="1">
        <f t="array" aca="1" ref="O290" ca="1">IFERROR(LOOKUP(2, 1/((F$1:F289=F290)*(J$1:J289=J290)*(ROW(F$1:F289)&lt;ROW(F290))), N$1:N289), "")</f>
        <v>96.116504854368941</v>
      </c>
      <c r="P290" s="3">
        <f t="shared" si="24"/>
        <v>0</v>
      </c>
      <c r="Q290" s="3" t="s">
        <v>33</v>
      </c>
      <c r="R290" s="3" t="s">
        <v>40</v>
      </c>
      <c r="S290" s="3" t="str">
        <f t="shared" si="22"/>
        <v>No</v>
      </c>
      <c r="T290" s="3" t="s">
        <v>40</v>
      </c>
      <c r="U290" s="3" t="str">
        <f t="shared" si="23"/>
        <v>Rainy</v>
      </c>
      <c r="V290" s="3" t="s">
        <v>40</v>
      </c>
      <c r="W290" s="3" cm="1">
        <f t="array" ref="W290">_xlfn.IFS(
OR(F290="Selenium (Hands-on)",F290="Guest Lecture: HR Interview"),6,
OR(F290="Soft Skill",F290="Soft Skill (Examination)",F290="AWS Training",F290="AWS Session"),7,
OR(ISNUMBER(SEARCH("MAD",F290)),ISNUMBER(SEARCH("STQA",F290)),F290="CI/CD Session"),8,
OR(ISNUMBER(SEARCH("Cloud",F290)),F290="Industry Readiness Program",ISNUMBER(SEARCH("Talenlio",F290))),9,
OR(ISNUMBER(SEARCH("Innovation",F290)),F290="Mini Project"),10,
OR(ISNUMBER(SEARCH("Data Science",F290)),ISNUMBER(SEARCH("DS",F290))),11,
ISNUMBER(SEARCH("Generative AI",F290)),12
=_xlfn.IFS(
OR(F290="Selenium (Hands-on)",F290="Guest Lecture: HR Interview"),6,
OR(F290="Soft Skill",F290="Soft Skill (Examination)",F290="AWS Training",F290="AWS Session"),7,
OR(ISNUMBER(SEARCH("MAD",F290)),ISNUMBER(SEARCH("STQA",F290)),F290="CI/CD Session"),8,
OR(ISNUMBER(SEARCH("Cloud",F290)),F290="Industry Readiness Program",ISNUMBER(SEARCH("Talenlio",F290))),9,
OR(ISNUMBER(SEARCH("Innovation",F290)),F290="Mini Project"),10,
OR(ISNUMBER(SEARCH("Data Science",F290)),ISNUMBER(SEARCH("DS",F290))),11,
ISNUMBER(SEARCH("Generative AI",F290)),12
=_xlfn.IFS(
OR(F290="Selenium (Hands-on)",F290="Guest Lecture: HR Interview"),6,
OR(F290="Soft Skill",F290="Soft Skill (Examination)",F290="AWS Training",F290="AWS Session"),7,
OR(ISNUMBER(SEARCH("MAD",F290)),ISNUMBER(SEARCH("STQA",F290)),F290="CI/CD Session"),8,
OR(ISNUMBER(SEARCH("Cloud",F290)),F290="Industry Readiness Program",ISNUMBER(SEARCH("Talenlio",F290))),9,
OR(ISNUMBER(SEARCH("Innovation",F290)),F290="Mini Project"),10,
OR(ISNUMBER(SEARCH("Data Science",F290)),ISNUMBER(SEARCH("DS",F290))),11,
ISNUMBER(SEARCH("Generative AI",F290)),12
=_xlfn.IFS(
OR(F290="Selenium (Hands-on)",F290="Guest Lecture: HR Interview"),6,
OR(F290="Soft Skill",F290="Soft Skill (Examination)",F290="AWS Training",F290="AWS Session"),7,
OR(ISNUMBER(SEARCH("MAD",F290)),ISNUMBER(SEARCH("STQA",F290)),F290="CI/CD Session"),8,
OR(ISNUMBER(SEARCH("Cloud",F290)),F290="Industry Readiness Program",ISNUMBER(SEARCH("Talenlio",F290))),9,
OR(ISNUMBER(SEARCH("Innovation",F290)),F290="Mini Project"),10,
OR(ISNUMBER(SEARCH("Data Science",F290)),ISNUMBER(SEARCH("DS",F290))),11,
ISNUMBER(SEARCH("Generative AI",F290)),12
))))</f>
        <v>11</v>
      </c>
      <c r="X290" s="3">
        <v>10</v>
      </c>
      <c r="Y290" s="3">
        <v>65</v>
      </c>
      <c r="Z290" s="3" t="s">
        <v>35</v>
      </c>
    </row>
    <row r="291" spans="1:26" x14ac:dyDescent="0.3">
      <c r="A291" s="2">
        <v>46252</v>
      </c>
      <c r="B291" s="3" t="s">
        <v>39</v>
      </c>
      <c r="C291" s="3">
        <v>5</v>
      </c>
      <c r="D291" s="4">
        <v>0.5625</v>
      </c>
      <c r="E291" s="4">
        <v>0.60416666666666696</v>
      </c>
      <c r="F291" s="3" t="s">
        <v>81</v>
      </c>
      <c r="G291" s="3" t="s">
        <v>289</v>
      </c>
      <c r="H291" s="3" t="s">
        <v>29</v>
      </c>
      <c r="I291" s="3" t="s">
        <v>30</v>
      </c>
      <c r="J291" s="3" t="s">
        <v>31</v>
      </c>
      <c r="K291" s="3" t="s">
        <v>52</v>
      </c>
      <c r="L291" s="5">
        <v>103</v>
      </c>
      <c r="M291" s="5">
        <f t="shared" ca="1" si="20"/>
        <v>71</v>
      </c>
      <c r="N291" s="6">
        <f t="shared" ca="1" si="21"/>
        <v>68.932038834951456</v>
      </c>
      <c r="O291" s="3" cm="1">
        <f t="array" aca="1" ref="O291" ca="1">IFERROR(LOOKUP(2, 1/((F$1:F290=F291)*(J$1:J290=J291)*(ROW(F$1:F290)&lt;ROW(F291))), N$1:N290), "")</f>
        <v>53.398058252427184</v>
      </c>
      <c r="P291" s="3">
        <f t="shared" si="24"/>
        <v>1.25</v>
      </c>
      <c r="Q291" s="3" t="s">
        <v>43</v>
      </c>
      <c r="R291" s="3" t="s">
        <v>40</v>
      </c>
      <c r="S291" s="3" t="str">
        <f t="shared" si="22"/>
        <v>No</v>
      </c>
      <c r="T291" s="3" t="s">
        <v>40</v>
      </c>
      <c r="U291" s="3" t="str">
        <f t="shared" si="23"/>
        <v>Rainy</v>
      </c>
      <c r="V291" s="3" t="s">
        <v>40</v>
      </c>
      <c r="W291" s="3" cm="1">
        <f t="array" ref="W291">_xlfn.IFS(
OR(F291="Selenium (Hands-on)",F291="Guest Lecture: HR Interview"),6,
OR(F291="Soft Skill",F291="Soft Skill (Examination)",F291="AWS Training",F291="AWS Session"),7,
OR(ISNUMBER(SEARCH("MAD",F291)),ISNUMBER(SEARCH("STQA",F291)),F291="CI/CD Session"),8,
OR(ISNUMBER(SEARCH("Cloud",F291)),F291="Industry Readiness Program",ISNUMBER(SEARCH("Talenlio",F291))),9,
OR(ISNUMBER(SEARCH("Innovation",F291)),F291="Mini Project"),10,
OR(ISNUMBER(SEARCH("Data Science",F291)),ISNUMBER(SEARCH("DS",F291))),11,
ISNUMBER(SEARCH("Generative AI",F291)),12
=_xlfn.IFS(
OR(F291="Selenium (Hands-on)",F291="Guest Lecture: HR Interview"),6,
OR(F291="Soft Skill",F291="Soft Skill (Examination)",F291="AWS Training",F291="AWS Session"),7,
OR(ISNUMBER(SEARCH("MAD",F291)),ISNUMBER(SEARCH("STQA",F291)),F291="CI/CD Session"),8,
OR(ISNUMBER(SEARCH("Cloud",F291)),F291="Industry Readiness Program",ISNUMBER(SEARCH("Talenlio",F291))),9,
OR(ISNUMBER(SEARCH("Innovation",F291)),F291="Mini Project"),10,
OR(ISNUMBER(SEARCH("Data Science",F291)),ISNUMBER(SEARCH("DS",F291))),11,
ISNUMBER(SEARCH("Generative AI",F291)),12
=_xlfn.IFS(
OR(F291="Selenium (Hands-on)",F291="Guest Lecture: HR Interview"),6,
OR(F291="Soft Skill",F291="Soft Skill (Examination)",F291="AWS Training",F291="AWS Session"),7,
OR(ISNUMBER(SEARCH("MAD",F291)),ISNUMBER(SEARCH("STQA",F291)),F291="CI/CD Session"),8,
OR(ISNUMBER(SEARCH("Cloud",F291)),F291="Industry Readiness Program",ISNUMBER(SEARCH("Talenlio",F291))),9,
OR(ISNUMBER(SEARCH("Innovation",F291)),F291="Mini Project"),10,
OR(ISNUMBER(SEARCH("Data Science",F291)),ISNUMBER(SEARCH("DS",F291))),11,
ISNUMBER(SEARCH("Generative AI",F291)),12
=_xlfn.IFS(
OR(F291="Selenium (Hands-on)",F291="Guest Lecture: HR Interview"),6,
OR(F291="Soft Skill",F291="Soft Skill (Examination)",F291="AWS Training",F291="AWS Session"),7,
OR(ISNUMBER(SEARCH("MAD",F291)),ISNUMBER(SEARCH("STQA",F291)),F291="CI/CD Session"),8,
OR(ISNUMBER(SEARCH("Cloud",F291)),F291="Industry Readiness Program",ISNUMBER(SEARCH("Talenlio",F291))),9,
OR(ISNUMBER(SEARCH("Innovation",F291)),F291="Mini Project"),10,
OR(ISNUMBER(SEARCH("Data Science",F291)),ISNUMBER(SEARCH("DS",F291))),11,
ISNUMBER(SEARCH("Generative AI",F291)),12
))))</f>
        <v>7</v>
      </c>
      <c r="X291" s="3">
        <v>10</v>
      </c>
      <c r="Y291" s="3">
        <v>65</v>
      </c>
      <c r="Z291" s="3" t="s">
        <v>38</v>
      </c>
    </row>
    <row r="292" spans="1:26" x14ac:dyDescent="0.3">
      <c r="A292" s="2">
        <v>46252</v>
      </c>
      <c r="B292" s="3" t="s">
        <v>39</v>
      </c>
      <c r="C292" s="3">
        <v>6</v>
      </c>
      <c r="D292" s="4">
        <v>0.60416666666666696</v>
      </c>
      <c r="E292" s="4">
        <v>0.64583333333333304</v>
      </c>
      <c r="F292" s="3" t="s">
        <v>81</v>
      </c>
      <c r="G292" s="3" t="s">
        <v>289</v>
      </c>
      <c r="H292" s="3" t="s">
        <v>29</v>
      </c>
      <c r="I292" s="3" t="s">
        <v>30</v>
      </c>
      <c r="J292" s="3" t="s">
        <v>31</v>
      </c>
      <c r="K292" s="3" t="s">
        <v>52</v>
      </c>
      <c r="L292" s="5">
        <v>103</v>
      </c>
      <c r="M292" s="5">
        <f t="shared" ca="1" si="20"/>
        <v>75</v>
      </c>
      <c r="N292" s="6">
        <f t="shared" ca="1" si="21"/>
        <v>72.815533980582529</v>
      </c>
      <c r="O292" s="3" cm="1">
        <f t="array" aca="1" ref="O292" ca="1">IFERROR(LOOKUP(2, 1/((F$1:F291=F292)*(J$1:J291=J292)*(ROW(F$1:F291)&lt;ROW(F292))), N$1:N291), "")</f>
        <v>68.932038834951456</v>
      </c>
      <c r="P292" s="3">
        <f t="shared" si="24"/>
        <v>0</v>
      </c>
      <c r="Q292" s="3" t="s">
        <v>43</v>
      </c>
      <c r="R292" s="3" t="s">
        <v>40</v>
      </c>
      <c r="S292" s="3" t="str">
        <f t="shared" si="22"/>
        <v>No</v>
      </c>
      <c r="T292" s="3" t="s">
        <v>40</v>
      </c>
      <c r="U292" s="3" t="str">
        <f t="shared" si="23"/>
        <v>Rainy</v>
      </c>
      <c r="V292" s="3" t="s">
        <v>40</v>
      </c>
      <c r="W292" s="3" cm="1">
        <f t="array" ref="W292">_xlfn.IFS(
OR(F292="Selenium (Hands-on)",F292="Guest Lecture: HR Interview"),6,
OR(F292="Soft Skill",F292="Soft Skill (Examination)",F292="AWS Training",F292="AWS Session"),7,
OR(ISNUMBER(SEARCH("MAD",F292)),ISNUMBER(SEARCH("STQA",F292)),F292="CI/CD Session"),8,
OR(ISNUMBER(SEARCH("Cloud",F292)),F292="Industry Readiness Program",ISNUMBER(SEARCH("Talenlio",F292))),9,
OR(ISNUMBER(SEARCH("Innovation",F292)),F292="Mini Project"),10,
OR(ISNUMBER(SEARCH("Data Science",F292)),ISNUMBER(SEARCH("DS",F292))),11,
ISNUMBER(SEARCH("Generative AI",F292)),12
=_xlfn.IFS(
OR(F292="Selenium (Hands-on)",F292="Guest Lecture: HR Interview"),6,
OR(F292="Soft Skill",F292="Soft Skill (Examination)",F292="AWS Training",F292="AWS Session"),7,
OR(ISNUMBER(SEARCH("MAD",F292)),ISNUMBER(SEARCH("STQA",F292)),F292="CI/CD Session"),8,
OR(ISNUMBER(SEARCH("Cloud",F292)),F292="Industry Readiness Program",ISNUMBER(SEARCH("Talenlio",F292))),9,
OR(ISNUMBER(SEARCH("Innovation",F292)),F292="Mini Project"),10,
OR(ISNUMBER(SEARCH("Data Science",F292)),ISNUMBER(SEARCH("DS",F292))),11,
ISNUMBER(SEARCH("Generative AI",F292)),12
=_xlfn.IFS(
OR(F292="Selenium (Hands-on)",F292="Guest Lecture: HR Interview"),6,
OR(F292="Soft Skill",F292="Soft Skill (Examination)",F292="AWS Training",F292="AWS Session"),7,
OR(ISNUMBER(SEARCH("MAD",F292)),ISNUMBER(SEARCH("STQA",F292)),F292="CI/CD Session"),8,
OR(ISNUMBER(SEARCH("Cloud",F292)),F292="Industry Readiness Program",ISNUMBER(SEARCH("Talenlio",F292))),9,
OR(ISNUMBER(SEARCH("Innovation",F292)),F292="Mini Project"),10,
OR(ISNUMBER(SEARCH("Data Science",F292)),ISNUMBER(SEARCH("DS",F292))),11,
ISNUMBER(SEARCH("Generative AI",F292)),12
=_xlfn.IFS(
OR(F292="Selenium (Hands-on)",F292="Guest Lecture: HR Interview"),6,
OR(F292="Soft Skill",F292="Soft Skill (Examination)",F292="AWS Training",F292="AWS Session"),7,
OR(ISNUMBER(SEARCH("MAD",F292)),ISNUMBER(SEARCH("STQA",F292)),F292="CI/CD Session"),8,
OR(ISNUMBER(SEARCH("Cloud",F292)),F292="Industry Readiness Program",ISNUMBER(SEARCH("Talenlio",F292))),9,
OR(ISNUMBER(SEARCH("Innovation",F292)),F292="Mini Project"),10,
OR(ISNUMBER(SEARCH("Data Science",F292)),ISNUMBER(SEARCH("DS",F292))),11,
ISNUMBER(SEARCH("Generative AI",F292)),12
))))</f>
        <v>7</v>
      </c>
      <c r="X292" s="3">
        <v>10</v>
      </c>
      <c r="Y292" s="3">
        <v>65</v>
      </c>
      <c r="Z292" s="3" t="s">
        <v>38</v>
      </c>
    </row>
    <row r="293" spans="1:26" x14ac:dyDescent="0.3">
      <c r="A293" s="2">
        <v>46252</v>
      </c>
      <c r="B293" s="3" t="s">
        <v>39</v>
      </c>
      <c r="C293" s="3">
        <v>7</v>
      </c>
      <c r="D293" s="4">
        <v>0.64583333333333304</v>
      </c>
      <c r="E293" s="4">
        <v>0.6875</v>
      </c>
      <c r="F293" s="3" t="s">
        <v>81</v>
      </c>
      <c r="G293" s="3" t="s">
        <v>289</v>
      </c>
      <c r="H293" s="3" t="s">
        <v>29</v>
      </c>
      <c r="I293" s="3" t="s">
        <v>30</v>
      </c>
      <c r="J293" s="3" t="s">
        <v>31</v>
      </c>
      <c r="K293" s="3" t="s">
        <v>52</v>
      </c>
      <c r="L293" s="5">
        <v>103</v>
      </c>
      <c r="M293" s="5">
        <f t="shared" ca="1" si="20"/>
        <v>81</v>
      </c>
      <c r="N293" s="6">
        <f t="shared" ca="1" si="21"/>
        <v>78.640776699029118</v>
      </c>
      <c r="O293" s="3" cm="1">
        <f t="array" aca="1" ref="O293" ca="1">IFERROR(LOOKUP(2, 1/((F$1:F292=F293)*(J$1:J292=J293)*(ROW(F$1:F292)&lt;ROW(F293))), N$1:N292), "")</f>
        <v>72.815533980582529</v>
      </c>
      <c r="P293" s="3">
        <f t="shared" si="24"/>
        <v>0</v>
      </c>
      <c r="Q293" s="3" t="s">
        <v>43</v>
      </c>
      <c r="R293" s="3" t="s">
        <v>40</v>
      </c>
      <c r="S293" s="3" t="str">
        <f t="shared" si="22"/>
        <v>No</v>
      </c>
      <c r="T293" s="3" t="s">
        <v>40</v>
      </c>
      <c r="U293" s="3" t="str">
        <f t="shared" si="23"/>
        <v>Rainy</v>
      </c>
      <c r="V293" s="3" t="s">
        <v>40</v>
      </c>
      <c r="W293" s="3" cm="1">
        <f t="array" ref="W293">_xlfn.IFS(
OR(F293="Selenium (Hands-on)",F293="Guest Lecture: HR Interview"),6,
OR(F293="Soft Skill",F293="Soft Skill (Examination)",F293="AWS Training",F293="AWS Session"),7,
OR(ISNUMBER(SEARCH("MAD",F293)),ISNUMBER(SEARCH("STQA",F293)),F293="CI/CD Session"),8,
OR(ISNUMBER(SEARCH("Cloud",F293)),F293="Industry Readiness Program",ISNUMBER(SEARCH("Talenlio",F293))),9,
OR(ISNUMBER(SEARCH("Innovation",F293)),F293="Mini Project"),10,
OR(ISNUMBER(SEARCH("Data Science",F293)),ISNUMBER(SEARCH("DS",F293))),11,
ISNUMBER(SEARCH("Generative AI",F293)),12
=_xlfn.IFS(
OR(F293="Selenium (Hands-on)",F293="Guest Lecture: HR Interview"),6,
OR(F293="Soft Skill",F293="Soft Skill (Examination)",F293="AWS Training",F293="AWS Session"),7,
OR(ISNUMBER(SEARCH("MAD",F293)),ISNUMBER(SEARCH("STQA",F293)),F293="CI/CD Session"),8,
OR(ISNUMBER(SEARCH("Cloud",F293)),F293="Industry Readiness Program",ISNUMBER(SEARCH("Talenlio",F293))),9,
OR(ISNUMBER(SEARCH("Innovation",F293)),F293="Mini Project"),10,
OR(ISNUMBER(SEARCH("Data Science",F293)),ISNUMBER(SEARCH("DS",F293))),11,
ISNUMBER(SEARCH("Generative AI",F293)),12
=_xlfn.IFS(
OR(F293="Selenium (Hands-on)",F293="Guest Lecture: HR Interview"),6,
OR(F293="Soft Skill",F293="Soft Skill (Examination)",F293="AWS Training",F293="AWS Session"),7,
OR(ISNUMBER(SEARCH("MAD",F293)),ISNUMBER(SEARCH("STQA",F293)),F293="CI/CD Session"),8,
OR(ISNUMBER(SEARCH("Cloud",F293)),F293="Industry Readiness Program",ISNUMBER(SEARCH("Talenlio",F293))),9,
OR(ISNUMBER(SEARCH("Innovation",F293)),F293="Mini Project"),10,
OR(ISNUMBER(SEARCH("Data Science",F293)),ISNUMBER(SEARCH("DS",F293))),11,
ISNUMBER(SEARCH("Generative AI",F293)),12
=_xlfn.IFS(
OR(F293="Selenium (Hands-on)",F293="Guest Lecture: HR Interview"),6,
OR(F293="Soft Skill",F293="Soft Skill (Examination)",F293="AWS Training",F293="AWS Session"),7,
OR(ISNUMBER(SEARCH("MAD",F293)),ISNUMBER(SEARCH("STQA",F293)),F293="CI/CD Session"),8,
OR(ISNUMBER(SEARCH("Cloud",F293)),F293="Industry Readiness Program",ISNUMBER(SEARCH("Talenlio",F293))),9,
OR(ISNUMBER(SEARCH("Innovation",F293)),F293="Mini Project"),10,
OR(ISNUMBER(SEARCH("Data Science",F293)),ISNUMBER(SEARCH("DS",F293))),11,
ISNUMBER(SEARCH("Generative AI",F293)),12
))))</f>
        <v>7</v>
      </c>
      <c r="X293" s="3">
        <v>10</v>
      </c>
      <c r="Y293" s="3">
        <v>65</v>
      </c>
      <c r="Z293" s="3" t="s">
        <v>38</v>
      </c>
    </row>
    <row r="294" spans="1:26" x14ac:dyDescent="0.3">
      <c r="A294" s="2">
        <v>46253</v>
      </c>
      <c r="B294" s="3" t="s">
        <v>44</v>
      </c>
      <c r="C294" s="3">
        <v>1</v>
      </c>
      <c r="D294" s="4">
        <v>0.35416666666666702</v>
      </c>
      <c r="E294" s="4">
        <v>0.38541666666666702</v>
      </c>
      <c r="F294" s="3" t="s">
        <v>50</v>
      </c>
      <c r="G294" s="3" t="s">
        <v>51</v>
      </c>
      <c r="H294" s="3" t="s">
        <v>29</v>
      </c>
      <c r="I294" s="3" t="s">
        <v>30</v>
      </c>
      <c r="J294" s="3" t="s">
        <v>31</v>
      </c>
      <c r="K294" s="3" t="s">
        <v>52</v>
      </c>
      <c r="L294" s="5">
        <v>103</v>
      </c>
      <c r="M294" s="5">
        <f t="shared" ca="1" si="20"/>
        <v>46</v>
      </c>
      <c r="N294" s="6">
        <f t="shared" ca="1" si="21"/>
        <v>44.660194174757287</v>
      </c>
      <c r="O294" s="3" cm="1">
        <f t="array" aca="1" ref="O294" ca="1">IFERROR(LOOKUP(2, 1/((F$1:F293=F294)*(J$1:J293=J294)*(ROW(F$1:F293)&lt;ROW(F294))), N$1:N293), "")</f>
        <v>50.485436893203882</v>
      </c>
      <c r="P294" s="3">
        <f t="shared" si="24"/>
        <v>0</v>
      </c>
      <c r="Q294" s="3" t="s">
        <v>43</v>
      </c>
      <c r="R294" s="3" t="s">
        <v>40</v>
      </c>
      <c r="S294" s="3" t="str">
        <f t="shared" si="22"/>
        <v>No</v>
      </c>
      <c r="T294" s="3" t="s">
        <v>40</v>
      </c>
      <c r="U294" s="3" t="str">
        <f t="shared" si="23"/>
        <v>Rainy</v>
      </c>
      <c r="V294" s="3" t="s">
        <v>40</v>
      </c>
      <c r="W294" s="3" cm="1">
        <f t="array" ref="W294">_xlfn.IFS(
OR(F294="Selenium (Hands-on)",F294="Guest Lecture: HR Interview"),6,
OR(F294="Soft Skill",F294="Soft Skill (Examination)",F294="AWS Training",F294="AWS Session"),7,
OR(ISNUMBER(SEARCH("MAD",F294)),ISNUMBER(SEARCH("STQA",F294)),F294="CI/CD Session"),8,
OR(ISNUMBER(SEARCH("Cloud",F294)),F294="Industry Readiness Program",ISNUMBER(SEARCH("Talenlio",F294))),9,
OR(ISNUMBER(SEARCH("Innovation",F294)),F294="Mini Project"),10,
OR(ISNUMBER(SEARCH("Data Science",F294)),ISNUMBER(SEARCH("DS",F294))),11,
ISNUMBER(SEARCH("Generative AI",F294)),12
=_xlfn.IFS(
OR(F294="Selenium (Hands-on)",F294="Guest Lecture: HR Interview"),6,
OR(F294="Soft Skill",F294="Soft Skill (Examination)",F294="AWS Training",F294="AWS Session"),7,
OR(ISNUMBER(SEARCH("MAD",F294)),ISNUMBER(SEARCH("STQA",F294)),F294="CI/CD Session"),8,
OR(ISNUMBER(SEARCH("Cloud",F294)),F294="Industry Readiness Program",ISNUMBER(SEARCH("Talenlio",F294))),9,
OR(ISNUMBER(SEARCH("Innovation",F294)),F294="Mini Project"),10,
OR(ISNUMBER(SEARCH("Data Science",F294)),ISNUMBER(SEARCH("DS",F294))),11,
ISNUMBER(SEARCH("Generative AI",F294)),12
=_xlfn.IFS(
OR(F294="Selenium (Hands-on)",F294="Guest Lecture: HR Interview"),6,
OR(F294="Soft Skill",F294="Soft Skill (Examination)",F294="AWS Training",F294="AWS Session"),7,
OR(ISNUMBER(SEARCH("MAD",F294)),ISNUMBER(SEARCH("STQA",F294)),F294="CI/CD Session"),8,
OR(ISNUMBER(SEARCH("Cloud",F294)),F294="Industry Readiness Program",ISNUMBER(SEARCH("Talenlio",F294))),9,
OR(ISNUMBER(SEARCH("Innovation",F294)),F294="Mini Project"),10,
OR(ISNUMBER(SEARCH("Data Science",F294)),ISNUMBER(SEARCH("DS",F294))),11,
ISNUMBER(SEARCH("Generative AI",F294)),12
=_xlfn.IFS(
OR(F294="Selenium (Hands-on)",F294="Guest Lecture: HR Interview"),6,
OR(F294="Soft Skill",F294="Soft Skill (Examination)",F294="AWS Training",F294="AWS Session"),7,
OR(ISNUMBER(SEARCH("MAD",F294)),ISNUMBER(SEARCH("STQA",F294)),F294="CI/CD Session"),8,
OR(ISNUMBER(SEARCH("Cloud",F294)),F294="Industry Readiness Program",ISNUMBER(SEARCH("Talenlio",F294))),9,
OR(ISNUMBER(SEARCH("Innovation",F294)),F294="Mini Project"),10,
OR(ISNUMBER(SEARCH("Data Science",F294)),ISNUMBER(SEARCH("DS",F294))),11,
ISNUMBER(SEARCH("Generative AI",F294)),12
))))</f>
        <v>8</v>
      </c>
      <c r="X294" s="3">
        <v>10</v>
      </c>
      <c r="Y294" s="3">
        <v>66</v>
      </c>
      <c r="Z294" s="3" t="s">
        <v>35</v>
      </c>
    </row>
    <row r="295" spans="1:26" x14ac:dyDescent="0.3">
      <c r="A295" s="2">
        <v>46253</v>
      </c>
      <c r="B295" s="3" t="s">
        <v>44</v>
      </c>
      <c r="C295" s="3">
        <v>2</v>
      </c>
      <c r="D295" s="4">
        <v>0.38541666666666702</v>
      </c>
      <c r="E295" s="4">
        <v>0.42708333333333298</v>
      </c>
      <c r="F295" s="3" t="s">
        <v>50</v>
      </c>
      <c r="G295" s="3" t="s">
        <v>51</v>
      </c>
      <c r="H295" s="3" t="s">
        <v>29</v>
      </c>
      <c r="I295" s="3" t="s">
        <v>30</v>
      </c>
      <c r="J295" s="3" t="s">
        <v>31</v>
      </c>
      <c r="K295" s="3" t="s">
        <v>52</v>
      </c>
      <c r="L295" s="5">
        <v>103</v>
      </c>
      <c r="M295" s="5">
        <f t="shared" ca="1" si="20"/>
        <v>68</v>
      </c>
      <c r="N295" s="6">
        <f t="shared" ca="1" si="21"/>
        <v>66.019417475728162</v>
      </c>
      <c r="O295" s="3" cm="1">
        <f t="array" aca="1" ref="O295" ca="1">IFERROR(LOOKUP(2, 1/((F$1:F294=F295)*(J$1:J294=J295)*(ROW(F$1:F294)&lt;ROW(F295))), N$1:N294), "")</f>
        <v>44.660194174757287</v>
      </c>
      <c r="P295" s="3">
        <f t="shared" si="24"/>
        <v>0</v>
      </c>
      <c r="Q295" s="3" t="s">
        <v>43</v>
      </c>
      <c r="R295" s="3" t="s">
        <v>40</v>
      </c>
      <c r="S295" s="3" t="str">
        <f t="shared" si="22"/>
        <v>No</v>
      </c>
      <c r="T295" s="3" t="s">
        <v>40</v>
      </c>
      <c r="U295" s="3" t="str">
        <f t="shared" si="23"/>
        <v>Rainy</v>
      </c>
      <c r="V295" s="3" t="s">
        <v>40</v>
      </c>
      <c r="W295" s="3" cm="1">
        <f t="array" ref="W295">_xlfn.IFS(
OR(F295="Selenium (Hands-on)",F295="Guest Lecture: HR Interview"),6,
OR(F295="Soft Skill",F295="Soft Skill (Examination)",F295="AWS Training",F295="AWS Session"),7,
OR(ISNUMBER(SEARCH("MAD",F295)),ISNUMBER(SEARCH("STQA",F295)),F295="CI/CD Session"),8,
OR(ISNUMBER(SEARCH("Cloud",F295)),F295="Industry Readiness Program",ISNUMBER(SEARCH("Talenlio",F295))),9,
OR(ISNUMBER(SEARCH("Innovation",F295)),F295="Mini Project"),10,
OR(ISNUMBER(SEARCH("Data Science",F295)),ISNUMBER(SEARCH("DS",F295))),11,
ISNUMBER(SEARCH("Generative AI",F295)),12
=_xlfn.IFS(
OR(F295="Selenium (Hands-on)",F295="Guest Lecture: HR Interview"),6,
OR(F295="Soft Skill",F295="Soft Skill (Examination)",F295="AWS Training",F295="AWS Session"),7,
OR(ISNUMBER(SEARCH("MAD",F295)),ISNUMBER(SEARCH("STQA",F295)),F295="CI/CD Session"),8,
OR(ISNUMBER(SEARCH("Cloud",F295)),F295="Industry Readiness Program",ISNUMBER(SEARCH("Talenlio",F295))),9,
OR(ISNUMBER(SEARCH("Innovation",F295)),F295="Mini Project"),10,
OR(ISNUMBER(SEARCH("Data Science",F295)),ISNUMBER(SEARCH("DS",F295))),11,
ISNUMBER(SEARCH("Generative AI",F295)),12
=_xlfn.IFS(
OR(F295="Selenium (Hands-on)",F295="Guest Lecture: HR Interview"),6,
OR(F295="Soft Skill",F295="Soft Skill (Examination)",F295="AWS Training",F295="AWS Session"),7,
OR(ISNUMBER(SEARCH("MAD",F295)),ISNUMBER(SEARCH("STQA",F295)),F295="CI/CD Session"),8,
OR(ISNUMBER(SEARCH("Cloud",F295)),F295="Industry Readiness Program",ISNUMBER(SEARCH("Talenlio",F295))),9,
OR(ISNUMBER(SEARCH("Innovation",F295)),F295="Mini Project"),10,
OR(ISNUMBER(SEARCH("Data Science",F295)),ISNUMBER(SEARCH("DS",F295))),11,
ISNUMBER(SEARCH("Generative AI",F295)),12
=_xlfn.IFS(
OR(F295="Selenium (Hands-on)",F295="Guest Lecture: HR Interview"),6,
OR(F295="Soft Skill",F295="Soft Skill (Examination)",F295="AWS Training",F295="AWS Session"),7,
OR(ISNUMBER(SEARCH("MAD",F295)),ISNUMBER(SEARCH("STQA",F295)),F295="CI/CD Session"),8,
OR(ISNUMBER(SEARCH("Cloud",F295)),F295="Industry Readiness Program",ISNUMBER(SEARCH("Talenlio",F295))),9,
OR(ISNUMBER(SEARCH("Innovation",F295)),F295="Mini Project"),10,
OR(ISNUMBER(SEARCH("Data Science",F295)),ISNUMBER(SEARCH("DS",F295))),11,
ISNUMBER(SEARCH("Generative AI",F295)),12
))))</f>
        <v>8</v>
      </c>
      <c r="X295" s="3">
        <v>10</v>
      </c>
      <c r="Y295" s="3">
        <v>66</v>
      </c>
      <c r="Z295" s="3" t="s">
        <v>35</v>
      </c>
    </row>
    <row r="296" spans="1:26" x14ac:dyDescent="0.3">
      <c r="A296" s="2">
        <v>46253</v>
      </c>
      <c r="B296" s="3" t="s">
        <v>44</v>
      </c>
      <c r="C296" s="3">
        <v>3</v>
      </c>
      <c r="D296" s="4">
        <v>0.42708333333333298</v>
      </c>
      <c r="E296" s="4">
        <v>0.46875</v>
      </c>
      <c r="F296" s="3" t="s">
        <v>62</v>
      </c>
      <c r="G296" s="3" t="s">
        <v>77</v>
      </c>
      <c r="H296" s="3" t="s">
        <v>29</v>
      </c>
      <c r="I296" s="3" t="s">
        <v>30</v>
      </c>
      <c r="J296" s="3" t="s">
        <v>31</v>
      </c>
      <c r="K296" s="3" t="s">
        <v>52</v>
      </c>
      <c r="L296" s="5">
        <v>103</v>
      </c>
      <c r="M296" s="5">
        <f t="shared" ca="1" si="20"/>
        <v>82</v>
      </c>
      <c r="N296" s="6">
        <f t="shared" ca="1" si="21"/>
        <v>79.611650485436897</v>
      </c>
      <c r="O296" s="3" cm="1">
        <f t="array" aca="1" ref="O296" ca="1">IFERROR(LOOKUP(2, 1/((F$1:F295=F296)*(J$1:J295=J296)*(ROW(F$1:F295)&lt;ROW(F296))), N$1:N295), "")</f>
        <v>94.174757281553397</v>
      </c>
      <c r="P296" s="3">
        <f t="shared" si="24"/>
        <v>0</v>
      </c>
      <c r="Q296" s="3" t="s">
        <v>33</v>
      </c>
      <c r="R296" s="3" t="s">
        <v>40</v>
      </c>
      <c r="S296" s="3" t="str">
        <f t="shared" si="22"/>
        <v>No</v>
      </c>
      <c r="T296" s="3" t="s">
        <v>40</v>
      </c>
      <c r="U296" s="3" t="str">
        <f t="shared" si="23"/>
        <v>Rainy</v>
      </c>
      <c r="V296" s="3" t="s">
        <v>40</v>
      </c>
      <c r="W296" s="3">
        <v>7</v>
      </c>
      <c r="X296" s="3">
        <v>10</v>
      </c>
      <c r="Y296" s="3">
        <v>66</v>
      </c>
      <c r="Z296" s="3" t="s">
        <v>35</v>
      </c>
    </row>
    <row r="297" spans="1:26" x14ac:dyDescent="0.3">
      <c r="A297" s="2">
        <v>46253</v>
      </c>
      <c r="B297" s="3" t="s">
        <v>44</v>
      </c>
      <c r="C297" s="3">
        <v>4</v>
      </c>
      <c r="D297" s="4">
        <v>0.46875</v>
      </c>
      <c r="E297" s="4">
        <v>0.51041666666666696</v>
      </c>
      <c r="F297" s="3" t="s">
        <v>57</v>
      </c>
      <c r="G297" s="3" t="s">
        <v>71</v>
      </c>
      <c r="H297" s="3" t="s">
        <v>29</v>
      </c>
      <c r="I297" s="3" t="s">
        <v>30</v>
      </c>
      <c r="J297" s="3" t="s">
        <v>31</v>
      </c>
      <c r="K297" s="3" t="s">
        <v>52</v>
      </c>
      <c r="L297" s="5">
        <v>103</v>
      </c>
      <c r="M297" s="5">
        <f t="shared" ca="1" si="20"/>
        <v>94</v>
      </c>
      <c r="N297" s="6">
        <f t="shared" ca="1" si="21"/>
        <v>91.262135922330103</v>
      </c>
      <c r="O297" s="3" cm="1">
        <f t="array" aca="1" ref="O297" ca="1">IFERROR(LOOKUP(2, 1/((F$1:F296=F297)*(J$1:J296=J297)*(ROW(F$1:F296)&lt;ROW(F297))), N$1:N296), "")</f>
        <v>67.961165048543691</v>
      </c>
      <c r="P297" s="3">
        <f t="shared" si="24"/>
        <v>0</v>
      </c>
      <c r="Q297" s="3" t="s">
        <v>33</v>
      </c>
      <c r="R297" s="3" t="s">
        <v>40</v>
      </c>
      <c r="S297" s="3" t="str">
        <f t="shared" si="22"/>
        <v>No</v>
      </c>
      <c r="T297" s="3" t="s">
        <v>40</v>
      </c>
      <c r="U297" s="3" t="str">
        <f t="shared" si="23"/>
        <v>Rainy</v>
      </c>
      <c r="V297" s="3" t="s">
        <v>40</v>
      </c>
      <c r="W297" s="3" cm="1">
        <f t="array" ref="W297">_xlfn.IFS(
OR(F297="Selenium (Hands-on)",F297="Guest Lecture: HR Interview"),6,
OR(F297="Soft Skill",F297="Soft Skill (Examination)",F297="AWS Training",F297="AWS Session"),7,
OR(ISNUMBER(SEARCH("MAD",F297)),ISNUMBER(SEARCH("STQA",F297)),F297="CI/CD Session"),8,
OR(ISNUMBER(SEARCH("Cloud",F297)),F297="Industry Readiness Program",ISNUMBER(SEARCH("Talenlio",F297))),9,
OR(ISNUMBER(SEARCH("Innovation",F297)),F297="Mini Project"),10,
OR(ISNUMBER(SEARCH("Data Science",F297)),ISNUMBER(SEARCH("DS",F297))),11,
ISNUMBER(SEARCH("Generative AI",F297)),12
=_xlfn.IFS(
OR(F297="Selenium (Hands-on)",F297="Guest Lecture: HR Interview"),6,
OR(F297="Soft Skill",F297="Soft Skill (Examination)",F297="AWS Training",F297="AWS Session"),7,
OR(ISNUMBER(SEARCH("MAD",F297)),ISNUMBER(SEARCH("STQA",F297)),F297="CI/CD Session"),8,
OR(ISNUMBER(SEARCH("Cloud",F297)),F297="Industry Readiness Program",ISNUMBER(SEARCH("Talenlio",F297))),9,
OR(ISNUMBER(SEARCH("Innovation",F297)),F297="Mini Project"),10,
OR(ISNUMBER(SEARCH("Data Science",F297)),ISNUMBER(SEARCH("DS",F297))),11,
ISNUMBER(SEARCH("Generative AI",F297)),12
=_xlfn.IFS(
OR(F297="Selenium (Hands-on)",F297="Guest Lecture: HR Interview"),6,
OR(F297="Soft Skill",F297="Soft Skill (Examination)",F297="AWS Training",F297="AWS Session"),7,
OR(ISNUMBER(SEARCH("MAD",F297)),ISNUMBER(SEARCH("STQA",F297)),F297="CI/CD Session"),8,
OR(ISNUMBER(SEARCH("Cloud",F297)),F297="Industry Readiness Program",ISNUMBER(SEARCH("Talenlio",F297))),9,
OR(ISNUMBER(SEARCH("Innovation",F297)),F297="Mini Project"),10,
OR(ISNUMBER(SEARCH("Data Science",F297)),ISNUMBER(SEARCH("DS",F297))),11,
ISNUMBER(SEARCH("Generative AI",F297)),12
=_xlfn.IFS(
OR(F297="Selenium (Hands-on)",F297="Guest Lecture: HR Interview"),6,
OR(F297="Soft Skill",F297="Soft Skill (Examination)",F297="AWS Training",F297="AWS Session"),7,
OR(ISNUMBER(SEARCH("MAD",F297)),ISNUMBER(SEARCH("STQA",F297)),F297="CI/CD Session"),8,
OR(ISNUMBER(SEARCH("Cloud",F297)),F297="Industry Readiness Program",ISNUMBER(SEARCH("Talenlio",F297))),9,
OR(ISNUMBER(SEARCH("Innovation",F297)),F297="Mini Project"),10,
OR(ISNUMBER(SEARCH("Data Science",F297)),ISNUMBER(SEARCH("DS",F297))),11,
ISNUMBER(SEARCH("Generative AI",F297)),12
))))</f>
        <v>9</v>
      </c>
      <c r="X297" s="3">
        <v>10</v>
      </c>
      <c r="Y297" s="3">
        <v>66</v>
      </c>
      <c r="Z297" s="3" t="s">
        <v>35</v>
      </c>
    </row>
    <row r="298" spans="1:26" x14ac:dyDescent="0.3">
      <c r="A298" s="2">
        <v>46253</v>
      </c>
      <c r="B298" s="3" t="s">
        <v>44</v>
      </c>
      <c r="C298" s="3">
        <v>5</v>
      </c>
      <c r="D298" s="4">
        <v>0.5625</v>
      </c>
      <c r="E298" s="4">
        <v>0.60416666666666696</v>
      </c>
      <c r="F298" s="3" t="s">
        <v>81</v>
      </c>
      <c r="G298" s="3" t="s">
        <v>289</v>
      </c>
      <c r="H298" s="3" t="s">
        <v>29</v>
      </c>
      <c r="I298" s="3" t="s">
        <v>30</v>
      </c>
      <c r="J298" s="3" t="s">
        <v>31</v>
      </c>
      <c r="K298" s="3" t="s">
        <v>52</v>
      </c>
      <c r="L298" s="5">
        <v>103</v>
      </c>
      <c r="M298" s="5">
        <f t="shared" ca="1" si="20"/>
        <v>48</v>
      </c>
      <c r="N298" s="6">
        <f t="shared" ca="1" si="21"/>
        <v>46.601941747572816</v>
      </c>
      <c r="O298" s="3" cm="1">
        <f t="array" aca="1" ref="O298" ca="1">IFERROR(LOOKUP(2, 1/((F$1:F297=F298)*(J$1:J297=J298)*(ROW(F$1:F297)&lt;ROW(F298))), N$1:N297), "")</f>
        <v>78.640776699029118</v>
      </c>
      <c r="P298" s="3">
        <f t="shared" si="24"/>
        <v>1.25</v>
      </c>
      <c r="Q298" s="3" t="s">
        <v>43</v>
      </c>
      <c r="R298" s="3" t="s">
        <v>40</v>
      </c>
      <c r="S298" s="3" t="str">
        <f t="shared" si="22"/>
        <v>No</v>
      </c>
      <c r="T298" s="3" t="s">
        <v>40</v>
      </c>
      <c r="U298" s="3" t="str">
        <f t="shared" si="23"/>
        <v>Rainy</v>
      </c>
      <c r="V298" s="3" t="s">
        <v>40</v>
      </c>
      <c r="W298" s="3" cm="1">
        <f t="array" ref="W298">_xlfn.IFS(
OR(F298="Selenium (Hands-on)",F298="Guest Lecture: HR Interview"),6,
OR(F298="Soft Skill",F298="Soft Skill (Examination)",F298="AWS Training",F298="AWS Session"),7,
OR(ISNUMBER(SEARCH("MAD",F298)),ISNUMBER(SEARCH("STQA",F298)),F298="CI/CD Session"),8,
OR(ISNUMBER(SEARCH("Cloud",F298)),F298="Industry Readiness Program",ISNUMBER(SEARCH("Talenlio",F298))),9,
OR(ISNUMBER(SEARCH("Innovation",F298)),F298="Mini Project"),10,
OR(ISNUMBER(SEARCH("Data Science",F298)),ISNUMBER(SEARCH("DS",F298))),11,
ISNUMBER(SEARCH("Generative AI",F298)),12
=_xlfn.IFS(
OR(F298="Selenium (Hands-on)",F298="Guest Lecture: HR Interview"),6,
OR(F298="Soft Skill",F298="Soft Skill (Examination)",F298="AWS Training",F298="AWS Session"),7,
OR(ISNUMBER(SEARCH("MAD",F298)),ISNUMBER(SEARCH("STQA",F298)),F298="CI/CD Session"),8,
OR(ISNUMBER(SEARCH("Cloud",F298)),F298="Industry Readiness Program",ISNUMBER(SEARCH("Talenlio",F298))),9,
OR(ISNUMBER(SEARCH("Innovation",F298)),F298="Mini Project"),10,
OR(ISNUMBER(SEARCH("Data Science",F298)),ISNUMBER(SEARCH("DS",F298))),11,
ISNUMBER(SEARCH("Generative AI",F298)),12
=_xlfn.IFS(
OR(F298="Selenium (Hands-on)",F298="Guest Lecture: HR Interview"),6,
OR(F298="Soft Skill",F298="Soft Skill (Examination)",F298="AWS Training",F298="AWS Session"),7,
OR(ISNUMBER(SEARCH("MAD",F298)),ISNUMBER(SEARCH("STQA",F298)),F298="CI/CD Session"),8,
OR(ISNUMBER(SEARCH("Cloud",F298)),F298="Industry Readiness Program",ISNUMBER(SEARCH("Talenlio",F298))),9,
OR(ISNUMBER(SEARCH("Innovation",F298)),F298="Mini Project"),10,
OR(ISNUMBER(SEARCH("Data Science",F298)),ISNUMBER(SEARCH("DS",F298))),11,
ISNUMBER(SEARCH("Generative AI",F298)),12
=_xlfn.IFS(
OR(F298="Selenium (Hands-on)",F298="Guest Lecture: HR Interview"),6,
OR(F298="Soft Skill",F298="Soft Skill (Examination)",F298="AWS Training",F298="AWS Session"),7,
OR(ISNUMBER(SEARCH("MAD",F298)),ISNUMBER(SEARCH("STQA",F298)),F298="CI/CD Session"),8,
OR(ISNUMBER(SEARCH("Cloud",F298)),F298="Industry Readiness Program",ISNUMBER(SEARCH("Talenlio",F298))),9,
OR(ISNUMBER(SEARCH("Innovation",F298)),F298="Mini Project"),10,
OR(ISNUMBER(SEARCH("Data Science",F298)),ISNUMBER(SEARCH("DS",F298))),11,
ISNUMBER(SEARCH("Generative AI",F298)),12
))))</f>
        <v>7</v>
      </c>
      <c r="X298" s="3">
        <v>10</v>
      </c>
      <c r="Y298" s="3">
        <v>66</v>
      </c>
      <c r="Z298" s="3" t="s">
        <v>38</v>
      </c>
    </row>
    <row r="299" spans="1:26" x14ac:dyDescent="0.3">
      <c r="A299" s="2">
        <v>46253</v>
      </c>
      <c r="B299" s="3" t="s">
        <v>44</v>
      </c>
      <c r="C299" s="3">
        <v>6</v>
      </c>
      <c r="D299" s="4">
        <v>0.60416666666666696</v>
      </c>
      <c r="E299" s="4">
        <v>0.64583333333333304</v>
      </c>
      <c r="F299" s="3" t="s">
        <v>81</v>
      </c>
      <c r="G299" s="3" t="s">
        <v>289</v>
      </c>
      <c r="H299" s="3" t="s">
        <v>29</v>
      </c>
      <c r="I299" s="3" t="s">
        <v>30</v>
      </c>
      <c r="J299" s="3" t="s">
        <v>31</v>
      </c>
      <c r="K299" s="3" t="s">
        <v>52</v>
      </c>
      <c r="L299" s="5">
        <v>103</v>
      </c>
      <c r="M299" s="5">
        <f t="shared" ca="1" si="20"/>
        <v>102</v>
      </c>
      <c r="N299" s="6">
        <f t="shared" ca="1" si="21"/>
        <v>99.029126213592235</v>
      </c>
      <c r="O299" s="3" cm="1">
        <f t="array" aca="1" ref="O299" ca="1">IFERROR(LOOKUP(2, 1/((F$1:F298=F299)*(J$1:J298=J299)*(ROW(F$1:F298)&lt;ROW(F299))), N$1:N298), "")</f>
        <v>46.601941747572816</v>
      </c>
      <c r="P299" s="3">
        <f t="shared" si="24"/>
        <v>0</v>
      </c>
      <c r="Q299" s="3" t="s">
        <v>43</v>
      </c>
      <c r="R299" s="3" t="s">
        <v>40</v>
      </c>
      <c r="S299" s="3" t="str">
        <f t="shared" si="22"/>
        <v>No</v>
      </c>
      <c r="T299" s="3" t="s">
        <v>40</v>
      </c>
      <c r="U299" s="3" t="str">
        <f t="shared" si="23"/>
        <v>Rainy</v>
      </c>
      <c r="V299" s="3" t="s">
        <v>40</v>
      </c>
      <c r="W299" s="3" cm="1">
        <f t="array" ref="W299">_xlfn.IFS(
OR(F299="Selenium (Hands-on)",F299="Guest Lecture: HR Interview"),6,
OR(F299="Soft Skill",F299="Soft Skill (Examination)",F299="AWS Training",F299="AWS Session"),7,
OR(ISNUMBER(SEARCH("MAD",F299)),ISNUMBER(SEARCH("STQA",F299)),F299="CI/CD Session"),8,
OR(ISNUMBER(SEARCH("Cloud",F299)),F299="Industry Readiness Program",ISNUMBER(SEARCH("Talenlio",F299))),9,
OR(ISNUMBER(SEARCH("Innovation",F299)),F299="Mini Project"),10,
OR(ISNUMBER(SEARCH("Data Science",F299)),ISNUMBER(SEARCH("DS",F299))),11,
ISNUMBER(SEARCH("Generative AI",F299)),12
=_xlfn.IFS(
OR(F299="Selenium (Hands-on)",F299="Guest Lecture: HR Interview"),6,
OR(F299="Soft Skill",F299="Soft Skill (Examination)",F299="AWS Training",F299="AWS Session"),7,
OR(ISNUMBER(SEARCH("MAD",F299)),ISNUMBER(SEARCH("STQA",F299)),F299="CI/CD Session"),8,
OR(ISNUMBER(SEARCH("Cloud",F299)),F299="Industry Readiness Program",ISNUMBER(SEARCH("Talenlio",F299))),9,
OR(ISNUMBER(SEARCH("Innovation",F299)),F299="Mini Project"),10,
OR(ISNUMBER(SEARCH("Data Science",F299)),ISNUMBER(SEARCH("DS",F299))),11,
ISNUMBER(SEARCH("Generative AI",F299)),12
=_xlfn.IFS(
OR(F299="Selenium (Hands-on)",F299="Guest Lecture: HR Interview"),6,
OR(F299="Soft Skill",F299="Soft Skill (Examination)",F299="AWS Training",F299="AWS Session"),7,
OR(ISNUMBER(SEARCH("MAD",F299)),ISNUMBER(SEARCH("STQA",F299)),F299="CI/CD Session"),8,
OR(ISNUMBER(SEARCH("Cloud",F299)),F299="Industry Readiness Program",ISNUMBER(SEARCH("Talenlio",F299))),9,
OR(ISNUMBER(SEARCH("Innovation",F299)),F299="Mini Project"),10,
OR(ISNUMBER(SEARCH("Data Science",F299)),ISNUMBER(SEARCH("DS",F299))),11,
ISNUMBER(SEARCH("Generative AI",F299)),12
=_xlfn.IFS(
OR(F299="Selenium (Hands-on)",F299="Guest Lecture: HR Interview"),6,
OR(F299="Soft Skill",F299="Soft Skill (Examination)",F299="AWS Training",F299="AWS Session"),7,
OR(ISNUMBER(SEARCH("MAD",F299)),ISNUMBER(SEARCH("STQA",F299)),F299="CI/CD Session"),8,
OR(ISNUMBER(SEARCH("Cloud",F299)),F299="Industry Readiness Program",ISNUMBER(SEARCH("Talenlio",F299))),9,
OR(ISNUMBER(SEARCH("Innovation",F299)),F299="Mini Project"),10,
OR(ISNUMBER(SEARCH("Data Science",F299)),ISNUMBER(SEARCH("DS",F299))),11,
ISNUMBER(SEARCH("Generative AI",F299)),12
))))</f>
        <v>7</v>
      </c>
      <c r="X299" s="3">
        <v>10</v>
      </c>
      <c r="Y299" s="3">
        <v>66</v>
      </c>
      <c r="Z299" s="3" t="s">
        <v>38</v>
      </c>
    </row>
    <row r="300" spans="1:26" x14ac:dyDescent="0.3">
      <c r="A300" s="2">
        <v>46253</v>
      </c>
      <c r="B300" s="3" t="s">
        <v>44</v>
      </c>
      <c r="C300" s="3">
        <v>7</v>
      </c>
      <c r="D300" s="4">
        <v>0.64583333333333304</v>
      </c>
      <c r="E300" s="4">
        <v>0.6875</v>
      </c>
      <c r="F300" s="3" t="s">
        <v>81</v>
      </c>
      <c r="G300" s="3" t="s">
        <v>289</v>
      </c>
      <c r="H300" s="3" t="s">
        <v>29</v>
      </c>
      <c r="I300" s="3" t="s">
        <v>30</v>
      </c>
      <c r="J300" s="3" t="s">
        <v>31</v>
      </c>
      <c r="K300" s="3" t="s">
        <v>52</v>
      </c>
      <c r="L300" s="5">
        <v>103</v>
      </c>
      <c r="M300" s="5">
        <f t="shared" ca="1" si="20"/>
        <v>46</v>
      </c>
      <c r="N300" s="6">
        <f t="shared" ca="1" si="21"/>
        <v>44.660194174757287</v>
      </c>
      <c r="O300" s="3" cm="1">
        <f t="array" aca="1" ref="O300" ca="1">IFERROR(LOOKUP(2, 1/((F$1:F299=F300)*(J$1:J299=J300)*(ROW(F$1:F299)&lt;ROW(F300))), N$1:N299), "")</f>
        <v>99.029126213592235</v>
      </c>
      <c r="P300" s="3">
        <f t="shared" si="24"/>
        <v>0</v>
      </c>
      <c r="Q300" s="3" t="s">
        <v>43</v>
      </c>
      <c r="R300" s="3" t="s">
        <v>40</v>
      </c>
      <c r="S300" s="3" t="str">
        <f t="shared" si="22"/>
        <v>No</v>
      </c>
      <c r="T300" s="3" t="s">
        <v>40</v>
      </c>
      <c r="U300" s="3" t="str">
        <f t="shared" si="23"/>
        <v>Rainy</v>
      </c>
      <c r="V300" s="3" t="s">
        <v>40</v>
      </c>
      <c r="W300" s="3" cm="1">
        <f t="array" ref="W300">_xlfn.IFS(
OR(F300="Selenium (Hands-on)",F300="Guest Lecture: HR Interview"),6,
OR(F300="Soft Skill",F300="Soft Skill (Examination)",F300="AWS Training",F300="AWS Session"),7,
OR(ISNUMBER(SEARCH("MAD",F300)),ISNUMBER(SEARCH("STQA",F300)),F300="CI/CD Session"),8,
OR(ISNUMBER(SEARCH("Cloud",F300)),F300="Industry Readiness Program",ISNUMBER(SEARCH("Talenlio",F300))),9,
OR(ISNUMBER(SEARCH("Innovation",F300)),F300="Mini Project"),10,
OR(ISNUMBER(SEARCH("Data Science",F300)),ISNUMBER(SEARCH("DS",F300))),11,
ISNUMBER(SEARCH("Generative AI",F300)),12
=_xlfn.IFS(
OR(F300="Selenium (Hands-on)",F300="Guest Lecture: HR Interview"),6,
OR(F300="Soft Skill",F300="Soft Skill (Examination)",F300="AWS Training",F300="AWS Session"),7,
OR(ISNUMBER(SEARCH("MAD",F300)),ISNUMBER(SEARCH("STQA",F300)),F300="CI/CD Session"),8,
OR(ISNUMBER(SEARCH("Cloud",F300)),F300="Industry Readiness Program",ISNUMBER(SEARCH("Talenlio",F300))),9,
OR(ISNUMBER(SEARCH("Innovation",F300)),F300="Mini Project"),10,
OR(ISNUMBER(SEARCH("Data Science",F300)),ISNUMBER(SEARCH("DS",F300))),11,
ISNUMBER(SEARCH("Generative AI",F300)),12
=_xlfn.IFS(
OR(F300="Selenium (Hands-on)",F300="Guest Lecture: HR Interview"),6,
OR(F300="Soft Skill",F300="Soft Skill (Examination)",F300="AWS Training",F300="AWS Session"),7,
OR(ISNUMBER(SEARCH("MAD",F300)),ISNUMBER(SEARCH("STQA",F300)),F300="CI/CD Session"),8,
OR(ISNUMBER(SEARCH("Cloud",F300)),F300="Industry Readiness Program",ISNUMBER(SEARCH("Talenlio",F300))),9,
OR(ISNUMBER(SEARCH("Innovation",F300)),F300="Mini Project"),10,
OR(ISNUMBER(SEARCH("Data Science",F300)),ISNUMBER(SEARCH("DS",F300))),11,
ISNUMBER(SEARCH("Generative AI",F300)),12
=_xlfn.IFS(
OR(F300="Selenium (Hands-on)",F300="Guest Lecture: HR Interview"),6,
OR(F300="Soft Skill",F300="Soft Skill (Examination)",F300="AWS Training",F300="AWS Session"),7,
OR(ISNUMBER(SEARCH("MAD",F300)),ISNUMBER(SEARCH("STQA",F300)),F300="CI/CD Session"),8,
OR(ISNUMBER(SEARCH("Cloud",F300)),F300="Industry Readiness Program",ISNUMBER(SEARCH("Talenlio",F300))),9,
OR(ISNUMBER(SEARCH("Innovation",F300)),F300="Mini Project"),10,
OR(ISNUMBER(SEARCH("Data Science",F300)),ISNUMBER(SEARCH("DS",F300))),11,
ISNUMBER(SEARCH("Generative AI",F300)),12
))))</f>
        <v>7</v>
      </c>
      <c r="X300" s="3">
        <v>10</v>
      </c>
      <c r="Y300" s="3">
        <v>66</v>
      </c>
      <c r="Z300" s="3" t="s">
        <v>38</v>
      </c>
    </row>
    <row r="301" spans="1:26" x14ac:dyDescent="0.3">
      <c r="A301" s="2">
        <v>46254</v>
      </c>
      <c r="B301" s="3" t="s">
        <v>45</v>
      </c>
      <c r="C301" s="3">
        <v>1</v>
      </c>
      <c r="D301" s="4">
        <v>0.35416666666666702</v>
      </c>
      <c r="E301" s="4">
        <v>0.38541666666666702</v>
      </c>
      <c r="F301" s="3" t="s">
        <v>50</v>
      </c>
      <c r="G301" s="3" t="s">
        <v>51</v>
      </c>
      <c r="H301" s="3" t="s">
        <v>29</v>
      </c>
      <c r="I301" s="3" t="s">
        <v>30</v>
      </c>
      <c r="J301" s="3" t="s">
        <v>31</v>
      </c>
      <c r="K301" s="3" t="s">
        <v>52</v>
      </c>
      <c r="L301" s="5">
        <v>103</v>
      </c>
      <c r="M301" s="5">
        <f t="shared" ca="1" si="20"/>
        <v>86</v>
      </c>
      <c r="N301" s="6">
        <f t="shared" ca="1" si="21"/>
        <v>83.495145631067956</v>
      </c>
      <c r="O301" s="3" cm="1">
        <f t="array" aca="1" ref="O301" ca="1">IFERROR(LOOKUP(2, 1/((F$1:F300=F301)*(J$1:J300=J301)*(ROW(F$1:F300)&lt;ROW(F301))), N$1:N300), "")</f>
        <v>66.019417475728162</v>
      </c>
      <c r="P301" s="3">
        <f t="shared" si="24"/>
        <v>0</v>
      </c>
      <c r="Q301" s="3" t="s">
        <v>43</v>
      </c>
      <c r="R301" s="3" t="s">
        <v>40</v>
      </c>
      <c r="S301" s="3" t="str">
        <f t="shared" si="22"/>
        <v>No</v>
      </c>
      <c r="T301" s="3" t="s">
        <v>40</v>
      </c>
      <c r="U301" s="3" t="str">
        <f t="shared" si="23"/>
        <v>Rainy</v>
      </c>
      <c r="V301" s="3" t="s">
        <v>40</v>
      </c>
      <c r="W301" s="3" cm="1">
        <f t="array" ref="W301">_xlfn.IFS(
OR(F301="Selenium (Hands-on)",F301="Guest Lecture: HR Interview"),6,
OR(F301="Soft Skill",F301="Soft Skill (Examination)",F301="AWS Training",F301="AWS Session"),7,
OR(ISNUMBER(SEARCH("MAD",F301)),ISNUMBER(SEARCH("STQA",F301)),F301="CI/CD Session"),8,
OR(ISNUMBER(SEARCH("Cloud",F301)),F301="Industry Readiness Program",ISNUMBER(SEARCH("Talenlio",F301))),9,
OR(ISNUMBER(SEARCH("Innovation",F301)),F301="Mini Project"),10,
OR(ISNUMBER(SEARCH("Data Science",F301)),ISNUMBER(SEARCH("DS",F301))),11,
ISNUMBER(SEARCH("Generative AI",F301)),12
=_xlfn.IFS(
OR(F301="Selenium (Hands-on)",F301="Guest Lecture: HR Interview"),6,
OR(F301="Soft Skill",F301="Soft Skill (Examination)",F301="AWS Training",F301="AWS Session"),7,
OR(ISNUMBER(SEARCH("MAD",F301)),ISNUMBER(SEARCH("STQA",F301)),F301="CI/CD Session"),8,
OR(ISNUMBER(SEARCH("Cloud",F301)),F301="Industry Readiness Program",ISNUMBER(SEARCH("Talenlio",F301))),9,
OR(ISNUMBER(SEARCH("Innovation",F301)),F301="Mini Project"),10,
OR(ISNUMBER(SEARCH("Data Science",F301)),ISNUMBER(SEARCH("DS",F301))),11,
ISNUMBER(SEARCH("Generative AI",F301)),12
=_xlfn.IFS(
OR(F301="Selenium (Hands-on)",F301="Guest Lecture: HR Interview"),6,
OR(F301="Soft Skill",F301="Soft Skill (Examination)",F301="AWS Training",F301="AWS Session"),7,
OR(ISNUMBER(SEARCH("MAD",F301)),ISNUMBER(SEARCH("STQA",F301)),F301="CI/CD Session"),8,
OR(ISNUMBER(SEARCH("Cloud",F301)),F301="Industry Readiness Program",ISNUMBER(SEARCH("Talenlio",F301))),9,
OR(ISNUMBER(SEARCH("Innovation",F301)),F301="Mini Project"),10,
OR(ISNUMBER(SEARCH("Data Science",F301)),ISNUMBER(SEARCH("DS",F301))),11,
ISNUMBER(SEARCH("Generative AI",F301)),12
=_xlfn.IFS(
OR(F301="Selenium (Hands-on)",F301="Guest Lecture: HR Interview"),6,
OR(F301="Soft Skill",F301="Soft Skill (Examination)",F301="AWS Training",F301="AWS Session"),7,
OR(ISNUMBER(SEARCH("MAD",F301)),ISNUMBER(SEARCH("STQA",F301)),F301="CI/CD Session"),8,
OR(ISNUMBER(SEARCH("Cloud",F301)),F301="Industry Readiness Program",ISNUMBER(SEARCH("Talenlio",F301))),9,
OR(ISNUMBER(SEARCH("Innovation",F301)),F301="Mini Project"),10,
OR(ISNUMBER(SEARCH("Data Science",F301)),ISNUMBER(SEARCH("DS",F301))),11,
ISNUMBER(SEARCH("Generative AI",F301)),12
))))</f>
        <v>8</v>
      </c>
      <c r="X301" s="3">
        <v>10</v>
      </c>
      <c r="Y301" s="3">
        <v>67</v>
      </c>
      <c r="Z301" s="3" t="s">
        <v>35</v>
      </c>
    </row>
    <row r="302" spans="1:26" x14ac:dyDescent="0.3">
      <c r="A302" s="2">
        <v>46254</v>
      </c>
      <c r="B302" s="3" t="s">
        <v>45</v>
      </c>
      <c r="C302" s="3">
        <v>2</v>
      </c>
      <c r="D302" s="4">
        <v>0.38541666666666702</v>
      </c>
      <c r="E302" s="4">
        <v>0.42708333333333298</v>
      </c>
      <c r="F302" s="3" t="s">
        <v>50</v>
      </c>
      <c r="G302" s="3" t="s">
        <v>51</v>
      </c>
      <c r="H302" s="3" t="s">
        <v>29</v>
      </c>
      <c r="I302" s="3" t="s">
        <v>30</v>
      </c>
      <c r="J302" s="3" t="s">
        <v>31</v>
      </c>
      <c r="K302" s="3" t="s">
        <v>52</v>
      </c>
      <c r="L302" s="5">
        <v>103</v>
      </c>
      <c r="M302" s="5">
        <f t="shared" ca="1" si="20"/>
        <v>60</v>
      </c>
      <c r="N302" s="6">
        <f t="shared" ca="1" si="21"/>
        <v>58.252427184466015</v>
      </c>
      <c r="O302" s="3" cm="1">
        <f t="array" aca="1" ref="O302" ca="1">IFERROR(LOOKUP(2, 1/((F$1:F301=F302)*(J$1:J301=J302)*(ROW(F$1:F301)&lt;ROW(F302))), N$1:N301), "")</f>
        <v>83.495145631067956</v>
      </c>
      <c r="P302" s="3">
        <f t="shared" si="24"/>
        <v>0</v>
      </c>
      <c r="Q302" s="3" t="s">
        <v>43</v>
      </c>
      <c r="R302" s="3" t="s">
        <v>40</v>
      </c>
      <c r="S302" s="3" t="str">
        <f t="shared" si="22"/>
        <v>No</v>
      </c>
      <c r="T302" s="3" t="s">
        <v>40</v>
      </c>
      <c r="U302" s="3" t="str">
        <f t="shared" si="23"/>
        <v>Rainy</v>
      </c>
      <c r="V302" s="3" t="s">
        <v>40</v>
      </c>
      <c r="W302" s="3" cm="1">
        <f t="array" ref="W302">_xlfn.IFS(
OR(F302="Selenium (Hands-on)",F302="Guest Lecture: HR Interview"),6,
OR(F302="Soft Skill",F302="Soft Skill (Examination)",F302="AWS Training",F302="AWS Session"),7,
OR(ISNUMBER(SEARCH("MAD",F302)),ISNUMBER(SEARCH("STQA",F302)),F302="CI/CD Session"),8,
OR(ISNUMBER(SEARCH("Cloud",F302)),F302="Industry Readiness Program",ISNUMBER(SEARCH("Talenlio",F302))),9,
OR(ISNUMBER(SEARCH("Innovation",F302)),F302="Mini Project"),10,
OR(ISNUMBER(SEARCH("Data Science",F302)),ISNUMBER(SEARCH("DS",F302))),11,
ISNUMBER(SEARCH("Generative AI",F302)),12
=_xlfn.IFS(
OR(F302="Selenium (Hands-on)",F302="Guest Lecture: HR Interview"),6,
OR(F302="Soft Skill",F302="Soft Skill (Examination)",F302="AWS Training",F302="AWS Session"),7,
OR(ISNUMBER(SEARCH("MAD",F302)),ISNUMBER(SEARCH("STQA",F302)),F302="CI/CD Session"),8,
OR(ISNUMBER(SEARCH("Cloud",F302)),F302="Industry Readiness Program",ISNUMBER(SEARCH("Talenlio",F302))),9,
OR(ISNUMBER(SEARCH("Innovation",F302)),F302="Mini Project"),10,
OR(ISNUMBER(SEARCH("Data Science",F302)),ISNUMBER(SEARCH("DS",F302))),11,
ISNUMBER(SEARCH("Generative AI",F302)),12
=_xlfn.IFS(
OR(F302="Selenium (Hands-on)",F302="Guest Lecture: HR Interview"),6,
OR(F302="Soft Skill",F302="Soft Skill (Examination)",F302="AWS Training",F302="AWS Session"),7,
OR(ISNUMBER(SEARCH("MAD",F302)),ISNUMBER(SEARCH("STQA",F302)),F302="CI/CD Session"),8,
OR(ISNUMBER(SEARCH("Cloud",F302)),F302="Industry Readiness Program",ISNUMBER(SEARCH("Talenlio",F302))),9,
OR(ISNUMBER(SEARCH("Innovation",F302)),F302="Mini Project"),10,
OR(ISNUMBER(SEARCH("Data Science",F302)),ISNUMBER(SEARCH("DS",F302))),11,
ISNUMBER(SEARCH("Generative AI",F302)),12
=_xlfn.IFS(
OR(F302="Selenium (Hands-on)",F302="Guest Lecture: HR Interview"),6,
OR(F302="Soft Skill",F302="Soft Skill (Examination)",F302="AWS Training",F302="AWS Session"),7,
OR(ISNUMBER(SEARCH("MAD",F302)),ISNUMBER(SEARCH("STQA",F302)),F302="CI/CD Session"),8,
OR(ISNUMBER(SEARCH("Cloud",F302)),F302="Industry Readiness Program",ISNUMBER(SEARCH("Talenlio",F302))),9,
OR(ISNUMBER(SEARCH("Innovation",F302)),F302="Mini Project"),10,
OR(ISNUMBER(SEARCH("Data Science",F302)),ISNUMBER(SEARCH("DS",F302))),11,
ISNUMBER(SEARCH("Generative AI",F302)),12
))))</f>
        <v>8</v>
      </c>
      <c r="X302" s="3">
        <v>10</v>
      </c>
      <c r="Y302" s="3">
        <v>67</v>
      </c>
      <c r="Z302" s="3" t="s">
        <v>35</v>
      </c>
    </row>
    <row r="303" spans="1:26" x14ac:dyDescent="0.3">
      <c r="A303" s="2">
        <v>46254</v>
      </c>
      <c r="B303" s="3" t="s">
        <v>45</v>
      </c>
      <c r="C303" s="3">
        <v>3</v>
      </c>
      <c r="D303" s="4">
        <v>0.42708333333333298</v>
      </c>
      <c r="E303" s="4">
        <v>0.46875</v>
      </c>
      <c r="F303" s="3" t="s">
        <v>59</v>
      </c>
      <c r="G303" s="3" t="s">
        <v>73</v>
      </c>
      <c r="H303" s="3" t="s">
        <v>29</v>
      </c>
      <c r="I303" s="3" t="s">
        <v>30</v>
      </c>
      <c r="J303" s="3" t="s">
        <v>31</v>
      </c>
      <c r="K303" s="3" t="s">
        <v>52</v>
      </c>
      <c r="L303" s="5">
        <v>103</v>
      </c>
      <c r="M303" s="5">
        <f t="shared" ca="1" si="20"/>
        <v>57</v>
      </c>
      <c r="N303" s="6">
        <f t="shared" ca="1" si="21"/>
        <v>55.339805825242713</v>
      </c>
      <c r="O303" s="3" cm="1">
        <f t="array" aca="1" ref="O303" ca="1">IFERROR(LOOKUP(2, 1/((F$1:F302=F303)*(J$1:J302=J303)*(ROW(F$1:F302)&lt;ROW(F303))), N$1:N302), "")</f>
        <v>65.048543689320397</v>
      </c>
      <c r="P303" s="3">
        <f t="shared" si="24"/>
        <v>0</v>
      </c>
      <c r="Q303" s="3" t="s">
        <v>33</v>
      </c>
      <c r="R303" s="3" t="s">
        <v>40</v>
      </c>
      <c r="S303" s="3" t="str">
        <f t="shared" si="22"/>
        <v>No</v>
      </c>
      <c r="T303" s="3" t="s">
        <v>40</v>
      </c>
      <c r="U303" s="3" t="str">
        <f t="shared" si="23"/>
        <v>Rainy</v>
      </c>
      <c r="V303" s="3" t="s">
        <v>40</v>
      </c>
      <c r="W303" s="3" cm="1">
        <f t="array" ref="W303">_xlfn.IFS(
OR(F303="Selenium (Hands-on)",F303="Guest Lecture: HR Interview"),6,
OR(F303="Soft Skill",F303="Soft Skill (Examination)",F303="AWS Training",F303="AWS Session"),7,
OR(ISNUMBER(SEARCH("MAD",F303)),ISNUMBER(SEARCH("STQA",F303)),F303="CI/CD Session"),8,
OR(ISNUMBER(SEARCH("Cloud",F303)),F303="Industry Readiness Program",ISNUMBER(SEARCH("Talenlio",F303))),9,
OR(ISNUMBER(SEARCH("Innovation",F303)),F303="Mini Project"),10,
OR(ISNUMBER(SEARCH("Data Science",F303)),ISNUMBER(SEARCH("DS",F303))),11,
ISNUMBER(SEARCH("Generative AI",F303)),12
=_xlfn.IFS(
OR(F303="Selenium (Hands-on)",F303="Guest Lecture: HR Interview"),6,
OR(F303="Soft Skill",F303="Soft Skill (Examination)",F303="AWS Training",F303="AWS Session"),7,
OR(ISNUMBER(SEARCH("MAD",F303)),ISNUMBER(SEARCH("STQA",F303)),F303="CI/CD Session"),8,
OR(ISNUMBER(SEARCH("Cloud",F303)),F303="Industry Readiness Program",ISNUMBER(SEARCH("Talenlio",F303))),9,
OR(ISNUMBER(SEARCH("Innovation",F303)),F303="Mini Project"),10,
OR(ISNUMBER(SEARCH("Data Science",F303)),ISNUMBER(SEARCH("DS",F303))),11,
ISNUMBER(SEARCH("Generative AI",F303)),12
=_xlfn.IFS(
OR(F303="Selenium (Hands-on)",F303="Guest Lecture: HR Interview"),6,
OR(F303="Soft Skill",F303="Soft Skill (Examination)",F303="AWS Training",F303="AWS Session"),7,
OR(ISNUMBER(SEARCH("MAD",F303)),ISNUMBER(SEARCH("STQA",F303)),F303="CI/CD Session"),8,
OR(ISNUMBER(SEARCH("Cloud",F303)),F303="Industry Readiness Program",ISNUMBER(SEARCH("Talenlio",F303))),9,
OR(ISNUMBER(SEARCH("Innovation",F303)),F303="Mini Project"),10,
OR(ISNUMBER(SEARCH("Data Science",F303)),ISNUMBER(SEARCH("DS",F303))),11,
ISNUMBER(SEARCH("Generative AI",F303)),12
=_xlfn.IFS(
OR(F303="Selenium (Hands-on)",F303="Guest Lecture: HR Interview"),6,
OR(F303="Soft Skill",F303="Soft Skill (Examination)",F303="AWS Training",F303="AWS Session"),7,
OR(ISNUMBER(SEARCH("MAD",F303)),ISNUMBER(SEARCH("STQA",F303)),F303="CI/CD Session"),8,
OR(ISNUMBER(SEARCH("Cloud",F303)),F303="Industry Readiness Program",ISNUMBER(SEARCH("Talenlio",F303))),9,
OR(ISNUMBER(SEARCH("Innovation",F303)),F303="Mini Project"),10,
OR(ISNUMBER(SEARCH("Data Science",F303)),ISNUMBER(SEARCH("DS",F303))),11,
ISNUMBER(SEARCH("Generative AI",F303)),12
))))</f>
        <v>11</v>
      </c>
      <c r="X303" s="3">
        <v>10</v>
      </c>
      <c r="Y303" s="3">
        <v>67</v>
      </c>
      <c r="Z303" s="3" t="s">
        <v>35</v>
      </c>
    </row>
    <row r="304" spans="1:26" x14ac:dyDescent="0.3">
      <c r="A304" s="2">
        <v>46254</v>
      </c>
      <c r="B304" s="3" t="s">
        <v>45</v>
      </c>
      <c r="C304" s="3">
        <v>4</v>
      </c>
      <c r="D304" s="4">
        <v>0.46875</v>
      </c>
      <c r="E304" s="4">
        <v>0.51041666666666696</v>
      </c>
      <c r="F304" s="3" t="s">
        <v>62</v>
      </c>
      <c r="G304" s="3" t="s">
        <v>77</v>
      </c>
      <c r="H304" s="3" t="s">
        <v>29</v>
      </c>
      <c r="I304" s="3" t="s">
        <v>30</v>
      </c>
      <c r="J304" s="3" t="s">
        <v>31</v>
      </c>
      <c r="K304" s="3" t="s">
        <v>52</v>
      </c>
      <c r="L304" s="5">
        <v>103</v>
      </c>
      <c r="M304" s="5">
        <f t="shared" ca="1" si="20"/>
        <v>101</v>
      </c>
      <c r="N304" s="6">
        <f t="shared" ca="1" si="21"/>
        <v>98.05825242718447</v>
      </c>
      <c r="O304" s="3" cm="1">
        <f t="array" aca="1" ref="O304" ca="1">IFERROR(LOOKUP(2, 1/((F$1:F303=F304)*(J$1:J303=J304)*(ROW(F$1:F303)&lt;ROW(F304))), N$1:N303), "")</f>
        <v>79.611650485436897</v>
      </c>
      <c r="P304" s="3">
        <f t="shared" si="24"/>
        <v>0</v>
      </c>
      <c r="Q304" s="3" t="s">
        <v>33</v>
      </c>
      <c r="R304" s="3" t="s">
        <v>40</v>
      </c>
      <c r="S304" s="3" t="str">
        <f t="shared" si="22"/>
        <v>No</v>
      </c>
      <c r="T304" s="3" t="s">
        <v>40</v>
      </c>
      <c r="U304" s="3" t="str">
        <f t="shared" si="23"/>
        <v>Rainy</v>
      </c>
      <c r="V304" s="3" t="s">
        <v>40</v>
      </c>
      <c r="W304" s="3">
        <v>7</v>
      </c>
      <c r="X304" s="3">
        <v>10</v>
      </c>
      <c r="Y304" s="3">
        <v>67</v>
      </c>
      <c r="Z304" s="3" t="s">
        <v>35</v>
      </c>
    </row>
    <row r="305" spans="1:26" x14ac:dyDescent="0.3">
      <c r="A305" s="2">
        <v>46254</v>
      </c>
      <c r="B305" s="3" t="s">
        <v>45</v>
      </c>
      <c r="C305" s="3">
        <v>5</v>
      </c>
      <c r="D305" s="4">
        <v>0.5625</v>
      </c>
      <c r="E305" s="4">
        <v>0.60416666666666696</v>
      </c>
      <c r="F305" s="3" t="s">
        <v>81</v>
      </c>
      <c r="G305" s="3" t="s">
        <v>289</v>
      </c>
      <c r="H305" s="3" t="s">
        <v>29</v>
      </c>
      <c r="I305" s="3" t="s">
        <v>30</v>
      </c>
      <c r="J305" s="3" t="s">
        <v>31</v>
      </c>
      <c r="K305" s="3" t="s">
        <v>52</v>
      </c>
      <c r="L305" s="5">
        <v>103</v>
      </c>
      <c r="M305" s="5">
        <f t="shared" ca="1" si="20"/>
        <v>57</v>
      </c>
      <c r="N305" s="6">
        <f t="shared" ca="1" si="21"/>
        <v>55.339805825242713</v>
      </c>
      <c r="O305" s="3" cm="1">
        <f t="array" aca="1" ref="O305" ca="1">IFERROR(LOOKUP(2, 1/((F$1:F304=F305)*(J$1:J304=J305)*(ROW(F$1:F304)&lt;ROW(F305))), N$1:N304), "")</f>
        <v>44.660194174757287</v>
      </c>
      <c r="P305" s="3">
        <f t="shared" si="24"/>
        <v>1.25</v>
      </c>
      <c r="Q305" s="3" t="s">
        <v>43</v>
      </c>
      <c r="R305" s="3" t="s">
        <v>40</v>
      </c>
      <c r="S305" s="3" t="str">
        <f t="shared" si="22"/>
        <v>No</v>
      </c>
      <c r="T305" s="3" t="s">
        <v>40</v>
      </c>
      <c r="U305" s="3" t="str">
        <f t="shared" si="23"/>
        <v>Rainy</v>
      </c>
      <c r="V305" s="3" t="s">
        <v>40</v>
      </c>
      <c r="W305" s="3" cm="1">
        <f t="array" ref="W305">_xlfn.IFS(
OR(F305="Selenium (Hands-on)",F305="Guest Lecture: HR Interview"),6,
OR(F305="Soft Skill",F305="Soft Skill (Examination)",F305="AWS Training",F305="AWS Session"),7,
OR(ISNUMBER(SEARCH("MAD",F305)),ISNUMBER(SEARCH("STQA",F305)),F305="CI/CD Session"),8,
OR(ISNUMBER(SEARCH("Cloud",F305)),F305="Industry Readiness Program",ISNUMBER(SEARCH("Talenlio",F305))),9,
OR(ISNUMBER(SEARCH("Innovation",F305)),F305="Mini Project"),10,
OR(ISNUMBER(SEARCH("Data Science",F305)),ISNUMBER(SEARCH("DS",F305))),11,
ISNUMBER(SEARCH("Generative AI",F305)),12
=_xlfn.IFS(
OR(F305="Selenium (Hands-on)",F305="Guest Lecture: HR Interview"),6,
OR(F305="Soft Skill",F305="Soft Skill (Examination)",F305="AWS Training",F305="AWS Session"),7,
OR(ISNUMBER(SEARCH("MAD",F305)),ISNUMBER(SEARCH("STQA",F305)),F305="CI/CD Session"),8,
OR(ISNUMBER(SEARCH("Cloud",F305)),F305="Industry Readiness Program",ISNUMBER(SEARCH("Talenlio",F305))),9,
OR(ISNUMBER(SEARCH("Innovation",F305)),F305="Mini Project"),10,
OR(ISNUMBER(SEARCH("Data Science",F305)),ISNUMBER(SEARCH("DS",F305))),11,
ISNUMBER(SEARCH("Generative AI",F305)),12
=_xlfn.IFS(
OR(F305="Selenium (Hands-on)",F305="Guest Lecture: HR Interview"),6,
OR(F305="Soft Skill",F305="Soft Skill (Examination)",F305="AWS Training",F305="AWS Session"),7,
OR(ISNUMBER(SEARCH("MAD",F305)),ISNUMBER(SEARCH("STQA",F305)),F305="CI/CD Session"),8,
OR(ISNUMBER(SEARCH("Cloud",F305)),F305="Industry Readiness Program",ISNUMBER(SEARCH("Talenlio",F305))),9,
OR(ISNUMBER(SEARCH("Innovation",F305)),F305="Mini Project"),10,
OR(ISNUMBER(SEARCH("Data Science",F305)),ISNUMBER(SEARCH("DS",F305))),11,
ISNUMBER(SEARCH("Generative AI",F305)),12
=_xlfn.IFS(
OR(F305="Selenium (Hands-on)",F305="Guest Lecture: HR Interview"),6,
OR(F305="Soft Skill",F305="Soft Skill (Examination)",F305="AWS Training",F305="AWS Session"),7,
OR(ISNUMBER(SEARCH("MAD",F305)),ISNUMBER(SEARCH("STQA",F305)),F305="CI/CD Session"),8,
OR(ISNUMBER(SEARCH("Cloud",F305)),F305="Industry Readiness Program",ISNUMBER(SEARCH("Talenlio",F305))),9,
OR(ISNUMBER(SEARCH("Innovation",F305)),F305="Mini Project"),10,
OR(ISNUMBER(SEARCH("Data Science",F305)),ISNUMBER(SEARCH("DS",F305))),11,
ISNUMBER(SEARCH("Generative AI",F305)),12
))))</f>
        <v>7</v>
      </c>
      <c r="X305" s="3">
        <v>10</v>
      </c>
      <c r="Y305" s="3">
        <v>67</v>
      </c>
      <c r="Z305" s="3" t="s">
        <v>38</v>
      </c>
    </row>
    <row r="306" spans="1:26" x14ac:dyDescent="0.3">
      <c r="A306" s="2">
        <v>46254</v>
      </c>
      <c r="B306" s="3" t="s">
        <v>45</v>
      </c>
      <c r="C306" s="3">
        <v>6</v>
      </c>
      <c r="D306" s="4">
        <v>0.60416666666666696</v>
      </c>
      <c r="E306" s="4">
        <v>0.64583333333333304</v>
      </c>
      <c r="F306" s="3" t="s">
        <v>81</v>
      </c>
      <c r="G306" s="3" t="s">
        <v>289</v>
      </c>
      <c r="H306" s="3" t="s">
        <v>29</v>
      </c>
      <c r="I306" s="3" t="s">
        <v>30</v>
      </c>
      <c r="J306" s="3" t="s">
        <v>31</v>
      </c>
      <c r="K306" s="3" t="s">
        <v>52</v>
      </c>
      <c r="L306" s="5">
        <v>103</v>
      </c>
      <c r="M306" s="5">
        <f t="shared" ca="1" si="20"/>
        <v>89</v>
      </c>
      <c r="N306" s="6">
        <f t="shared" ca="1" si="21"/>
        <v>86.40776699029125</v>
      </c>
      <c r="O306" s="3" cm="1">
        <f t="array" aca="1" ref="O306" ca="1">IFERROR(LOOKUP(2, 1/((F$1:F305=F306)*(J$1:J305=J306)*(ROW(F$1:F305)&lt;ROW(F306))), N$1:N305), "")</f>
        <v>55.339805825242713</v>
      </c>
      <c r="P306" s="3">
        <f t="shared" si="24"/>
        <v>0</v>
      </c>
      <c r="Q306" s="3" t="s">
        <v>43</v>
      </c>
      <c r="R306" s="3" t="s">
        <v>40</v>
      </c>
      <c r="S306" s="3" t="str">
        <f t="shared" si="22"/>
        <v>No</v>
      </c>
      <c r="T306" s="3" t="s">
        <v>40</v>
      </c>
      <c r="U306" s="3" t="str">
        <f t="shared" si="23"/>
        <v>Rainy</v>
      </c>
      <c r="V306" s="3" t="s">
        <v>40</v>
      </c>
      <c r="W306" s="3" cm="1">
        <f t="array" ref="W306">_xlfn.IFS(
OR(F306="Selenium (Hands-on)",F306="Guest Lecture: HR Interview"),6,
OR(F306="Soft Skill",F306="Soft Skill (Examination)",F306="AWS Training",F306="AWS Session"),7,
OR(ISNUMBER(SEARCH("MAD",F306)),ISNUMBER(SEARCH("STQA",F306)),F306="CI/CD Session"),8,
OR(ISNUMBER(SEARCH("Cloud",F306)),F306="Industry Readiness Program",ISNUMBER(SEARCH("Talenlio",F306))),9,
OR(ISNUMBER(SEARCH("Innovation",F306)),F306="Mini Project"),10,
OR(ISNUMBER(SEARCH("Data Science",F306)),ISNUMBER(SEARCH("DS",F306))),11,
ISNUMBER(SEARCH("Generative AI",F306)),12
=_xlfn.IFS(
OR(F306="Selenium (Hands-on)",F306="Guest Lecture: HR Interview"),6,
OR(F306="Soft Skill",F306="Soft Skill (Examination)",F306="AWS Training",F306="AWS Session"),7,
OR(ISNUMBER(SEARCH("MAD",F306)),ISNUMBER(SEARCH("STQA",F306)),F306="CI/CD Session"),8,
OR(ISNUMBER(SEARCH("Cloud",F306)),F306="Industry Readiness Program",ISNUMBER(SEARCH("Talenlio",F306))),9,
OR(ISNUMBER(SEARCH("Innovation",F306)),F306="Mini Project"),10,
OR(ISNUMBER(SEARCH("Data Science",F306)),ISNUMBER(SEARCH("DS",F306))),11,
ISNUMBER(SEARCH("Generative AI",F306)),12
=_xlfn.IFS(
OR(F306="Selenium (Hands-on)",F306="Guest Lecture: HR Interview"),6,
OR(F306="Soft Skill",F306="Soft Skill (Examination)",F306="AWS Training",F306="AWS Session"),7,
OR(ISNUMBER(SEARCH("MAD",F306)),ISNUMBER(SEARCH("STQA",F306)),F306="CI/CD Session"),8,
OR(ISNUMBER(SEARCH("Cloud",F306)),F306="Industry Readiness Program",ISNUMBER(SEARCH("Talenlio",F306))),9,
OR(ISNUMBER(SEARCH("Innovation",F306)),F306="Mini Project"),10,
OR(ISNUMBER(SEARCH("Data Science",F306)),ISNUMBER(SEARCH("DS",F306))),11,
ISNUMBER(SEARCH("Generative AI",F306)),12
=_xlfn.IFS(
OR(F306="Selenium (Hands-on)",F306="Guest Lecture: HR Interview"),6,
OR(F306="Soft Skill",F306="Soft Skill (Examination)",F306="AWS Training",F306="AWS Session"),7,
OR(ISNUMBER(SEARCH("MAD",F306)),ISNUMBER(SEARCH("STQA",F306)),F306="CI/CD Session"),8,
OR(ISNUMBER(SEARCH("Cloud",F306)),F306="Industry Readiness Program",ISNUMBER(SEARCH("Talenlio",F306))),9,
OR(ISNUMBER(SEARCH("Innovation",F306)),F306="Mini Project"),10,
OR(ISNUMBER(SEARCH("Data Science",F306)),ISNUMBER(SEARCH("DS",F306))),11,
ISNUMBER(SEARCH("Generative AI",F306)),12
))))</f>
        <v>7</v>
      </c>
      <c r="X306" s="3">
        <v>10</v>
      </c>
      <c r="Y306" s="3">
        <v>67</v>
      </c>
      <c r="Z306" s="3" t="s">
        <v>38</v>
      </c>
    </row>
    <row r="307" spans="1:26" x14ac:dyDescent="0.3">
      <c r="A307" s="2">
        <v>46254</v>
      </c>
      <c r="B307" s="3" t="s">
        <v>45</v>
      </c>
      <c r="C307" s="3">
        <v>7</v>
      </c>
      <c r="D307" s="4">
        <v>0.64583333333333304</v>
      </c>
      <c r="E307" s="4">
        <v>0.6875</v>
      </c>
      <c r="F307" s="3" t="s">
        <v>81</v>
      </c>
      <c r="G307" s="3" t="s">
        <v>289</v>
      </c>
      <c r="H307" s="3" t="s">
        <v>29</v>
      </c>
      <c r="I307" s="3" t="s">
        <v>30</v>
      </c>
      <c r="J307" s="3" t="s">
        <v>31</v>
      </c>
      <c r="K307" s="3" t="s">
        <v>52</v>
      </c>
      <c r="L307" s="5">
        <v>103</v>
      </c>
      <c r="M307" s="5">
        <f t="shared" ca="1" si="20"/>
        <v>98</v>
      </c>
      <c r="N307" s="6">
        <f t="shared" ca="1" si="21"/>
        <v>95.145631067961162</v>
      </c>
      <c r="O307" s="3" cm="1">
        <f t="array" aca="1" ref="O307" ca="1">IFERROR(LOOKUP(2, 1/((F$1:F306=F307)*(J$1:J306=J307)*(ROW(F$1:F306)&lt;ROW(F307))), N$1:N306), "")</f>
        <v>86.40776699029125</v>
      </c>
      <c r="P307" s="3">
        <f t="shared" si="24"/>
        <v>0</v>
      </c>
      <c r="Q307" s="3" t="s">
        <v>43</v>
      </c>
      <c r="R307" s="3" t="s">
        <v>40</v>
      </c>
      <c r="S307" s="3" t="str">
        <f t="shared" si="22"/>
        <v>No</v>
      </c>
      <c r="T307" s="3" t="s">
        <v>40</v>
      </c>
      <c r="U307" s="3" t="str">
        <f t="shared" si="23"/>
        <v>Rainy</v>
      </c>
      <c r="V307" s="3" t="s">
        <v>40</v>
      </c>
      <c r="W307" s="3" cm="1">
        <f t="array" ref="W307">_xlfn.IFS(
OR(F307="Selenium (Hands-on)",F307="Guest Lecture: HR Interview"),6,
OR(F307="Soft Skill",F307="Soft Skill (Examination)",F307="AWS Training",F307="AWS Session"),7,
OR(ISNUMBER(SEARCH("MAD",F307)),ISNUMBER(SEARCH("STQA",F307)),F307="CI/CD Session"),8,
OR(ISNUMBER(SEARCH("Cloud",F307)),F307="Industry Readiness Program",ISNUMBER(SEARCH("Talenlio",F307))),9,
OR(ISNUMBER(SEARCH("Innovation",F307)),F307="Mini Project"),10,
OR(ISNUMBER(SEARCH("Data Science",F307)),ISNUMBER(SEARCH("DS",F307))),11,
ISNUMBER(SEARCH("Generative AI",F307)),12
=_xlfn.IFS(
OR(F307="Selenium (Hands-on)",F307="Guest Lecture: HR Interview"),6,
OR(F307="Soft Skill",F307="Soft Skill (Examination)",F307="AWS Training",F307="AWS Session"),7,
OR(ISNUMBER(SEARCH("MAD",F307)),ISNUMBER(SEARCH("STQA",F307)),F307="CI/CD Session"),8,
OR(ISNUMBER(SEARCH("Cloud",F307)),F307="Industry Readiness Program",ISNUMBER(SEARCH("Talenlio",F307))),9,
OR(ISNUMBER(SEARCH("Innovation",F307)),F307="Mini Project"),10,
OR(ISNUMBER(SEARCH("Data Science",F307)),ISNUMBER(SEARCH("DS",F307))),11,
ISNUMBER(SEARCH("Generative AI",F307)),12
=_xlfn.IFS(
OR(F307="Selenium (Hands-on)",F307="Guest Lecture: HR Interview"),6,
OR(F307="Soft Skill",F307="Soft Skill (Examination)",F307="AWS Training",F307="AWS Session"),7,
OR(ISNUMBER(SEARCH("MAD",F307)),ISNUMBER(SEARCH("STQA",F307)),F307="CI/CD Session"),8,
OR(ISNUMBER(SEARCH("Cloud",F307)),F307="Industry Readiness Program",ISNUMBER(SEARCH("Talenlio",F307))),9,
OR(ISNUMBER(SEARCH("Innovation",F307)),F307="Mini Project"),10,
OR(ISNUMBER(SEARCH("Data Science",F307)),ISNUMBER(SEARCH("DS",F307))),11,
ISNUMBER(SEARCH("Generative AI",F307)),12
=_xlfn.IFS(
OR(F307="Selenium (Hands-on)",F307="Guest Lecture: HR Interview"),6,
OR(F307="Soft Skill",F307="Soft Skill (Examination)",F307="AWS Training",F307="AWS Session"),7,
OR(ISNUMBER(SEARCH("MAD",F307)),ISNUMBER(SEARCH("STQA",F307)),F307="CI/CD Session"),8,
OR(ISNUMBER(SEARCH("Cloud",F307)),F307="Industry Readiness Program",ISNUMBER(SEARCH("Talenlio",F307))),9,
OR(ISNUMBER(SEARCH("Innovation",F307)),F307="Mini Project"),10,
OR(ISNUMBER(SEARCH("Data Science",F307)),ISNUMBER(SEARCH("DS",F307))),11,
ISNUMBER(SEARCH("Generative AI",F307)),12
))))</f>
        <v>7</v>
      </c>
      <c r="X307" s="3">
        <v>10</v>
      </c>
      <c r="Y307" s="3">
        <v>67</v>
      </c>
      <c r="Z307" s="3" t="s">
        <v>38</v>
      </c>
    </row>
    <row r="308" spans="1:26" x14ac:dyDescent="0.3">
      <c r="A308" s="2">
        <v>46188</v>
      </c>
      <c r="B308" s="3" t="s">
        <v>26</v>
      </c>
      <c r="C308" s="3">
        <v>1</v>
      </c>
      <c r="D308" s="4">
        <v>0.38541666666666702</v>
      </c>
      <c r="E308" s="4">
        <v>0.42708333333333298</v>
      </c>
      <c r="F308" s="3" t="s">
        <v>27</v>
      </c>
      <c r="G308" s="3" t="s">
        <v>28</v>
      </c>
      <c r="H308" s="3" t="s">
        <v>29</v>
      </c>
      <c r="I308" s="3" t="s">
        <v>30</v>
      </c>
      <c r="J308" s="3" t="s">
        <v>84</v>
      </c>
      <c r="K308" s="3" t="s">
        <v>32</v>
      </c>
      <c r="L308" s="5">
        <v>102</v>
      </c>
      <c r="M308" s="5">
        <f t="shared" ca="1" si="20"/>
        <v>55</v>
      </c>
      <c r="N308" s="6">
        <f ca="1">RANDBETWEEN(40,102)</f>
        <v>87</v>
      </c>
      <c r="O308" s="3">
        <v>45.641318400000003</v>
      </c>
      <c r="P308" s="3">
        <f t="shared" si="24"/>
        <v>0</v>
      </c>
      <c r="Q308" s="3" t="s">
        <v>33</v>
      </c>
      <c r="R308" s="3" t="s">
        <v>40</v>
      </c>
      <c r="S308" s="3" t="str">
        <f t="shared" si="22"/>
        <v>No</v>
      </c>
      <c r="T308" s="3" t="s">
        <v>34</v>
      </c>
      <c r="U308" s="3" t="str">
        <f t="shared" si="23"/>
        <v>Sunny</v>
      </c>
      <c r="V308" s="3" t="s">
        <v>40</v>
      </c>
      <c r="W308" s="3" cm="1">
        <f t="array" ref="W308">_xlfn.IFS(
OR(F308="Selenium (Hands-on)",F308="Guest Lecture: HR Interview"),6,
OR(F308="Soft Skill",F308="Soft Skill (Examination)",F308="AWS Training",F308="AWS Session"),7,
OR(ISNUMBER(SEARCH("MAD",F308)),ISNUMBER(SEARCH("STQA",F308)),F308="CI/CD Session"),8,
OR(ISNUMBER(SEARCH("Cloud",F308)),F308="Industry Readiness Program",ISNUMBER(SEARCH("Talenlio",F308))),9,
OR(ISNUMBER(SEARCH("Innovation",F308)),F308="Mini Project"),10,
OR(ISNUMBER(SEARCH("Data Science",F308)),ISNUMBER(SEARCH("DS",F308))),11,
ISNUMBER(SEARCH("Generative AI",F308)),12
=_xlfn.IFS(
OR(F308="Selenium (Hands-on)",F308="Guest Lecture: HR Interview"),6,
OR(F308="Soft Skill",F308="Soft Skill (Examination)",F308="AWS Training",F308="AWS Session"),7,
OR(ISNUMBER(SEARCH("MAD",F308)),ISNUMBER(SEARCH("STQA",F308)),F308="CI/CD Session"),8,
OR(ISNUMBER(SEARCH("Cloud",F308)),F308="Industry Readiness Program",ISNUMBER(SEARCH("Talenlio",F308))),9,
OR(ISNUMBER(SEARCH("Innovation",F308)),F308="Mini Project"),10,
OR(ISNUMBER(SEARCH("Data Science",F308)),ISNUMBER(SEARCH("DS",F308))),11,
ISNUMBER(SEARCH("Generative AI",F308)),12
=_xlfn.IFS(
OR(F308="Selenium (Hands-on)",F308="Guest Lecture: HR Interview"),6,
OR(F308="Soft Skill",F308="Soft Skill (Examination)",F308="AWS Training",F308="AWS Session"),7,
OR(ISNUMBER(SEARCH("MAD",F308)),ISNUMBER(SEARCH("STQA",F308)),F308="CI/CD Session"),8,
OR(ISNUMBER(SEARCH("Cloud",F308)),F308="Industry Readiness Program",ISNUMBER(SEARCH("Talenlio",F308))),9,
OR(ISNUMBER(SEARCH("Innovation",F308)),F308="Mini Project"),10,
OR(ISNUMBER(SEARCH("Data Science",F308)),ISNUMBER(SEARCH("DS",F308))),11,
ISNUMBER(SEARCH("Generative AI",F308)),12
=_xlfn.IFS(
OR(F308="Selenium (Hands-on)",F308="Guest Lecture: HR Interview"),6,
OR(F308="Soft Skill",F308="Soft Skill (Examination)",F308="AWS Training",F308="AWS Session"),7,
OR(ISNUMBER(SEARCH("MAD",F308)),ISNUMBER(SEARCH("STQA",F308)),F308="CI/CD Session"),8,
OR(ISNUMBER(SEARCH("Cloud",F308)),F308="Industry Readiness Program",ISNUMBER(SEARCH("Talenlio",F308))),9,
OR(ISNUMBER(SEARCH("Innovation",F308)),F308="Mini Project"),10,
OR(ISNUMBER(SEARCH("Data Science",F308)),ISNUMBER(SEARCH("DS",F308))),11,
ISNUMBER(SEARCH("Generative AI",F308)),12
))))</f>
        <v>7</v>
      </c>
      <c r="X308" s="3">
        <v>1</v>
      </c>
      <c r="Y308" s="3">
        <v>1</v>
      </c>
      <c r="Z308" s="3" t="s">
        <v>35</v>
      </c>
    </row>
    <row r="309" spans="1:26" x14ac:dyDescent="0.3">
      <c r="A309" s="2">
        <v>46188</v>
      </c>
      <c r="B309" s="3" t="s">
        <v>26</v>
      </c>
      <c r="C309" s="3">
        <v>2</v>
      </c>
      <c r="D309" s="4">
        <v>0.42708333333333298</v>
      </c>
      <c r="E309" s="4">
        <v>0.46875</v>
      </c>
      <c r="F309" s="3" t="s">
        <v>27</v>
      </c>
      <c r="G309" s="3" t="s">
        <v>28</v>
      </c>
      <c r="H309" s="3" t="s">
        <v>29</v>
      </c>
      <c r="I309" s="3" t="s">
        <v>30</v>
      </c>
      <c r="J309" s="3" t="s">
        <v>84</v>
      </c>
      <c r="K309" s="3" t="s">
        <v>32</v>
      </c>
      <c r="L309" s="5">
        <v>102</v>
      </c>
      <c r="M309" s="5">
        <f t="shared" ca="1" si="20"/>
        <v>73</v>
      </c>
      <c r="N309" s="6">
        <f t="shared" ca="1" si="21"/>
        <v>71.568627450980387</v>
      </c>
      <c r="O309" s="3" cm="1">
        <f t="array" aca="1" ref="O309" ca="1">IFERROR(LOOKUP(2, 1/((F$1:F308=F309)*(J$1:J308=J309)*(ROW(F$1:F308)&lt;ROW(F309))), N$1:N308), "")</f>
        <v>87</v>
      </c>
      <c r="P309" s="3">
        <f t="shared" si="24"/>
        <v>0</v>
      </c>
      <c r="Q309" s="3" t="s">
        <v>33</v>
      </c>
      <c r="R309" s="3" t="s">
        <v>40</v>
      </c>
      <c r="S309" s="3" t="str">
        <f t="shared" si="22"/>
        <v>No</v>
      </c>
      <c r="T309" s="3" t="s">
        <v>34</v>
      </c>
      <c r="U309" s="3" t="str">
        <f t="shared" si="23"/>
        <v>Sunny</v>
      </c>
      <c r="V309" s="3" t="s">
        <v>40</v>
      </c>
      <c r="W309" s="3" cm="1">
        <f t="array" ref="W309">_xlfn.IFS(
OR(F309="Selenium (Hands-on)",F309="Guest Lecture: HR Interview"),6,
OR(F309="Soft Skill",F309="Soft Skill (Examination)",F309="AWS Training",F309="AWS Session"),7,
OR(ISNUMBER(SEARCH("MAD",F309)),ISNUMBER(SEARCH("STQA",F309)),F309="CI/CD Session"),8,
OR(ISNUMBER(SEARCH("Cloud",F309)),F309="Industry Readiness Program",ISNUMBER(SEARCH("Talenlio",F309))),9,
OR(ISNUMBER(SEARCH("Innovation",F309)),F309="Mini Project"),10,
OR(ISNUMBER(SEARCH("Data Science",F309)),ISNUMBER(SEARCH("DS",F309))),11,
ISNUMBER(SEARCH("Generative AI",F309)),12
=_xlfn.IFS(
OR(F309="Selenium (Hands-on)",F309="Guest Lecture: HR Interview"),6,
OR(F309="Soft Skill",F309="Soft Skill (Examination)",F309="AWS Training",F309="AWS Session"),7,
OR(ISNUMBER(SEARCH("MAD",F309)),ISNUMBER(SEARCH("STQA",F309)),F309="CI/CD Session"),8,
OR(ISNUMBER(SEARCH("Cloud",F309)),F309="Industry Readiness Program",ISNUMBER(SEARCH("Talenlio",F309))),9,
OR(ISNUMBER(SEARCH("Innovation",F309)),F309="Mini Project"),10,
OR(ISNUMBER(SEARCH("Data Science",F309)),ISNUMBER(SEARCH("DS",F309))),11,
ISNUMBER(SEARCH("Generative AI",F309)),12
=_xlfn.IFS(
OR(F309="Selenium (Hands-on)",F309="Guest Lecture: HR Interview"),6,
OR(F309="Soft Skill",F309="Soft Skill (Examination)",F309="AWS Training",F309="AWS Session"),7,
OR(ISNUMBER(SEARCH("MAD",F309)),ISNUMBER(SEARCH("STQA",F309)),F309="CI/CD Session"),8,
OR(ISNUMBER(SEARCH("Cloud",F309)),F309="Industry Readiness Program",ISNUMBER(SEARCH("Talenlio",F309))),9,
OR(ISNUMBER(SEARCH("Innovation",F309)),F309="Mini Project"),10,
OR(ISNUMBER(SEARCH("Data Science",F309)),ISNUMBER(SEARCH("DS",F309))),11,
ISNUMBER(SEARCH("Generative AI",F309)),12
=_xlfn.IFS(
OR(F309="Selenium (Hands-on)",F309="Guest Lecture: HR Interview"),6,
OR(F309="Soft Skill",F309="Soft Skill (Examination)",F309="AWS Training",F309="AWS Session"),7,
OR(ISNUMBER(SEARCH("MAD",F309)),ISNUMBER(SEARCH("STQA",F309)),F309="CI/CD Session"),8,
OR(ISNUMBER(SEARCH("Cloud",F309)),F309="Industry Readiness Program",ISNUMBER(SEARCH("Talenlio",F309))),9,
OR(ISNUMBER(SEARCH("Innovation",F309)),F309="Mini Project"),10,
OR(ISNUMBER(SEARCH("Data Science",F309)),ISNUMBER(SEARCH("DS",F309))),11,
ISNUMBER(SEARCH("Generative AI",F309)),12
))))</f>
        <v>7</v>
      </c>
      <c r="X309" s="3">
        <v>1</v>
      </c>
      <c r="Y309" s="3">
        <v>1</v>
      </c>
      <c r="Z309" s="3" t="s">
        <v>35</v>
      </c>
    </row>
    <row r="310" spans="1:26" x14ac:dyDescent="0.3">
      <c r="A310" s="2">
        <v>46188</v>
      </c>
      <c r="B310" s="3" t="s">
        <v>26</v>
      </c>
      <c r="C310" s="3">
        <v>3</v>
      </c>
      <c r="D310" s="4">
        <v>0.5625</v>
      </c>
      <c r="E310" s="4">
        <v>0.60416666666666696</v>
      </c>
      <c r="F310" s="3" t="s">
        <v>36</v>
      </c>
      <c r="G310" s="3" t="s">
        <v>37</v>
      </c>
      <c r="H310" s="3" t="s">
        <v>29</v>
      </c>
      <c r="I310" s="3" t="s">
        <v>30</v>
      </c>
      <c r="J310" s="3" t="s">
        <v>84</v>
      </c>
      <c r="K310" s="3" t="s">
        <v>32</v>
      </c>
      <c r="L310" s="5">
        <v>102</v>
      </c>
      <c r="M310" s="5">
        <f t="shared" ca="1" si="20"/>
        <v>100</v>
      </c>
      <c r="N310" s="6">
        <f t="shared" ca="1" si="21"/>
        <v>98.039215686274503</v>
      </c>
      <c r="O310" s="3">
        <v>78.446168459999996</v>
      </c>
      <c r="P310" s="3">
        <f t="shared" si="24"/>
        <v>2.25</v>
      </c>
      <c r="Q310" s="3" t="s">
        <v>33</v>
      </c>
      <c r="R310" s="3" t="s">
        <v>40</v>
      </c>
      <c r="S310" s="3" t="str">
        <f t="shared" si="22"/>
        <v>Yes</v>
      </c>
      <c r="T310" s="3" t="s">
        <v>34</v>
      </c>
      <c r="U310" s="3" t="str">
        <f t="shared" si="23"/>
        <v>Sunny</v>
      </c>
      <c r="V310" s="3" t="s">
        <v>34</v>
      </c>
      <c r="W310" s="3" t="b" cm="1">
        <f t="array" ref="W310">_xlfn.IFS(
OR(F310="Selenium (Hands-on)",F310="Guest Lecture: HR Interview"),6,
OR(F310="Soft Skill",F310="Soft Skill (Examination)",F310="AWS Training",F310="AWS Session"),7,
OR(ISNUMBER(SEARCH("MAD",F310)),ISNUMBER(SEARCH("STQA",F310)),F310="CI/CD Session"),8,
OR(ISNUMBER(SEARCH("Cloud",F310)),F310="Industry Readiness Program",ISNUMBER(SEARCH("Talenlio",F310))),9,
OR(ISNUMBER(SEARCH("Innovation",F310)),F310="Mini Project"),10,
OR(ISNUMBER(SEARCH("Data Science",F310)),ISNUMBER(SEARCH("DS",F310))),11,
ISNUMBER(SEARCH("Generative AI",F310)),12
=_xlfn.IFS(
OR(F310="Selenium (Hands-on)",F310="Guest Lecture: HR Interview"),6,
OR(F310="Soft Skill",F310="Soft Skill (Examination)",F310="AWS Training",F310="AWS Session"),7,
OR(ISNUMBER(SEARCH("MAD",F310)),ISNUMBER(SEARCH("STQA",F310)),F310="CI/CD Session"),8,
OR(ISNUMBER(SEARCH("Cloud",F310)),F310="Industry Readiness Program",ISNUMBER(SEARCH("Talenlio",F310))),9,
OR(ISNUMBER(SEARCH("Innovation",F310)),F310="Mini Project"),10,
OR(ISNUMBER(SEARCH("Data Science",F310)),ISNUMBER(SEARCH("DS",F310))),11,
ISNUMBER(SEARCH("Generative AI",F310)),12
=_xlfn.IFS(
OR(F310="Selenium (Hands-on)",F310="Guest Lecture: HR Interview"),6,
OR(F310="Soft Skill",F310="Soft Skill (Examination)",F310="AWS Training",F310="AWS Session"),7,
OR(ISNUMBER(SEARCH("MAD",F310)),ISNUMBER(SEARCH("STQA",F310)),F310="CI/CD Session"),8,
OR(ISNUMBER(SEARCH("Cloud",F310)),F310="Industry Readiness Program",ISNUMBER(SEARCH("Talenlio",F310))),9,
OR(ISNUMBER(SEARCH("Innovation",F310)),F310="Mini Project"),10,
OR(ISNUMBER(SEARCH("Data Science",F310)),ISNUMBER(SEARCH("DS",F310))),11,
ISNUMBER(SEARCH("Generative AI",F310)),12
=_xlfn.IFS(
OR(F310="Selenium (Hands-on)",F310="Guest Lecture: HR Interview"),6,
OR(F310="Soft Skill",F310="Soft Skill (Examination)",F310="AWS Training",F310="AWS Session"),7,
OR(ISNUMBER(SEARCH("MAD",F310)),ISNUMBER(SEARCH("STQA",F310)),F310="CI/CD Session"),8,
OR(ISNUMBER(SEARCH("Cloud",F310)),F310="Industry Readiness Program",ISNUMBER(SEARCH("Talenlio",F310))),9,
OR(ISNUMBER(SEARCH("Innovation",F310)),F310="Mini Project"),10,
OR(ISNUMBER(SEARCH("Data Science",F310)),ISNUMBER(SEARCH("DS",F310))),11,
ISNUMBER(SEARCH("Generative AI",F310)),12
))))</f>
        <v>0</v>
      </c>
      <c r="X310" s="3">
        <v>1</v>
      </c>
      <c r="Y310" s="3">
        <v>1</v>
      </c>
      <c r="Z310" s="3" t="s">
        <v>38</v>
      </c>
    </row>
    <row r="311" spans="1:26" x14ac:dyDescent="0.3">
      <c r="A311" s="2">
        <v>46188</v>
      </c>
      <c r="B311" s="3" t="s">
        <v>26</v>
      </c>
      <c r="C311" s="3">
        <v>4</v>
      </c>
      <c r="D311" s="4">
        <v>0.60416666666666696</v>
      </c>
      <c r="E311" s="4">
        <v>0.64583333333333304</v>
      </c>
      <c r="F311" s="3" t="s">
        <v>36</v>
      </c>
      <c r="G311" s="3" t="s">
        <v>37</v>
      </c>
      <c r="H311" s="3" t="s">
        <v>29</v>
      </c>
      <c r="I311" s="3" t="s">
        <v>30</v>
      </c>
      <c r="J311" s="3" t="s">
        <v>84</v>
      </c>
      <c r="K311" s="3" t="s">
        <v>32</v>
      </c>
      <c r="L311" s="5">
        <v>102</v>
      </c>
      <c r="M311" s="5">
        <f t="shared" ca="1" si="20"/>
        <v>84</v>
      </c>
      <c r="N311" s="6">
        <f t="shared" ca="1" si="21"/>
        <v>82.35294117647058</v>
      </c>
      <c r="O311" s="3" cm="1">
        <f t="array" aca="1" ref="O311" ca="1">IFERROR(LOOKUP(2, 1/((F$1:F310=F311)*(J$1:J310=J311)*(ROW(F$1:F310)&lt;ROW(F311))), N$1:N310), "")</f>
        <v>98.039215686274503</v>
      </c>
      <c r="P311" s="3">
        <f t="shared" si="24"/>
        <v>0</v>
      </c>
      <c r="Q311" s="3" t="s">
        <v>33</v>
      </c>
      <c r="R311" s="3" t="s">
        <v>40</v>
      </c>
      <c r="S311" s="3" t="str">
        <f t="shared" si="22"/>
        <v>Yes</v>
      </c>
      <c r="T311" s="3" t="s">
        <v>34</v>
      </c>
      <c r="U311" s="3" t="str">
        <f t="shared" si="23"/>
        <v>Sunny</v>
      </c>
      <c r="V311" s="3" t="s">
        <v>34</v>
      </c>
      <c r="W311" s="3" t="b" cm="1">
        <f t="array" ref="W311">_xlfn.IFS(
OR(F311="Selenium (Hands-on)",F311="Guest Lecture: HR Interview"),6,
OR(F311="Soft Skill",F311="Soft Skill (Examination)",F311="AWS Training",F311="AWS Session"),7,
OR(ISNUMBER(SEARCH("MAD",F311)),ISNUMBER(SEARCH("STQA",F311)),F311="CI/CD Session"),8,
OR(ISNUMBER(SEARCH("Cloud",F311)),F311="Industry Readiness Program",ISNUMBER(SEARCH("Talenlio",F311))),9,
OR(ISNUMBER(SEARCH("Innovation",F311)),F311="Mini Project"),10,
OR(ISNUMBER(SEARCH("Data Science",F311)),ISNUMBER(SEARCH("DS",F311))),11,
ISNUMBER(SEARCH("Generative AI",F311)),12
=_xlfn.IFS(
OR(F311="Selenium (Hands-on)",F311="Guest Lecture: HR Interview"),6,
OR(F311="Soft Skill",F311="Soft Skill (Examination)",F311="AWS Training",F311="AWS Session"),7,
OR(ISNUMBER(SEARCH("MAD",F311)),ISNUMBER(SEARCH("STQA",F311)),F311="CI/CD Session"),8,
OR(ISNUMBER(SEARCH("Cloud",F311)),F311="Industry Readiness Program",ISNUMBER(SEARCH("Talenlio",F311))),9,
OR(ISNUMBER(SEARCH("Innovation",F311)),F311="Mini Project"),10,
OR(ISNUMBER(SEARCH("Data Science",F311)),ISNUMBER(SEARCH("DS",F311))),11,
ISNUMBER(SEARCH("Generative AI",F311)),12
=_xlfn.IFS(
OR(F311="Selenium (Hands-on)",F311="Guest Lecture: HR Interview"),6,
OR(F311="Soft Skill",F311="Soft Skill (Examination)",F311="AWS Training",F311="AWS Session"),7,
OR(ISNUMBER(SEARCH("MAD",F311)),ISNUMBER(SEARCH("STQA",F311)),F311="CI/CD Session"),8,
OR(ISNUMBER(SEARCH("Cloud",F311)),F311="Industry Readiness Program",ISNUMBER(SEARCH("Talenlio",F311))),9,
OR(ISNUMBER(SEARCH("Innovation",F311)),F311="Mini Project"),10,
OR(ISNUMBER(SEARCH("Data Science",F311)),ISNUMBER(SEARCH("DS",F311))),11,
ISNUMBER(SEARCH("Generative AI",F311)),12
=_xlfn.IFS(
OR(F311="Selenium (Hands-on)",F311="Guest Lecture: HR Interview"),6,
OR(F311="Soft Skill",F311="Soft Skill (Examination)",F311="AWS Training",F311="AWS Session"),7,
OR(ISNUMBER(SEARCH("MAD",F311)),ISNUMBER(SEARCH("STQA",F311)),F311="CI/CD Session"),8,
OR(ISNUMBER(SEARCH("Cloud",F311)),F311="Industry Readiness Program",ISNUMBER(SEARCH("Talenlio",F311))),9,
OR(ISNUMBER(SEARCH("Innovation",F311)),F311="Mini Project"),10,
OR(ISNUMBER(SEARCH("Data Science",F311)),ISNUMBER(SEARCH("DS",F311))),11,
ISNUMBER(SEARCH("Generative AI",F311)),12
))))</f>
        <v>0</v>
      </c>
      <c r="X311" s="3">
        <v>1</v>
      </c>
      <c r="Y311" s="3">
        <v>1</v>
      </c>
      <c r="Z311" s="3" t="s">
        <v>38</v>
      </c>
    </row>
    <row r="312" spans="1:26" x14ac:dyDescent="0.3">
      <c r="A312" s="2">
        <v>46189</v>
      </c>
      <c r="B312" s="3" t="s">
        <v>39</v>
      </c>
      <c r="C312" s="3">
        <v>1</v>
      </c>
      <c r="D312" s="4">
        <v>0.38541666666666702</v>
      </c>
      <c r="E312" s="4">
        <v>0.42708333333333298</v>
      </c>
      <c r="F312" s="3" t="s">
        <v>27</v>
      </c>
      <c r="G312" s="3" t="s">
        <v>287</v>
      </c>
      <c r="H312" s="3" t="s">
        <v>29</v>
      </c>
      <c r="I312" s="3" t="s">
        <v>30</v>
      </c>
      <c r="J312" s="3" t="s">
        <v>84</v>
      </c>
      <c r="K312" s="3" t="s">
        <v>32</v>
      </c>
      <c r="L312" s="5">
        <v>102</v>
      </c>
      <c r="M312" s="5">
        <f t="shared" ca="1" si="20"/>
        <v>98</v>
      </c>
      <c r="N312" s="6">
        <f t="shared" ca="1" si="21"/>
        <v>96.078431372549019</v>
      </c>
      <c r="O312" s="3" cm="1">
        <f t="array" aca="1" ref="O312" ca="1">IFERROR(LOOKUP(2, 1/((F$1:F311=F312)*(J$1:J311=J312)*(ROW(F$1:F311)&lt;ROW(F312))), N$1:N311), "")</f>
        <v>71.568627450980387</v>
      </c>
      <c r="P312" s="3">
        <f t="shared" si="24"/>
        <v>0</v>
      </c>
      <c r="Q312" s="3" t="s">
        <v>33</v>
      </c>
      <c r="R312" s="3" t="s">
        <v>40</v>
      </c>
      <c r="S312" s="3" t="str">
        <f t="shared" si="22"/>
        <v>No</v>
      </c>
      <c r="T312" s="3" t="s">
        <v>40</v>
      </c>
      <c r="U312" s="3" t="str">
        <f t="shared" si="23"/>
        <v>Sunny</v>
      </c>
      <c r="V312" s="3" t="s">
        <v>40</v>
      </c>
      <c r="W312" s="3" cm="1">
        <f t="array" ref="W312">_xlfn.IFS(
OR(F312="Selenium (Hands-on)",F312="Guest Lecture: HR Interview"),6,
OR(F312="Soft Skill",F312="Soft Skill (Examination)",F312="AWS Training",F312="AWS Session"),7,
OR(ISNUMBER(SEARCH("MAD",F312)),ISNUMBER(SEARCH("STQA",F312)),F312="CI/CD Session"),8,
OR(ISNUMBER(SEARCH("Cloud",F312)),F312="Industry Readiness Program",ISNUMBER(SEARCH("Talenlio",F312))),9,
OR(ISNUMBER(SEARCH("Innovation",F312)),F312="Mini Project"),10,
OR(ISNUMBER(SEARCH("Data Science",F312)),ISNUMBER(SEARCH("DS",F312))),11,
ISNUMBER(SEARCH("Generative AI",F312)),12
=_xlfn.IFS(
OR(F312="Selenium (Hands-on)",F312="Guest Lecture: HR Interview"),6,
OR(F312="Soft Skill",F312="Soft Skill (Examination)",F312="AWS Training",F312="AWS Session"),7,
OR(ISNUMBER(SEARCH("MAD",F312)),ISNUMBER(SEARCH("STQA",F312)),F312="CI/CD Session"),8,
OR(ISNUMBER(SEARCH("Cloud",F312)),F312="Industry Readiness Program",ISNUMBER(SEARCH("Talenlio",F312))),9,
OR(ISNUMBER(SEARCH("Innovation",F312)),F312="Mini Project"),10,
OR(ISNUMBER(SEARCH("Data Science",F312)),ISNUMBER(SEARCH("DS",F312))),11,
ISNUMBER(SEARCH("Generative AI",F312)),12
=_xlfn.IFS(
OR(F312="Selenium (Hands-on)",F312="Guest Lecture: HR Interview"),6,
OR(F312="Soft Skill",F312="Soft Skill (Examination)",F312="AWS Training",F312="AWS Session"),7,
OR(ISNUMBER(SEARCH("MAD",F312)),ISNUMBER(SEARCH("STQA",F312)),F312="CI/CD Session"),8,
OR(ISNUMBER(SEARCH("Cloud",F312)),F312="Industry Readiness Program",ISNUMBER(SEARCH("Talenlio",F312))),9,
OR(ISNUMBER(SEARCH("Innovation",F312)),F312="Mini Project"),10,
OR(ISNUMBER(SEARCH("Data Science",F312)),ISNUMBER(SEARCH("DS",F312))),11,
ISNUMBER(SEARCH("Generative AI",F312)),12
=_xlfn.IFS(
OR(F312="Selenium (Hands-on)",F312="Guest Lecture: HR Interview"),6,
OR(F312="Soft Skill",F312="Soft Skill (Examination)",F312="AWS Training",F312="AWS Session"),7,
OR(ISNUMBER(SEARCH("MAD",F312)),ISNUMBER(SEARCH("STQA",F312)),F312="CI/CD Session"),8,
OR(ISNUMBER(SEARCH("Cloud",F312)),F312="Industry Readiness Program",ISNUMBER(SEARCH("Talenlio",F312))),9,
OR(ISNUMBER(SEARCH("Innovation",F312)),F312="Mini Project"),10,
OR(ISNUMBER(SEARCH("Data Science",F312)),ISNUMBER(SEARCH("DS",F312))),11,
ISNUMBER(SEARCH("Generative AI",F312)),12
))))</f>
        <v>7</v>
      </c>
      <c r="X312" s="3">
        <v>1</v>
      </c>
      <c r="Y312" s="3">
        <v>2</v>
      </c>
      <c r="Z312" s="3" t="s">
        <v>35</v>
      </c>
    </row>
    <row r="313" spans="1:26" x14ac:dyDescent="0.3">
      <c r="A313" s="2">
        <v>46189</v>
      </c>
      <c r="B313" s="3" t="s">
        <v>39</v>
      </c>
      <c r="C313" s="3">
        <v>2</v>
      </c>
      <c r="D313" s="4">
        <v>0.42708333333333298</v>
      </c>
      <c r="E313" s="4">
        <v>0.46875</v>
      </c>
      <c r="F313" s="3" t="s">
        <v>27</v>
      </c>
      <c r="G313" s="3" t="s">
        <v>287</v>
      </c>
      <c r="H313" s="3" t="s">
        <v>29</v>
      </c>
      <c r="I313" s="3" t="s">
        <v>30</v>
      </c>
      <c r="J313" s="3" t="s">
        <v>84</v>
      </c>
      <c r="K313" s="3" t="s">
        <v>32</v>
      </c>
      <c r="L313" s="5">
        <v>102</v>
      </c>
      <c r="M313" s="5">
        <f t="shared" ca="1" si="20"/>
        <v>41</v>
      </c>
      <c r="N313" s="6">
        <f t="shared" ca="1" si="21"/>
        <v>40.196078431372548</v>
      </c>
      <c r="O313" s="3" cm="1">
        <f t="array" aca="1" ref="O313" ca="1">IFERROR(LOOKUP(2, 1/((F$1:F312=F313)*(J$1:J312=J313)*(ROW(F$1:F312)&lt;ROW(F313))), N$1:N312), "")</f>
        <v>96.078431372549019</v>
      </c>
      <c r="P313" s="3">
        <f t="shared" si="24"/>
        <v>0</v>
      </c>
      <c r="Q313" s="3" t="s">
        <v>33</v>
      </c>
      <c r="R313" s="3" t="s">
        <v>40</v>
      </c>
      <c r="S313" s="3" t="str">
        <f t="shared" si="22"/>
        <v>No</v>
      </c>
      <c r="T313" s="3" t="s">
        <v>40</v>
      </c>
      <c r="U313" s="3" t="str">
        <f t="shared" si="23"/>
        <v>Sunny</v>
      </c>
      <c r="V313" s="3" t="s">
        <v>40</v>
      </c>
      <c r="W313" s="3" cm="1">
        <f t="array" ref="W313">_xlfn.IFS(
OR(F313="Selenium (Hands-on)",F313="Guest Lecture: HR Interview"),6,
OR(F313="Soft Skill",F313="Soft Skill (Examination)",F313="AWS Training",F313="AWS Session"),7,
OR(ISNUMBER(SEARCH("MAD",F313)),ISNUMBER(SEARCH("STQA",F313)),F313="CI/CD Session"),8,
OR(ISNUMBER(SEARCH("Cloud",F313)),F313="Industry Readiness Program",ISNUMBER(SEARCH("Talenlio",F313))),9,
OR(ISNUMBER(SEARCH("Innovation",F313)),F313="Mini Project"),10,
OR(ISNUMBER(SEARCH("Data Science",F313)),ISNUMBER(SEARCH("DS",F313))),11,
ISNUMBER(SEARCH("Generative AI",F313)),12
=_xlfn.IFS(
OR(F313="Selenium (Hands-on)",F313="Guest Lecture: HR Interview"),6,
OR(F313="Soft Skill",F313="Soft Skill (Examination)",F313="AWS Training",F313="AWS Session"),7,
OR(ISNUMBER(SEARCH("MAD",F313)),ISNUMBER(SEARCH("STQA",F313)),F313="CI/CD Session"),8,
OR(ISNUMBER(SEARCH("Cloud",F313)),F313="Industry Readiness Program",ISNUMBER(SEARCH("Talenlio",F313))),9,
OR(ISNUMBER(SEARCH("Innovation",F313)),F313="Mini Project"),10,
OR(ISNUMBER(SEARCH("Data Science",F313)),ISNUMBER(SEARCH("DS",F313))),11,
ISNUMBER(SEARCH("Generative AI",F313)),12
=_xlfn.IFS(
OR(F313="Selenium (Hands-on)",F313="Guest Lecture: HR Interview"),6,
OR(F313="Soft Skill",F313="Soft Skill (Examination)",F313="AWS Training",F313="AWS Session"),7,
OR(ISNUMBER(SEARCH("MAD",F313)),ISNUMBER(SEARCH("STQA",F313)),F313="CI/CD Session"),8,
OR(ISNUMBER(SEARCH("Cloud",F313)),F313="Industry Readiness Program",ISNUMBER(SEARCH("Talenlio",F313))),9,
OR(ISNUMBER(SEARCH("Innovation",F313)),F313="Mini Project"),10,
OR(ISNUMBER(SEARCH("Data Science",F313)),ISNUMBER(SEARCH("DS",F313))),11,
ISNUMBER(SEARCH("Generative AI",F313)),12
=_xlfn.IFS(
OR(F313="Selenium (Hands-on)",F313="Guest Lecture: HR Interview"),6,
OR(F313="Soft Skill",F313="Soft Skill (Examination)",F313="AWS Training",F313="AWS Session"),7,
OR(ISNUMBER(SEARCH("MAD",F313)),ISNUMBER(SEARCH("STQA",F313)),F313="CI/CD Session"),8,
OR(ISNUMBER(SEARCH("Cloud",F313)),F313="Industry Readiness Program",ISNUMBER(SEARCH("Talenlio",F313))),9,
OR(ISNUMBER(SEARCH("Innovation",F313)),F313="Mini Project"),10,
OR(ISNUMBER(SEARCH("Data Science",F313)),ISNUMBER(SEARCH("DS",F313))),11,
ISNUMBER(SEARCH("Generative AI",F313)),12
))))</f>
        <v>7</v>
      </c>
      <c r="X313" s="3">
        <v>1</v>
      </c>
      <c r="Y313" s="3">
        <v>2</v>
      </c>
      <c r="Z313" s="3" t="s">
        <v>35</v>
      </c>
    </row>
    <row r="314" spans="1:26" x14ac:dyDescent="0.3">
      <c r="A314" s="2">
        <v>46189</v>
      </c>
      <c r="B314" s="3" t="s">
        <v>39</v>
      </c>
      <c r="C314" s="3">
        <v>3</v>
      </c>
      <c r="D314" s="4">
        <v>0.5625</v>
      </c>
      <c r="E314" s="4">
        <v>0.60416666666666696</v>
      </c>
      <c r="F314" s="3" t="s">
        <v>41</v>
      </c>
      <c r="G314" s="3" t="s">
        <v>288</v>
      </c>
      <c r="H314" s="3" t="s">
        <v>29</v>
      </c>
      <c r="I314" s="3" t="s">
        <v>30</v>
      </c>
      <c r="J314" s="3" t="s">
        <v>84</v>
      </c>
      <c r="K314" s="3" t="s">
        <v>42</v>
      </c>
      <c r="L314" s="5">
        <v>102</v>
      </c>
      <c r="M314" s="5">
        <f t="shared" ca="1" si="20"/>
        <v>49</v>
      </c>
      <c r="N314" s="6">
        <f t="shared" ca="1" si="21"/>
        <v>48.03921568627451</v>
      </c>
      <c r="O314" s="3">
        <v>54.168461100000002</v>
      </c>
      <c r="P314" s="3">
        <f t="shared" si="24"/>
        <v>2.25</v>
      </c>
      <c r="Q314" s="3" t="s">
        <v>43</v>
      </c>
      <c r="R314" s="3" t="s">
        <v>40</v>
      </c>
      <c r="S314" s="3" t="str">
        <f t="shared" si="22"/>
        <v>No</v>
      </c>
      <c r="T314" s="3" t="s">
        <v>40</v>
      </c>
      <c r="U314" s="3" t="str">
        <f t="shared" si="23"/>
        <v>Sunny</v>
      </c>
      <c r="V314" s="3" t="s">
        <v>40</v>
      </c>
      <c r="W314" s="3" cm="1">
        <f t="array" ref="W314">_xlfn.IFS(
OR(F314="Selenium (Hands-on)",F314="Guest Lecture: HR Interview"),6,
OR(F314="Soft Skill",F314="Soft Skill (Examination)",F314="AWS Training",F314="AWS Session"),7,
OR(ISNUMBER(SEARCH("MAD",F314)),ISNUMBER(SEARCH("STQA",F314)),F314="CI/CD Session"),8,
OR(ISNUMBER(SEARCH("Cloud",F314)),F314="Industry Readiness Program",ISNUMBER(SEARCH("Talenlio",F314))),9,
OR(ISNUMBER(SEARCH("Innovation",F314)),F314="Mini Project"),10,
OR(ISNUMBER(SEARCH("Data Science",F314)),ISNUMBER(SEARCH("DS",F314))),11,
ISNUMBER(SEARCH("Generative AI",F314)),12
=_xlfn.IFS(
OR(F314="Selenium (Hands-on)",F314="Guest Lecture: HR Interview"),6,
OR(F314="Soft Skill",F314="Soft Skill (Examination)",F314="AWS Training",F314="AWS Session"),7,
OR(ISNUMBER(SEARCH("MAD",F314)),ISNUMBER(SEARCH("STQA",F314)),F314="CI/CD Session"),8,
OR(ISNUMBER(SEARCH("Cloud",F314)),F314="Industry Readiness Program",ISNUMBER(SEARCH("Talenlio",F314))),9,
OR(ISNUMBER(SEARCH("Innovation",F314)),F314="Mini Project"),10,
OR(ISNUMBER(SEARCH("Data Science",F314)),ISNUMBER(SEARCH("DS",F314))),11,
ISNUMBER(SEARCH("Generative AI",F314)),12
=_xlfn.IFS(
OR(F314="Selenium (Hands-on)",F314="Guest Lecture: HR Interview"),6,
OR(F314="Soft Skill",F314="Soft Skill (Examination)",F314="AWS Training",F314="AWS Session"),7,
OR(ISNUMBER(SEARCH("MAD",F314)),ISNUMBER(SEARCH("STQA",F314)),F314="CI/CD Session"),8,
OR(ISNUMBER(SEARCH("Cloud",F314)),F314="Industry Readiness Program",ISNUMBER(SEARCH("Talenlio",F314))),9,
OR(ISNUMBER(SEARCH("Innovation",F314)),F314="Mini Project"),10,
OR(ISNUMBER(SEARCH("Data Science",F314)),ISNUMBER(SEARCH("DS",F314))),11,
ISNUMBER(SEARCH("Generative AI",F314)),12
=_xlfn.IFS(
OR(F314="Selenium (Hands-on)",F314="Guest Lecture: HR Interview"),6,
OR(F314="Soft Skill",F314="Soft Skill (Examination)",F314="AWS Training",F314="AWS Session"),7,
OR(ISNUMBER(SEARCH("MAD",F314)),ISNUMBER(SEARCH("STQA",F314)),F314="CI/CD Session"),8,
OR(ISNUMBER(SEARCH("Cloud",F314)),F314="Industry Readiness Program",ISNUMBER(SEARCH("Talenlio",F314))),9,
OR(ISNUMBER(SEARCH("Innovation",F314)),F314="Mini Project"),10,
OR(ISNUMBER(SEARCH("Data Science",F314)),ISNUMBER(SEARCH("DS",F314))),11,
ISNUMBER(SEARCH("Generative AI",F314)),12
))))</f>
        <v>8</v>
      </c>
      <c r="X314" s="3">
        <v>1</v>
      </c>
      <c r="Y314" s="3">
        <v>2</v>
      </c>
      <c r="Z314" s="3" t="s">
        <v>38</v>
      </c>
    </row>
    <row r="315" spans="1:26" x14ac:dyDescent="0.3">
      <c r="A315" s="2">
        <v>46189</v>
      </c>
      <c r="B315" s="3" t="s">
        <v>39</v>
      </c>
      <c r="C315" s="3">
        <v>4</v>
      </c>
      <c r="D315" s="4">
        <v>0.60416666666666696</v>
      </c>
      <c r="E315" s="4">
        <v>0.64583333333333304</v>
      </c>
      <c r="F315" s="3" t="s">
        <v>41</v>
      </c>
      <c r="G315" s="3" t="s">
        <v>288</v>
      </c>
      <c r="H315" s="3" t="s">
        <v>29</v>
      </c>
      <c r="I315" s="3" t="s">
        <v>30</v>
      </c>
      <c r="J315" s="3" t="s">
        <v>84</v>
      </c>
      <c r="K315" s="3" t="s">
        <v>42</v>
      </c>
      <c r="L315" s="5">
        <v>102</v>
      </c>
      <c r="M315" s="5">
        <f t="shared" ca="1" si="20"/>
        <v>69</v>
      </c>
      <c r="N315" s="6">
        <f t="shared" ca="1" si="21"/>
        <v>67.64705882352942</v>
      </c>
      <c r="O315" s="3">
        <v>65.861315000000005</v>
      </c>
      <c r="P315" s="3">
        <f t="shared" si="24"/>
        <v>0</v>
      </c>
      <c r="Q315" s="3" t="s">
        <v>43</v>
      </c>
      <c r="R315" s="3" t="s">
        <v>40</v>
      </c>
      <c r="S315" s="3" t="str">
        <f t="shared" si="22"/>
        <v>No</v>
      </c>
      <c r="T315" s="3" t="s">
        <v>40</v>
      </c>
      <c r="U315" s="3" t="str">
        <f t="shared" si="23"/>
        <v>Sunny</v>
      </c>
      <c r="V315" s="3" t="s">
        <v>40</v>
      </c>
      <c r="W315" s="3" cm="1">
        <f t="array" ref="W315">_xlfn.IFS(
OR(F315="Selenium (Hands-on)",F315="Guest Lecture: HR Interview"),6,
OR(F315="Soft Skill",F315="Soft Skill (Examination)",F315="AWS Training",F315="AWS Session"),7,
OR(ISNUMBER(SEARCH("MAD",F315)),ISNUMBER(SEARCH("STQA",F315)),F315="CI/CD Session"),8,
OR(ISNUMBER(SEARCH("Cloud",F315)),F315="Industry Readiness Program",ISNUMBER(SEARCH("Talenlio",F315))),9,
OR(ISNUMBER(SEARCH("Innovation",F315)),F315="Mini Project"),10,
OR(ISNUMBER(SEARCH("Data Science",F315)),ISNUMBER(SEARCH("DS",F315))),11,
ISNUMBER(SEARCH("Generative AI",F315)),12
=_xlfn.IFS(
OR(F315="Selenium (Hands-on)",F315="Guest Lecture: HR Interview"),6,
OR(F315="Soft Skill",F315="Soft Skill (Examination)",F315="AWS Training",F315="AWS Session"),7,
OR(ISNUMBER(SEARCH("MAD",F315)),ISNUMBER(SEARCH("STQA",F315)),F315="CI/CD Session"),8,
OR(ISNUMBER(SEARCH("Cloud",F315)),F315="Industry Readiness Program",ISNUMBER(SEARCH("Talenlio",F315))),9,
OR(ISNUMBER(SEARCH("Innovation",F315)),F315="Mini Project"),10,
OR(ISNUMBER(SEARCH("Data Science",F315)),ISNUMBER(SEARCH("DS",F315))),11,
ISNUMBER(SEARCH("Generative AI",F315)),12
=_xlfn.IFS(
OR(F315="Selenium (Hands-on)",F315="Guest Lecture: HR Interview"),6,
OR(F315="Soft Skill",F315="Soft Skill (Examination)",F315="AWS Training",F315="AWS Session"),7,
OR(ISNUMBER(SEARCH("MAD",F315)),ISNUMBER(SEARCH("STQA",F315)),F315="CI/CD Session"),8,
OR(ISNUMBER(SEARCH("Cloud",F315)),F315="Industry Readiness Program",ISNUMBER(SEARCH("Talenlio",F315))),9,
OR(ISNUMBER(SEARCH("Innovation",F315)),F315="Mini Project"),10,
OR(ISNUMBER(SEARCH("Data Science",F315)),ISNUMBER(SEARCH("DS",F315))),11,
ISNUMBER(SEARCH("Generative AI",F315)),12
=_xlfn.IFS(
OR(F315="Selenium (Hands-on)",F315="Guest Lecture: HR Interview"),6,
OR(F315="Soft Skill",F315="Soft Skill (Examination)",F315="AWS Training",F315="AWS Session"),7,
OR(ISNUMBER(SEARCH("MAD",F315)),ISNUMBER(SEARCH("STQA",F315)),F315="CI/CD Session"),8,
OR(ISNUMBER(SEARCH("Cloud",F315)),F315="Industry Readiness Program",ISNUMBER(SEARCH("Talenlio",F315))),9,
OR(ISNUMBER(SEARCH("Innovation",F315)),F315="Mini Project"),10,
OR(ISNUMBER(SEARCH("Data Science",F315)),ISNUMBER(SEARCH("DS",F315))),11,
ISNUMBER(SEARCH("Generative AI",F315)),12
))))</f>
        <v>8</v>
      </c>
      <c r="X315" s="3">
        <v>1</v>
      </c>
      <c r="Y315" s="3">
        <v>2</v>
      </c>
      <c r="Z315" s="3" t="s">
        <v>38</v>
      </c>
    </row>
    <row r="316" spans="1:26" x14ac:dyDescent="0.3">
      <c r="A316" s="2">
        <v>46190</v>
      </c>
      <c r="B316" s="3" t="s">
        <v>44</v>
      </c>
      <c r="C316" s="3">
        <v>1</v>
      </c>
      <c r="D316" s="4">
        <v>0.38541666666666702</v>
      </c>
      <c r="E316" s="4">
        <v>0.42708333333333298</v>
      </c>
      <c r="F316" s="3" t="s">
        <v>27</v>
      </c>
      <c r="G316" s="3" t="s">
        <v>287</v>
      </c>
      <c r="H316" s="3" t="s">
        <v>29</v>
      </c>
      <c r="I316" s="3" t="s">
        <v>30</v>
      </c>
      <c r="J316" s="3" t="s">
        <v>84</v>
      </c>
      <c r="K316" s="3" t="s">
        <v>32</v>
      </c>
      <c r="L316" s="5">
        <v>102</v>
      </c>
      <c r="M316" s="5">
        <f t="shared" ca="1" si="20"/>
        <v>57</v>
      </c>
      <c r="N316" s="6">
        <f t="shared" ca="1" si="21"/>
        <v>55.882352941176471</v>
      </c>
      <c r="O316" s="3" cm="1">
        <f t="array" aca="1" ref="O316" ca="1">IFERROR(LOOKUP(2, 1/((F$1:F315=F316)*(J$1:J315=J316)*(ROW(F$1:F315)&lt;ROW(F316))), N$1:N315), "")</f>
        <v>40.196078431372548</v>
      </c>
      <c r="P316" s="3">
        <f t="shared" si="24"/>
        <v>0</v>
      </c>
      <c r="Q316" s="3" t="s">
        <v>33</v>
      </c>
      <c r="R316" s="3" t="s">
        <v>40</v>
      </c>
      <c r="S316" s="3" t="str">
        <f t="shared" si="22"/>
        <v>No</v>
      </c>
      <c r="T316" s="3" t="s">
        <v>40</v>
      </c>
      <c r="U316" s="3" t="str">
        <f t="shared" si="23"/>
        <v>Sunny</v>
      </c>
      <c r="V316" s="3" t="s">
        <v>40</v>
      </c>
      <c r="W316" s="3" cm="1">
        <f t="array" ref="W316">_xlfn.IFS(
OR(F316="Selenium (Hands-on)",F316="Guest Lecture: HR Interview"),6,
OR(F316="Soft Skill",F316="Soft Skill (Examination)",F316="AWS Training",F316="AWS Session"),7,
OR(ISNUMBER(SEARCH("MAD",F316)),ISNUMBER(SEARCH("STQA",F316)),F316="CI/CD Session"),8,
OR(ISNUMBER(SEARCH("Cloud",F316)),F316="Industry Readiness Program",ISNUMBER(SEARCH("Talenlio",F316))),9,
OR(ISNUMBER(SEARCH("Innovation",F316)),F316="Mini Project"),10,
OR(ISNUMBER(SEARCH("Data Science",F316)),ISNUMBER(SEARCH("DS",F316))),11,
ISNUMBER(SEARCH("Generative AI",F316)),12
=_xlfn.IFS(
OR(F316="Selenium (Hands-on)",F316="Guest Lecture: HR Interview"),6,
OR(F316="Soft Skill",F316="Soft Skill (Examination)",F316="AWS Training",F316="AWS Session"),7,
OR(ISNUMBER(SEARCH("MAD",F316)),ISNUMBER(SEARCH("STQA",F316)),F316="CI/CD Session"),8,
OR(ISNUMBER(SEARCH("Cloud",F316)),F316="Industry Readiness Program",ISNUMBER(SEARCH("Talenlio",F316))),9,
OR(ISNUMBER(SEARCH("Innovation",F316)),F316="Mini Project"),10,
OR(ISNUMBER(SEARCH("Data Science",F316)),ISNUMBER(SEARCH("DS",F316))),11,
ISNUMBER(SEARCH("Generative AI",F316)),12
=_xlfn.IFS(
OR(F316="Selenium (Hands-on)",F316="Guest Lecture: HR Interview"),6,
OR(F316="Soft Skill",F316="Soft Skill (Examination)",F316="AWS Training",F316="AWS Session"),7,
OR(ISNUMBER(SEARCH("MAD",F316)),ISNUMBER(SEARCH("STQA",F316)),F316="CI/CD Session"),8,
OR(ISNUMBER(SEARCH("Cloud",F316)),F316="Industry Readiness Program",ISNUMBER(SEARCH("Talenlio",F316))),9,
OR(ISNUMBER(SEARCH("Innovation",F316)),F316="Mini Project"),10,
OR(ISNUMBER(SEARCH("Data Science",F316)),ISNUMBER(SEARCH("DS",F316))),11,
ISNUMBER(SEARCH("Generative AI",F316)),12
=_xlfn.IFS(
OR(F316="Selenium (Hands-on)",F316="Guest Lecture: HR Interview"),6,
OR(F316="Soft Skill",F316="Soft Skill (Examination)",F316="AWS Training",F316="AWS Session"),7,
OR(ISNUMBER(SEARCH("MAD",F316)),ISNUMBER(SEARCH("STQA",F316)),F316="CI/CD Session"),8,
OR(ISNUMBER(SEARCH("Cloud",F316)),F316="Industry Readiness Program",ISNUMBER(SEARCH("Talenlio",F316))),9,
OR(ISNUMBER(SEARCH("Innovation",F316)),F316="Mini Project"),10,
OR(ISNUMBER(SEARCH("Data Science",F316)),ISNUMBER(SEARCH("DS",F316))),11,
ISNUMBER(SEARCH("Generative AI",F316)),12
))))</f>
        <v>7</v>
      </c>
      <c r="X316" s="3">
        <v>1</v>
      </c>
      <c r="Y316" s="3">
        <v>3</v>
      </c>
      <c r="Z316" s="3" t="s">
        <v>35</v>
      </c>
    </row>
    <row r="317" spans="1:26" x14ac:dyDescent="0.3">
      <c r="A317" s="2">
        <v>46190</v>
      </c>
      <c r="B317" s="3" t="s">
        <v>44</v>
      </c>
      <c r="C317" s="3">
        <v>2</v>
      </c>
      <c r="D317" s="4">
        <v>0.42708333333333298</v>
      </c>
      <c r="E317" s="4">
        <v>0.46875</v>
      </c>
      <c r="F317" s="3" t="s">
        <v>27</v>
      </c>
      <c r="G317" s="3" t="s">
        <v>287</v>
      </c>
      <c r="H317" s="3" t="s">
        <v>29</v>
      </c>
      <c r="I317" s="3" t="s">
        <v>30</v>
      </c>
      <c r="J317" s="3" t="s">
        <v>84</v>
      </c>
      <c r="K317" s="3" t="s">
        <v>32</v>
      </c>
      <c r="L317" s="5">
        <v>102</v>
      </c>
      <c r="M317" s="5">
        <f t="shared" ca="1" si="20"/>
        <v>59</v>
      </c>
      <c r="N317" s="6">
        <f t="shared" ca="1" si="21"/>
        <v>57.843137254901968</v>
      </c>
      <c r="O317" s="3" cm="1">
        <f t="array" aca="1" ref="O317" ca="1">IFERROR(LOOKUP(2, 1/((F$1:F316=F317)*(J$1:J316=J317)*(ROW(F$1:F316)&lt;ROW(F317))), N$1:N316), "")</f>
        <v>55.882352941176471</v>
      </c>
      <c r="P317" s="3">
        <f t="shared" si="24"/>
        <v>0</v>
      </c>
      <c r="Q317" s="3" t="s">
        <v>33</v>
      </c>
      <c r="R317" s="3" t="s">
        <v>40</v>
      </c>
      <c r="S317" s="3" t="str">
        <f t="shared" si="22"/>
        <v>No</v>
      </c>
      <c r="T317" s="3" t="s">
        <v>40</v>
      </c>
      <c r="U317" s="3" t="str">
        <f t="shared" si="23"/>
        <v>Sunny</v>
      </c>
      <c r="V317" s="3" t="s">
        <v>40</v>
      </c>
      <c r="W317" s="3" cm="1">
        <f t="array" ref="W317">_xlfn.IFS(
OR(F317="Selenium (Hands-on)",F317="Guest Lecture: HR Interview"),6,
OR(F317="Soft Skill",F317="Soft Skill (Examination)",F317="AWS Training",F317="AWS Session"),7,
OR(ISNUMBER(SEARCH("MAD",F317)),ISNUMBER(SEARCH("STQA",F317)),F317="CI/CD Session"),8,
OR(ISNUMBER(SEARCH("Cloud",F317)),F317="Industry Readiness Program",ISNUMBER(SEARCH("Talenlio",F317))),9,
OR(ISNUMBER(SEARCH("Innovation",F317)),F317="Mini Project"),10,
OR(ISNUMBER(SEARCH("Data Science",F317)),ISNUMBER(SEARCH("DS",F317))),11,
ISNUMBER(SEARCH("Generative AI",F317)),12
=_xlfn.IFS(
OR(F317="Selenium (Hands-on)",F317="Guest Lecture: HR Interview"),6,
OR(F317="Soft Skill",F317="Soft Skill (Examination)",F317="AWS Training",F317="AWS Session"),7,
OR(ISNUMBER(SEARCH("MAD",F317)),ISNUMBER(SEARCH("STQA",F317)),F317="CI/CD Session"),8,
OR(ISNUMBER(SEARCH("Cloud",F317)),F317="Industry Readiness Program",ISNUMBER(SEARCH("Talenlio",F317))),9,
OR(ISNUMBER(SEARCH("Innovation",F317)),F317="Mini Project"),10,
OR(ISNUMBER(SEARCH("Data Science",F317)),ISNUMBER(SEARCH("DS",F317))),11,
ISNUMBER(SEARCH("Generative AI",F317)),12
=_xlfn.IFS(
OR(F317="Selenium (Hands-on)",F317="Guest Lecture: HR Interview"),6,
OR(F317="Soft Skill",F317="Soft Skill (Examination)",F317="AWS Training",F317="AWS Session"),7,
OR(ISNUMBER(SEARCH("MAD",F317)),ISNUMBER(SEARCH("STQA",F317)),F317="CI/CD Session"),8,
OR(ISNUMBER(SEARCH("Cloud",F317)),F317="Industry Readiness Program",ISNUMBER(SEARCH("Talenlio",F317))),9,
OR(ISNUMBER(SEARCH("Innovation",F317)),F317="Mini Project"),10,
OR(ISNUMBER(SEARCH("Data Science",F317)),ISNUMBER(SEARCH("DS",F317))),11,
ISNUMBER(SEARCH("Generative AI",F317)),12
=_xlfn.IFS(
OR(F317="Selenium (Hands-on)",F317="Guest Lecture: HR Interview"),6,
OR(F317="Soft Skill",F317="Soft Skill (Examination)",F317="AWS Training",F317="AWS Session"),7,
OR(ISNUMBER(SEARCH("MAD",F317)),ISNUMBER(SEARCH("STQA",F317)),F317="CI/CD Session"),8,
OR(ISNUMBER(SEARCH("Cloud",F317)),F317="Industry Readiness Program",ISNUMBER(SEARCH("Talenlio",F317))),9,
OR(ISNUMBER(SEARCH("Innovation",F317)),F317="Mini Project"),10,
OR(ISNUMBER(SEARCH("Data Science",F317)),ISNUMBER(SEARCH("DS",F317))),11,
ISNUMBER(SEARCH("Generative AI",F317)),12
))))</f>
        <v>7</v>
      </c>
      <c r="X317" s="3">
        <v>1</v>
      </c>
      <c r="Y317" s="3">
        <v>3</v>
      </c>
      <c r="Z317" s="3" t="s">
        <v>35</v>
      </c>
    </row>
    <row r="318" spans="1:26" x14ac:dyDescent="0.3">
      <c r="A318" s="2">
        <v>46190</v>
      </c>
      <c r="B318" s="3" t="s">
        <v>44</v>
      </c>
      <c r="C318" s="3">
        <v>3</v>
      </c>
      <c r="D318" s="4">
        <v>0.5625</v>
      </c>
      <c r="E318" s="4">
        <v>0.60416666666666696</v>
      </c>
      <c r="F318" s="3" t="s">
        <v>41</v>
      </c>
      <c r="G318" s="3" t="s">
        <v>288</v>
      </c>
      <c r="H318" s="3" t="s">
        <v>29</v>
      </c>
      <c r="I318" s="3" t="s">
        <v>30</v>
      </c>
      <c r="J318" s="3" t="s">
        <v>84</v>
      </c>
      <c r="K318" s="3" t="s">
        <v>42</v>
      </c>
      <c r="L318" s="5">
        <v>102</v>
      </c>
      <c r="M318" s="5">
        <f t="shared" ca="1" si="20"/>
        <v>103</v>
      </c>
      <c r="N318" s="6">
        <f t="shared" ca="1" si="21"/>
        <v>100.98039215686273</v>
      </c>
      <c r="O318" s="3" cm="1">
        <f t="array" aca="1" ref="O318" ca="1">IFERROR(LOOKUP(2, 1/((F$1:F317=F318)*(J$1:J317=J318)*(ROW(F$1:F317)&lt;ROW(F318))), N$1:N317), "")</f>
        <v>67.64705882352942</v>
      </c>
      <c r="P318" s="3">
        <f t="shared" si="24"/>
        <v>2.25</v>
      </c>
      <c r="Q318" s="3" t="s">
        <v>43</v>
      </c>
      <c r="R318" s="3" t="s">
        <v>40</v>
      </c>
      <c r="S318" s="3" t="str">
        <f t="shared" si="22"/>
        <v>No</v>
      </c>
      <c r="T318" s="3" t="s">
        <v>40</v>
      </c>
      <c r="U318" s="3" t="str">
        <f t="shared" si="23"/>
        <v>Sunny</v>
      </c>
      <c r="V318" s="3" t="s">
        <v>40</v>
      </c>
      <c r="W318" s="3" cm="1">
        <f t="array" ref="W318">_xlfn.IFS(
OR(F318="Selenium (Hands-on)",F318="Guest Lecture: HR Interview"),6,
OR(F318="Soft Skill",F318="Soft Skill (Examination)",F318="AWS Training",F318="AWS Session"),7,
OR(ISNUMBER(SEARCH("MAD",F318)),ISNUMBER(SEARCH("STQA",F318)),F318="CI/CD Session"),8,
OR(ISNUMBER(SEARCH("Cloud",F318)),F318="Industry Readiness Program",ISNUMBER(SEARCH("Talenlio",F318))),9,
OR(ISNUMBER(SEARCH("Innovation",F318)),F318="Mini Project"),10,
OR(ISNUMBER(SEARCH("Data Science",F318)),ISNUMBER(SEARCH("DS",F318))),11,
ISNUMBER(SEARCH("Generative AI",F318)),12
=_xlfn.IFS(
OR(F318="Selenium (Hands-on)",F318="Guest Lecture: HR Interview"),6,
OR(F318="Soft Skill",F318="Soft Skill (Examination)",F318="AWS Training",F318="AWS Session"),7,
OR(ISNUMBER(SEARCH("MAD",F318)),ISNUMBER(SEARCH("STQA",F318)),F318="CI/CD Session"),8,
OR(ISNUMBER(SEARCH("Cloud",F318)),F318="Industry Readiness Program",ISNUMBER(SEARCH("Talenlio",F318))),9,
OR(ISNUMBER(SEARCH("Innovation",F318)),F318="Mini Project"),10,
OR(ISNUMBER(SEARCH("Data Science",F318)),ISNUMBER(SEARCH("DS",F318))),11,
ISNUMBER(SEARCH("Generative AI",F318)),12
=_xlfn.IFS(
OR(F318="Selenium (Hands-on)",F318="Guest Lecture: HR Interview"),6,
OR(F318="Soft Skill",F318="Soft Skill (Examination)",F318="AWS Training",F318="AWS Session"),7,
OR(ISNUMBER(SEARCH("MAD",F318)),ISNUMBER(SEARCH("STQA",F318)),F318="CI/CD Session"),8,
OR(ISNUMBER(SEARCH("Cloud",F318)),F318="Industry Readiness Program",ISNUMBER(SEARCH("Talenlio",F318))),9,
OR(ISNUMBER(SEARCH("Innovation",F318)),F318="Mini Project"),10,
OR(ISNUMBER(SEARCH("Data Science",F318)),ISNUMBER(SEARCH("DS",F318))),11,
ISNUMBER(SEARCH("Generative AI",F318)),12
=_xlfn.IFS(
OR(F318="Selenium (Hands-on)",F318="Guest Lecture: HR Interview"),6,
OR(F318="Soft Skill",F318="Soft Skill (Examination)",F318="AWS Training",F318="AWS Session"),7,
OR(ISNUMBER(SEARCH("MAD",F318)),ISNUMBER(SEARCH("STQA",F318)),F318="CI/CD Session"),8,
OR(ISNUMBER(SEARCH("Cloud",F318)),F318="Industry Readiness Program",ISNUMBER(SEARCH("Talenlio",F318))),9,
OR(ISNUMBER(SEARCH("Innovation",F318)),F318="Mini Project"),10,
OR(ISNUMBER(SEARCH("Data Science",F318)),ISNUMBER(SEARCH("DS",F318))),11,
ISNUMBER(SEARCH("Generative AI",F318)),12
))))</f>
        <v>8</v>
      </c>
      <c r="X318" s="3">
        <v>1</v>
      </c>
      <c r="Y318" s="3">
        <v>3</v>
      </c>
      <c r="Z318" s="3" t="s">
        <v>38</v>
      </c>
    </row>
    <row r="319" spans="1:26" x14ac:dyDescent="0.3">
      <c r="A319" s="2">
        <v>46190</v>
      </c>
      <c r="B319" s="3" t="s">
        <v>44</v>
      </c>
      <c r="C319" s="3">
        <v>4</v>
      </c>
      <c r="D319" s="4">
        <v>0.60416666666666696</v>
      </c>
      <c r="E319" s="4">
        <v>0.64583333333333304</v>
      </c>
      <c r="F319" s="3" t="s">
        <v>41</v>
      </c>
      <c r="G319" s="3" t="s">
        <v>288</v>
      </c>
      <c r="H319" s="3" t="s">
        <v>29</v>
      </c>
      <c r="I319" s="3" t="s">
        <v>30</v>
      </c>
      <c r="J319" s="3" t="s">
        <v>84</v>
      </c>
      <c r="K319" s="3" t="s">
        <v>42</v>
      </c>
      <c r="L319" s="5">
        <v>102</v>
      </c>
      <c r="M319" s="5">
        <f t="shared" ca="1" si="20"/>
        <v>96</v>
      </c>
      <c r="N319" s="6">
        <f t="shared" ca="1" si="21"/>
        <v>94.117647058823522</v>
      </c>
      <c r="O319" s="3" cm="1">
        <f t="array" aca="1" ref="O319" ca="1">IFERROR(LOOKUP(2, 1/((F$1:F318=F319)*(J$1:J318=J319)*(ROW(F$1:F318)&lt;ROW(F319))), N$1:N318), "")</f>
        <v>100.98039215686273</v>
      </c>
      <c r="P319" s="3">
        <f t="shared" si="24"/>
        <v>0</v>
      </c>
      <c r="Q319" s="3" t="s">
        <v>43</v>
      </c>
      <c r="R319" s="3" t="s">
        <v>40</v>
      </c>
      <c r="S319" s="3" t="str">
        <f t="shared" si="22"/>
        <v>No</v>
      </c>
      <c r="T319" s="3" t="s">
        <v>40</v>
      </c>
      <c r="U319" s="3" t="str">
        <f t="shared" si="23"/>
        <v>Sunny</v>
      </c>
      <c r="V319" s="3" t="s">
        <v>40</v>
      </c>
      <c r="W319" s="3" cm="1">
        <f t="array" ref="W319">_xlfn.IFS(
OR(F319="Selenium (Hands-on)",F319="Guest Lecture: HR Interview"),6,
OR(F319="Soft Skill",F319="Soft Skill (Examination)",F319="AWS Training",F319="AWS Session"),7,
OR(ISNUMBER(SEARCH("MAD",F319)),ISNUMBER(SEARCH("STQA",F319)),F319="CI/CD Session"),8,
OR(ISNUMBER(SEARCH("Cloud",F319)),F319="Industry Readiness Program",ISNUMBER(SEARCH("Talenlio",F319))),9,
OR(ISNUMBER(SEARCH("Innovation",F319)),F319="Mini Project"),10,
OR(ISNUMBER(SEARCH("Data Science",F319)),ISNUMBER(SEARCH("DS",F319))),11,
ISNUMBER(SEARCH("Generative AI",F319)),12
=_xlfn.IFS(
OR(F319="Selenium (Hands-on)",F319="Guest Lecture: HR Interview"),6,
OR(F319="Soft Skill",F319="Soft Skill (Examination)",F319="AWS Training",F319="AWS Session"),7,
OR(ISNUMBER(SEARCH("MAD",F319)),ISNUMBER(SEARCH("STQA",F319)),F319="CI/CD Session"),8,
OR(ISNUMBER(SEARCH("Cloud",F319)),F319="Industry Readiness Program",ISNUMBER(SEARCH("Talenlio",F319))),9,
OR(ISNUMBER(SEARCH("Innovation",F319)),F319="Mini Project"),10,
OR(ISNUMBER(SEARCH("Data Science",F319)),ISNUMBER(SEARCH("DS",F319))),11,
ISNUMBER(SEARCH("Generative AI",F319)),12
=_xlfn.IFS(
OR(F319="Selenium (Hands-on)",F319="Guest Lecture: HR Interview"),6,
OR(F319="Soft Skill",F319="Soft Skill (Examination)",F319="AWS Training",F319="AWS Session"),7,
OR(ISNUMBER(SEARCH("MAD",F319)),ISNUMBER(SEARCH("STQA",F319)),F319="CI/CD Session"),8,
OR(ISNUMBER(SEARCH("Cloud",F319)),F319="Industry Readiness Program",ISNUMBER(SEARCH("Talenlio",F319))),9,
OR(ISNUMBER(SEARCH("Innovation",F319)),F319="Mini Project"),10,
OR(ISNUMBER(SEARCH("Data Science",F319)),ISNUMBER(SEARCH("DS",F319))),11,
ISNUMBER(SEARCH("Generative AI",F319)),12
=_xlfn.IFS(
OR(F319="Selenium (Hands-on)",F319="Guest Lecture: HR Interview"),6,
OR(F319="Soft Skill",F319="Soft Skill (Examination)",F319="AWS Training",F319="AWS Session"),7,
OR(ISNUMBER(SEARCH("MAD",F319)),ISNUMBER(SEARCH("STQA",F319)),F319="CI/CD Session"),8,
OR(ISNUMBER(SEARCH("Cloud",F319)),F319="Industry Readiness Program",ISNUMBER(SEARCH("Talenlio",F319))),9,
OR(ISNUMBER(SEARCH("Innovation",F319)),F319="Mini Project"),10,
OR(ISNUMBER(SEARCH("Data Science",F319)),ISNUMBER(SEARCH("DS",F319))),11,
ISNUMBER(SEARCH("Generative AI",F319)),12
))))</f>
        <v>8</v>
      </c>
      <c r="X319" s="3">
        <v>1</v>
      </c>
      <c r="Y319" s="3">
        <v>3</v>
      </c>
      <c r="Z319" s="3" t="s">
        <v>38</v>
      </c>
    </row>
    <row r="320" spans="1:26" x14ac:dyDescent="0.3">
      <c r="A320" s="2">
        <v>46191</v>
      </c>
      <c r="B320" s="3" t="s">
        <v>45</v>
      </c>
      <c r="C320" s="3">
        <v>1</v>
      </c>
      <c r="D320" s="4">
        <v>0.38541666666666702</v>
      </c>
      <c r="E320" s="4">
        <v>0.42708333333333298</v>
      </c>
      <c r="F320" s="3" t="s">
        <v>27</v>
      </c>
      <c r="G320" s="3" t="s">
        <v>287</v>
      </c>
      <c r="H320" s="3" t="s">
        <v>29</v>
      </c>
      <c r="I320" s="3" t="s">
        <v>30</v>
      </c>
      <c r="J320" s="3" t="s">
        <v>84</v>
      </c>
      <c r="K320" s="3" t="s">
        <v>32</v>
      </c>
      <c r="L320" s="5">
        <v>102</v>
      </c>
      <c r="M320" s="5">
        <f t="shared" ca="1" si="20"/>
        <v>88</v>
      </c>
      <c r="N320" s="6">
        <f t="shared" ca="1" si="21"/>
        <v>86.274509803921575</v>
      </c>
      <c r="O320" s="3" cm="1">
        <f t="array" aca="1" ref="O320" ca="1">IFERROR(LOOKUP(2, 1/((F$1:F319=F320)*(J$1:J319=J320)*(ROW(F$1:F319)&lt;ROW(F320))), N$1:N319), "")</f>
        <v>57.843137254901968</v>
      </c>
      <c r="P320" s="3">
        <f t="shared" si="24"/>
        <v>0</v>
      </c>
      <c r="Q320" s="3" t="s">
        <v>33</v>
      </c>
      <c r="R320" s="3" t="s">
        <v>40</v>
      </c>
      <c r="S320" s="3" t="str">
        <f t="shared" si="22"/>
        <v>No</v>
      </c>
      <c r="T320" s="3" t="s">
        <v>40</v>
      </c>
      <c r="U320" s="3" t="str">
        <f t="shared" si="23"/>
        <v>Sunny</v>
      </c>
      <c r="V320" s="3" t="s">
        <v>40</v>
      </c>
      <c r="W320" s="3" cm="1">
        <f t="array" ref="W320">_xlfn.IFS(
OR(F320="Selenium (Hands-on)",F320="Guest Lecture: HR Interview"),6,
OR(F320="Soft Skill",F320="Soft Skill (Examination)",F320="AWS Training",F320="AWS Session"),7,
OR(ISNUMBER(SEARCH("MAD",F320)),ISNUMBER(SEARCH("STQA",F320)),F320="CI/CD Session"),8,
OR(ISNUMBER(SEARCH("Cloud",F320)),F320="Industry Readiness Program",ISNUMBER(SEARCH("Talenlio",F320))),9,
OR(ISNUMBER(SEARCH("Innovation",F320)),F320="Mini Project"),10,
OR(ISNUMBER(SEARCH("Data Science",F320)),ISNUMBER(SEARCH("DS",F320))),11,
ISNUMBER(SEARCH("Generative AI",F320)),12
=_xlfn.IFS(
OR(F320="Selenium (Hands-on)",F320="Guest Lecture: HR Interview"),6,
OR(F320="Soft Skill",F320="Soft Skill (Examination)",F320="AWS Training",F320="AWS Session"),7,
OR(ISNUMBER(SEARCH("MAD",F320)),ISNUMBER(SEARCH("STQA",F320)),F320="CI/CD Session"),8,
OR(ISNUMBER(SEARCH("Cloud",F320)),F320="Industry Readiness Program",ISNUMBER(SEARCH("Talenlio",F320))),9,
OR(ISNUMBER(SEARCH("Innovation",F320)),F320="Mini Project"),10,
OR(ISNUMBER(SEARCH("Data Science",F320)),ISNUMBER(SEARCH("DS",F320))),11,
ISNUMBER(SEARCH("Generative AI",F320)),12
=_xlfn.IFS(
OR(F320="Selenium (Hands-on)",F320="Guest Lecture: HR Interview"),6,
OR(F320="Soft Skill",F320="Soft Skill (Examination)",F320="AWS Training",F320="AWS Session"),7,
OR(ISNUMBER(SEARCH("MAD",F320)),ISNUMBER(SEARCH("STQA",F320)),F320="CI/CD Session"),8,
OR(ISNUMBER(SEARCH("Cloud",F320)),F320="Industry Readiness Program",ISNUMBER(SEARCH("Talenlio",F320))),9,
OR(ISNUMBER(SEARCH("Innovation",F320)),F320="Mini Project"),10,
OR(ISNUMBER(SEARCH("Data Science",F320)),ISNUMBER(SEARCH("DS",F320))),11,
ISNUMBER(SEARCH("Generative AI",F320)),12
=_xlfn.IFS(
OR(F320="Selenium (Hands-on)",F320="Guest Lecture: HR Interview"),6,
OR(F320="Soft Skill",F320="Soft Skill (Examination)",F320="AWS Training",F320="AWS Session"),7,
OR(ISNUMBER(SEARCH("MAD",F320)),ISNUMBER(SEARCH("STQA",F320)),F320="CI/CD Session"),8,
OR(ISNUMBER(SEARCH("Cloud",F320)),F320="Industry Readiness Program",ISNUMBER(SEARCH("Talenlio",F320))),9,
OR(ISNUMBER(SEARCH("Innovation",F320)),F320="Mini Project"),10,
OR(ISNUMBER(SEARCH("Data Science",F320)),ISNUMBER(SEARCH("DS",F320))),11,
ISNUMBER(SEARCH("Generative AI",F320)),12
))))</f>
        <v>7</v>
      </c>
      <c r="X320" s="3">
        <v>1</v>
      </c>
      <c r="Y320" s="3">
        <v>4</v>
      </c>
      <c r="Z320" s="3" t="s">
        <v>35</v>
      </c>
    </row>
    <row r="321" spans="1:26" x14ac:dyDescent="0.3">
      <c r="A321" s="2">
        <v>46191</v>
      </c>
      <c r="B321" s="3" t="s">
        <v>45</v>
      </c>
      <c r="C321" s="3">
        <v>2</v>
      </c>
      <c r="D321" s="4">
        <v>0.42708333333333298</v>
      </c>
      <c r="E321" s="4">
        <v>0.46875</v>
      </c>
      <c r="F321" s="3" t="s">
        <v>27</v>
      </c>
      <c r="G321" s="3" t="s">
        <v>287</v>
      </c>
      <c r="H321" s="3" t="s">
        <v>29</v>
      </c>
      <c r="I321" s="3" t="s">
        <v>30</v>
      </c>
      <c r="J321" s="3" t="s">
        <v>84</v>
      </c>
      <c r="K321" s="3" t="s">
        <v>32</v>
      </c>
      <c r="L321" s="5">
        <v>102</v>
      </c>
      <c r="M321" s="5">
        <f t="shared" ca="1" si="20"/>
        <v>65</v>
      </c>
      <c r="N321" s="6">
        <f t="shared" ca="1" si="21"/>
        <v>63.725490196078425</v>
      </c>
      <c r="O321" s="3" cm="1">
        <f t="array" aca="1" ref="O321" ca="1">IFERROR(LOOKUP(2, 1/((F$1:F320=F321)*(J$1:J320=J321)*(ROW(F$1:F320)&lt;ROW(F321))), N$1:N320), "")</f>
        <v>86.274509803921575</v>
      </c>
      <c r="P321" s="3">
        <f t="shared" si="24"/>
        <v>0</v>
      </c>
      <c r="Q321" s="3" t="s">
        <v>33</v>
      </c>
      <c r="R321" s="3" t="s">
        <v>40</v>
      </c>
      <c r="S321" s="3" t="str">
        <f t="shared" si="22"/>
        <v>No</v>
      </c>
      <c r="T321" s="3" t="s">
        <v>40</v>
      </c>
      <c r="U321" s="3" t="str">
        <f t="shared" si="23"/>
        <v>Sunny</v>
      </c>
      <c r="V321" s="3" t="s">
        <v>40</v>
      </c>
      <c r="W321" s="3" cm="1">
        <f t="array" ref="W321">_xlfn.IFS(
OR(F321="Selenium (Hands-on)",F321="Guest Lecture: HR Interview"),6,
OR(F321="Soft Skill",F321="Soft Skill (Examination)",F321="AWS Training",F321="AWS Session"),7,
OR(ISNUMBER(SEARCH("MAD",F321)),ISNUMBER(SEARCH("STQA",F321)),F321="CI/CD Session"),8,
OR(ISNUMBER(SEARCH("Cloud",F321)),F321="Industry Readiness Program",ISNUMBER(SEARCH("Talenlio",F321))),9,
OR(ISNUMBER(SEARCH("Innovation",F321)),F321="Mini Project"),10,
OR(ISNUMBER(SEARCH("Data Science",F321)),ISNUMBER(SEARCH("DS",F321))),11,
ISNUMBER(SEARCH("Generative AI",F321)),12
=_xlfn.IFS(
OR(F321="Selenium (Hands-on)",F321="Guest Lecture: HR Interview"),6,
OR(F321="Soft Skill",F321="Soft Skill (Examination)",F321="AWS Training",F321="AWS Session"),7,
OR(ISNUMBER(SEARCH("MAD",F321)),ISNUMBER(SEARCH("STQA",F321)),F321="CI/CD Session"),8,
OR(ISNUMBER(SEARCH("Cloud",F321)),F321="Industry Readiness Program",ISNUMBER(SEARCH("Talenlio",F321))),9,
OR(ISNUMBER(SEARCH("Innovation",F321)),F321="Mini Project"),10,
OR(ISNUMBER(SEARCH("Data Science",F321)),ISNUMBER(SEARCH("DS",F321))),11,
ISNUMBER(SEARCH("Generative AI",F321)),12
=_xlfn.IFS(
OR(F321="Selenium (Hands-on)",F321="Guest Lecture: HR Interview"),6,
OR(F321="Soft Skill",F321="Soft Skill (Examination)",F321="AWS Training",F321="AWS Session"),7,
OR(ISNUMBER(SEARCH("MAD",F321)),ISNUMBER(SEARCH("STQA",F321)),F321="CI/CD Session"),8,
OR(ISNUMBER(SEARCH("Cloud",F321)),F321="Industry Readiness Program",ISNUMBER(SEARCH("Talenlio",F321))),9,
OR(ISNUMBER(SEARCH("Innovation",F321)),F321="Mini Project"),10,
OR(ISNUMBER(SEARCH("Data Science",F321)),ISNUMBER(SEARCH("DS",F321))),11,
ISNUMBER(SEARCH("Generative AI",F321)),12
=_xlfn.IFS(
OR(F321="Selenium (Hands-on)",F321="Guest Lecture: HR Interview"),6,
OR(F321="Soft Skill",F321="Soft Skill (Examination)",F321="AWS Training",F321="AWS Session"),7,
OR(ISNUMBER(SEARCH("MAD",F321)),ISNUMBER(SEARCH("STQA",F321)),F321="CI/CD Session"),8,
OR(ISNUMBER(SEARCH("Cloud",F321)),F321="Industry Readiness Program",ISNUMBER(SEARCH("Talenlio",F321))),9,
OR(ISNUMBER(SEARCH("Innovation",F321)),F321="Mini Project"),10,
OR(ISNUMBER(SEARCH("Data Science",F321)),ISNUMBER(SEARCH("DS",F321))),11,
ISNUMBER(SEARCH("Generative AI",F321)),12
))))</f>
        <v>7</v>
      </c>
      <c r="X321" s="3">
        <v>1</v>
      </c>
      <c r="Y321" s="3">
        <v>4</v>
      </c>
      <c r="Z321" s="3" t="s">
        <v>35</v>
      </c>
    </row>
    <row r="322" spans="1:26" x14ac:dyDescent="0.3">
      <c r="A322" s="2">
        <v>46191</v>
      </c>
      <c r="B322" s="3" t="s">
        <v>45</v>
      </c>
      <c r="C322" s="3">
        <v>3</v>
      </c>
      <c r="D322" s="4">
        <v>0.5625</v>
      </c>
      <c r="E322" s="4">
        <v>0.60416666666666696</v>
      </c>
      <c r="F322" s="3" t="s">
        <v>41</v>
      </c>
      <c r="G322" s="3" t="s">
        <v>288</v>
      </c>
      <c r="H322" s="3" t="s">
        <v>29</v>
      </c>
      <c r="I322" s="3" t="s">
        <v>30</v>
      </c>
      <c r="J322" s="3" t="s">
        <v>84</v>
      </c>
      <c r="K322" s="3" t="s">
        <v>42</v>
      </c>
      <c r="L322" s="5">
        <v>102</v>
      </c>
      <c r="M322" s="5">
        <f t="shared" ref="M322:M385" ca="1" si="25">RANDBETWEEN(40,103)</f>
        <v>67</v>
      </c>
      <c r="N322" s="6">
        <f t="shared" ref="N322:N385" ca="1" si="26">IF(OR(L322="",M322=""),"",M322/L322*100)</f>
        <v>65.686274509803923</v>
      </c>
      <c r="O322" s="3" cm="1">
        <f t="array" aca="1" ref="O322" ca="1">IFERROR(LOOKUP(2, 1/((F$1:F321=F322)*(J$1:J321=J322)*(ROW(F$1:F321)&lt;ROW(F322))), N$1:N321), "")</f>
        <v>94.117647058823522</v>
      </c>
      <c r="P322" s="3">
        <f t="shared" si="24"/>
        <v>2.25</v>
      </c>
      <c r="Q322" s="3" t="s">
        <v>43</v>
      </c>
      <c r="R322" s="3" t="s">
        <v>40</v>
      </c>
      <c r="S322" s="3" t="str">
        <f t="shared" ref="S322:S385" si="27">IF(OR(ISNUMBER(SEARCH("Guest", F322)), ISNUMBER(SEARCH("Hands-on", F322)), ISNUMBER(SEARCH("Project", F322)), B322="Friday"), "Yes", "No")</f>
        <v>No</v>
      </c>
      <c r="T322" s="3" t="s">
        <v>40</v>
      </c>
      <c r="U322" s="3" t="str">
        <f t="shared" ref="U322:U385" si="28">IF(MONTH(A322)=6, IF(DAY(A322)&lt;20, "Sunny", "Cloudy"), IF(OR(MONTH(A322)=7, MONTH(A322)=8), "Rainy", "Sunny"))</f>
        <v>Sunny</v>
      </c>
      <c r="V322" s="3" t="s">
        <v>40</v>
      </c>
      <c r="W322" s="3" cm="1">
        <f t="array" ref="W322">_xlfn.IFS(
OR(F322="Selenium (Hands-on)",F322="Guest Lecture: HR Interview"),6,
OR(F322="Soft Skill",F322="Soft Skill (Examination)",F322="AWS Training",F322="AWS Session"),7,
OR(ISNUMBER(SEARCH("MAD",F322)),ISNUMBER(SEARCH("STQA",F322)),F322="CI/CD Session"),8,
OR(ISNUMBER(SEARCH("Cloud",F322)),F322="Industry Readiness Program",ISNUMBER(SEARCH("Talenlio",F322))),9,
OR(ISNUMBER(SEARCH("Innovation",F322)),F322="Mini Project"),10,
OR(ISNUMBER(SEARCH("Data Science",F322)),ISNUMBER(SEARCH("DS",F322))),11,
ISNUMBER(SEARCH("Generative AI",F322)),12
=_xlfn.IFS(
OR(F322="Selenium (Hands-on)",F322="Guest Lecture: HR Interview"),6,
OR(F322="Soft Skill",F322="Soft Skill (Examination)",F322="AWS Training",F322="AWS Session"),7,
OR(ISNUMBER(SEARCH("MAD",F322)),ISNUMBER(SEARCH("STQA",F322)),F322="CI/CD Session"),8,
OR(ISNUMBER(SEARCH("Cloud",F322)),F322="Industry Readiness Program",ISNUMBER(SEARCH("Talenlio",F322))),9,
OR(ISNUMBER(SEARCH("Innovation",F322)),F322="Mini Project"),10,
OR(ISNUMBER(SEARCH("Data Science",F322)),ISNUMBER(SEARCH("DS",F322))),11,
ISNUMBER(SEARCH("Generative AI",F322)),12
=_xlfn.IFS(
OR(F322="Selenium (Hands-on)",F322="Guest Lecture: HR Interview"),6,
OR(F322="Soft Skill",F322="Soft Skill (Examination)",F322="AWS Training",F322="AWS Session"),7,
OR(ISNUMBER(SEARCH("MAD",F322)),ISNUMBER(SEARCH("STQA",F322)),F322="CI/CD Session"),8,
OR(ISNUMBER(SEARCH("Cloud",F322)),F322="Industry Readiness Program",ISNUMBER(SEARCH("Talenlio",F322))),9,
OR(ISNUMBER(SEARCH("Innovation",F322)),F322="Mini Project"),10,
OR(ISNUMBER(SEARCH("Data Science",F322)),ISNUMBER(SEARCH("DS",F322))),11,
ISNUMBER(SEARCH("Generative AI",F322)),12
=_xlfn.IFS(
OR(F322="Selenium (Hands-on)",F322="Guest Lecture: HR Interview"),6,
OR(F322="Soft Skill",F322="Soft Skill (Examination)",F322="AWS Training",F322="AWS Session"),7,
OR(ISNUMBER(SEARCH("MAD",F322)),ISNUMBER(SEARCH("STQA",F322)),F322="CI/CD Session"),8,
OR(ISNUMBER(SEARCH("Cloud",F322)),F322="Industry Readiness Program",ISNUMBER(SEARCH("Talenlio",F322))),9,
OR(ISNUMBER(SEARCH("Innovation",F322)),F322="Mini Project"),10,
OR(ISNUMBER(SEARCH("Data Science",F322)),ISNUMBER(SEARCH("DS",F322))),11,
ISNUMBER(SEARCH("Generative AI",F322)),12
))))</f>
        <v>8</v>
      </c>
      <c r="X322" s="3">
        <v>1</v>
      </c>
      <c r="Y322" s="3">
        <v>4</v>
      </c>
      <c r="Z322" s="3" t="s">
        <v>38</v>
      </c>
    </row>
    <row r="323" spans="1:26" x14ac:dyDescent="0.3">
      <c r="A323" s="2">
        <v>46191</v>
      </c>
      <c r="B323" s="3" t="s">
        <v>45</v>
      </c>
      <c r="C323" s="3">
        <v>4</v>
      </c>
      <c r="D323" s="4">
        <v>0.60416666666666696</v>
      </c>
      <c r="E323" s="4">
        <v>0.64583333333333304</v>
      </c>
      <c r="F323" s="3" t="s">
        <v>41</v>
      </c>
      <c r="G323" s="3" t="s">
        <v>288</v>
      </c>
      <c r="H323" s="3" t="s">
        <v>29</v>
      </c>
      <c r="I323" s="3" t="s">
        <v>30</v>
      </c>
      <c r="J323" s="3" t="s">
        <v>84</v>
      </c>
      <c r="K323" s="3" t="s">
        <v>42</v>
      </c>
      <c r="L323" s="5">
        <v>102</v>
      </c>
      <c r="M323" s="5">
        <f t="shared" ca="1" si="25"/>
        <v>102</v>
      </c>
      <c r="N323" s="6">
        <f t="shared" ca="1" si="26"/>
        <v>100</v>
      </c>
      <c r="O323" s="3" cm="1">
        <f t="array" aca="1" ref="O323" ca="1">IFERROR(LOOKUP(2, 1/((F$1:F322=F323)*(J$1:J322=J323)*(ROW(F$1:F322)&lt;ROW(F323))), N$1:N322), "")</f>
        <v>65.686274509803923</v>
      </c>
      <c r="P323" s="3">
        <f t="shared" ref="P323:P386" si="29">IF(C323=1, 0, IF(AND(A323=A322, J323=J322), ROUND(MAX(0, (D323-E322)*24), 2), 0))</f>
        <v>0</v>
      </c>
      <c r="Q323" s="3" t="s">
        <v>43</v>
      </c>
      <c r="R323" s="3" t="s">
        <v>40</v>
      </c>
      <c r="S323" s="3" t="str">
        <f t="shared" si="27"/>
        <v>No</v>
      </c>
      <c r="T323" s="3" t="s">
        <v>40</v>
      </c>
      <c r="U323" s="3" t="str">
        <f t="shared" si="28"/>
        <v>Sunny</v>
      </c>
      <c r="V323" s="3" t="s">
        <v>40</v>
      </c>
      <c r="W323" s="3" cm="1">
        <f t="array" ref="W323">_xlfn.IFS(
OR(F323="Selenium (Hands-on)",F323="Guest Lecture: HR Interview"),6,
OR(F323="Soft Skill",F323="Soft Skill (Examination)",F323="AWS Training",F323="AWS Session"),7,
OR(ISNUMBER(SEARCH("MAD",F323)),ISNUMBER(SEARCH("STQA",F323)),F323="CI/CD Session"),8,
OR(ISNUMBER(SEARCH("Cloud",F323)),F323="Industry Readiness Program",ISNUMBER(SEARCH("Talenlio",F323))),9,
OR(ISNUMBER(SEARCH("Innovation",F323)),F323="Mini Project"),10,
OR(ISNUMBER(SEARCH("Data Science",F323)),ISNUMBER(SEARCH("DS",F323))),11,
ISNUMBER(SEARCH("Generative AI",F323)),12
=_xlfn.IFS(
OR(F323="Selenium (Hands-on)",F323="Guest Lecture: HR Interview"),6,
OR(F323="Soft Skill",F323="Soft Skill (Examination)",F323="AWS Training",F323="AWS Session"),7,
OR(ISNUMBER(SEARCH("MAD",F323)),ISNUMBER(SEARCH("STQA",F323)),F323="CI/CD Session"),8,
OR(ISNUMBER(SEARCH("Cloud",F323)),F323="Industry Readiness Program",ISNUMBER(SEARCH("Talenlio",F323))),9,
OR(ISNUMBER(SEARCH("Innovation",F323)),F323="Mini Project"),10,
OR(ISNUMBER(SEARCH("Data Science",F323)),ISNUMBER(SEARCH("DS",F323))),11,
ISNUMBER(SEARCH("Generative AI",F323)),12
=_xlfn.IFS(
OR(F323="Selenium (Hands-on)",F323="Guest Lecture: HR Interview"),6,
OR(F323="Soft Skill",F323="Soft Skill (Examination)",F323="AWS Training",F323="AWS Session"),7,
OR(ISNUMBER(SEARCH("MAD",F323)),ISNUMBER(SEARCH("STQA",F323)),F323="CI/CD Session"),8,
OR(ISNUMBER(SEARCH("Cloud",F323)),F323="Industry Readiness Program",ISNUMBER(SEARCH("Talenlio",F323))),9,
OR(ISNUMBER(SEARCH("Innovation",F323)),F323="Mini Project"),10,
OR(ISNUMBER(SEARCH("Data Science",F323)),ISNUMBER(SEARCH("DS",F323))),11,
ISNUMBER(SEARCH("Generative AI",F323)),12
=_xlfn.IFS(
OR(F323="Selenium (Hands-on)",F323="Guest Lecture: HR Interview"),6,
OR(F323="Soft Skill",F323="Soft Skill (Examination)",F323="AWS Training",F323="AWS Session"),7,
OR(ISNUMBER(SEARCH("MAD",F323)),ISNUMBER(SEARCH("STQA",F323)),F323="CI/CD Session"),8,
OR(ISNUMBER(SEARCH("Cloud",F323)),F323="Industry Readiness Program",ISNUMBER(SEARCH("Talenlio",F323))),9,
OR(ISNUMBER(SEARCH("Innovation",F323)),F323="Mini Project"),10,
OR(ISNUMBER(SEARCH("Data Science",F323)),ISNUMBER(SEARCH("DS",F323))),11,
ISNUMBER(SEARCH("Generative AI",F323)),12
))))</f>
        <v>8</v>
      </c>
      <c r="X323" s="3">
        <v>1</v>
      </c>
      <c r="Y323" s="3">
        <v>4</v>
      </c>
      <c r="Z323" s="3" t="s">
        <v>38</v>
      </c>
    </row>
    <row r="324" spans="1:26" x14ac:dyDescent="0.3">
      <c r="A324" s="2">
        <v>46192</v>
      </c>
      <c r="B324" s="3" t="s">
        <v>46</v>
      </c>
      <c r="C324" s="3">
        <v>1</v>
      </c>
      <c r="D324" s="4">
        <v>0.38541666666666702</v>
      </c>
      <c r="E324" s="4">
        <v>0.42708333333333298</v>
      </c>
      <c r="F324" s="3" t="s">
        <v>27</v>
      </c>
      <c r="G324" s="3" t="s">
        <v>287</v>
      </c>
      <c r="H324" s="3" t="s">
        <v>29</v>
      </c>
      <c r="I324" s="3" t="s">
        <v>30</v>
      </c>
      <c r="J324" s="3" t="s">
        <v>84</v>
      </c>
      <c r="K324" s="3" t="s">
        <v>32</v>
      </c>
      <c r="L324" s="5">
        <v>102</v>
      </c>
      <c r="M324" s="5">
        <f t="shared" ca="1" si="25"/>
        <v>88</v>
      </c>
      <c r="N324" s="6">
        <f t="shared" ca="1" si="26"/>
        <v>86.274509803921575</v>
      </c>
      <c r="O324" s="3" cm="1">
        <f t="array" aca="1" ref="O324" ca="1">IFERROR(LOOKUP(2, 1/((F$1:F323=F324)*(J$1:J323=J324)*(ROW(F$1:F323)&lt;ROW(F324))), N$1:N323), "")</f>
        <v>63.725490196078425</v>
      </c>
      <c r="P324" s="3">
        <f t="shared" si="29"/>
        <v>0</v>
      </c>
      <c r="Q324" s="3" t="s">
        <v>33</v>
      </c>
      <c r="R324" s="3" t="s">
        <v>40</v>
      </c>
      <c r="S324" s="3" t="str">
        <f t="shared" si="27"/>
        <v>Yes</v>
      </c>
      <c r="T324" s="3" t="s">
        <v>40</v>
      </c>
      <c r="U324" s="3" t="str">
        <f t="shared" si="28"/>
        <v>Sunny</v>
      </c>
      <c r="V324" s="3" t="s">
        <v>40</v>
      </c>
      <c r="W324" s="3" cm="1">
        <f t="array" ref="W324">_xlfn.IFS(
OR(F324="Selenium (Hands-on)",F324="Guest Lecture: HR Interview"),6,
OR(F324="Soft Skill",F324="Soft Skill (Examination)",F324="AWS Training",F324="AWS Session"),7,
OR(ISNUMBER(SEARCH("MAD",F324)),ISNUMBER(SEARCH("STQA",F324)),F324="CI/CD Session"),8,
OR(ISNUMBER(SEARCH("Cloud",F324)),F324="Industry Readiness Program",ISNUMBER(SEARCH("Talenlio",F324))),9,
OR(ISNUMBER(SEARCH("Innovation",F324)),F324="Mini Project"),10,
OR(ISNUMBER(SEARCH("Data Science",F324)),ISNUMBER(SEARCH("DS",F324))),11,
ISNUMBER(SEARCH("Generative AI",F324)),12
=_xlfn.IFS(
OR(F324="Selenium (Hands-on)",F324="Guest Lecture: HR Interview"),6,
OR(F324="Soft Skill",F324="Soft Skill (Examination)",F324="AWS Training",F324="AWS Session"),7,
OR(ISNUMBER(SEARCH("MAD",F324)),ISNUMBER(SEARCH("STQA",F324)),F324="CI/CD Session"),8,
OR(ISNUMBER(SEARCH("Cloud",F324)),F324="Industry Readiness Program",ISNUMBER(SEARCH("Talenlio",F324))),9,
OR(ISNUMBER(SEARCH("Innovation",F324)),F324="Mini Project"),10,
OR(ISNUMBER(SEARCH("Data Science",F324)),ISNUMBER(SEARCH("DS",F324))),11,
ISNUMBER(SEARCH("Generative AI",F324)),12
=_xlfn.IFS(
OR(F324="Selenium (Hands-on)",F324="Guest Lecture: HR Interview"),6,
OR(F324="Soft Skill",F324="Soft Skill (Examination)",F324="AWS Training",F324="AWS Session"),7,
OR(ISNUMBER(SEARCH("MAD",F324)),ISNUMBER(SEARCH("STQA",F324)),F324="CI/CD Session"),8,
OR(ISNUMBER(SEARCH("Cloud",F324)),F324="Industry Readiness Program",ISNUMBER(SEARCH("Talenlio",F324))),9,
OR(ISNUMBER(SEARCH("Innovation",F324)),F324="Mini Project"),10,
OR(ISNUMBER(SEARCH("Data Science",F324)),ISNUMBER(SEARCH("DS",F324))),11,
ISNUMBER(SEARCH("Generative AI",F324)),12
=_xlfn.IFS(
OR(F324="Selenium (Hands-on)",F324="Guest Lecture: HR Interview"),6,
OR(F324="Soft Skill",F324="Soft Skill (Examination)",F324="AWS Training",F324="AWS Session"),7,
OR(ISNUMBER(SEARCH("MAD",F324)),ISNUMBER(SEARCH("STQA",F324)),F324="CI/CD Session"),8,
OR(ISNUMBER(SEARCH("Cloud",F324)),F324="Industry Readiness Program",ISNUMBER(SEARCH("Talenlio",F324))),9,
OR(ISNUMBER(SEARCH("Innovation",F324)),F324="Mini Project"),10,
OR(ISNUMBER(SEARCH("Data Science",F324)),ISNUMBER(SEARCH("DS",F324))),11,
ISNUMBER(SEARCH("Generative AI",F324)),12
))))</f>
        <v>7</v>
      </c>
      <c r="X324" s="3">
        <v>1</v>
      </c>
      <c r="Y324" s="3">
        <v>5</v>
      </c>
      <c r="Z324" s="3" t="s">
        <v>35</v>
      </c>
    </row>
    <row r="325" spans="1:26" x14ac:dyDescent="0.3">
      <c r="A325" s="2">
        <v>46192</v>
      </c>
      <c r="B325" s="3" t="s">
        <v>46</v>
      </c>
      <c r="C325" s="3">
        <v>2</v>
      </c>
      <c r="D325" s="4">
        <v>0.42708333333333298</v>
      </c>
      <c r="E325" s="4">
        <v>0.46875</v>
      </c>
      <c r="F325" s="3" t="s">
        <v>27</v>
      </c>
      <c r="G325" s="3" t="s">
        <v>287</v>
      </c>
      <c r="H325" s="3" t="s">
        <v>29</v>
      </c>
      <c r="I325" s="3" t="s">
        <v>30</v>
      </c>
      <c r="J325" s="3" t="s">
        <v>84</v>
      </c>
      <c r="K325" s="3" t="s">
        <v>32</v>
      </c>
      <c r="L325" s="5">
        <v>102</v>
      </c>
      <c r="M325" s="5">
        <f t="shared" ca="1" si="25"/>
        <v>79</v>
      </c>
      <c r="N325" s="6">
        <f t="shared" ca="1" si="26"/>
        <v>77.450980392156865</v>
      </c>
      <c r="O325" s="3" cm="1">
        <f t="array" aca="1" ref="O325" ca="1">IFERROR(LOOKUP(2, 1/((F$1:F324=F325)*(J$1:J324=J325)*(ROW(F$1:F324)&lt;ROW(F325))), N$1:N324), "")</f>
        <v>86.274509803921575</v>
      </c>
      <c r="P325" s="3">
        <f t="shared" si="29"/>
        <v>0</v>
      </c>
      <c r="Q325" s="3" t="s">
        <v>33</v>
      </c>
      <c r="R325" s="3" t="s">
        <v>40</v>
      </c>
      <c r="S325" s="3" t="str">
        <f t="shared" si="27"/>
        <v>Yes</v>
      </c>
      <c r="T325" s="3" t="s">
        <v>40</v>
      </c>
      <c r="U325" s="3" t="str">
        <f t="shared" si="28"/>
        <v>Sunny</v>
      </c>
      <c r="V325" s="3" t="s">
        <v>40</v>
      </c>
      <c r="W325" s="3" cm="1">
        <f t="array" ref="W325">_xlfn.IFS(
OR(F325="Selenium (Hands-on)",F325="Guest Lecture: HR Interview"),6,
OR(F325="Soft Skill",F325="Soft Skill (Examination)",F325="AWS Training",F325="AWS Session"),7,
OR(ISNUMBER(SEARCH("MAD",F325)),ISNUMBER(SEARCH("STQA",F325)),F325="CI/CD Session"),8,
OR(ISNUMBER(SEARCH("Cloud",F325)),F325="Industry Readiness Program",ISNUMBER(SEARCH("Talenlio",F325))),9,
OR(ISNUMBER(SEARCH("Innovation",F325)),F325="Mini Project"),10,
OR(ISNUMBER(SEARCH("Data Science",F325)),ISNUMBER(SEARCH("DS",F325))),11,
ISNUMBER(SEARCH("Generative AI",F325)),12
=_xlfn.IFS(
OR(F325="Selenium (Hands-on)",F325="Guest Lecture: HR Interview"),6,
OR(F325="Soft Skill",F325="Soft Skill (Examination)",F325="AWS Training",F325="AWS Session"),7,
OR(ISNUMBER(SEARCH("MAD",F325)),ISNUMBER(SEARCH("STQA",F325)),F325="CI/CD Session"),8,
OR(ISNUMBER(SEARCH("Cloud",F325)),F325="Industry Readiness Program",ISNUMBER(SEARCH("Talenlio",F325))),9,
OR(ISNUMBER(SEARCH("Innovation",F325)),F325="Mini Project"),10,
OR(ISNUMBER(SEARCH("Data Science",F325)),ISNUMBER(SEARCH("DS",F325))),11,
ISNUMBER(SEARCH("Generative AI",F325)),12
=_xlfn.IFS(
OR(F325="Selenium (Hands-on)",F325="Guest Lecture: HR Interview"),6,
OR(F325="Soft Skill",F325="Soft Skill (Examination)",F325="AWS Training",F325="AWS Session"),7,
OR(ISNUMBER(SEARCH("MAD",F325)),ISNUMBER(SEARCH("STQA",F325)),F325="CI/CD Session"),8,
OR(ISNUMBER(SEARCH("Cloud",F325)),F325="Industry Readiness Program",ISNUMBER(SEARCH("Talenlio",F325))),9,
OR(ISNUMBER(SEARCH("Innovation",F325)),F325="Mini Project"),10,
OR(ISNUMBER(SEARCH("Data Science",F325)),ISNUMBER(SEARCH("DS",F325))),11,
ISNUMBER(SEARCH("Generative AI",F325)),12
=_xlfn.IFS(
OR(F325="Selenium (Hands-on)",F325="Guest Lecture: HR Interview"),6,
OR(F325="Soft Skill",F325="Soft Skill (Examination)",F325="AWS Training",F325="AWS Session"),7,
OR(ISNUMBER(SEARCH("MAD",F325)),ISNUMBER(SEARCH("STQA",F325)),F325="CI/CD Session"),8,
OR(ISNUMBER(SEARCH("Cloud",F325)),F325="Industry Readiness Program",ISNUMBER(SEARCH("Talenlio",F325))),9,
OR(ISNUMBER(SEARCH("Innovation",F325)),F325="Mini Project"),10,
OR(ISNUMBER(SEARCH("Data Science",F325)),ISNUMBER(SEARCH("DS",F325))),11,
ISNUMBER(SEARCH("Generative AI",F325)),12
))))</f>
        <v>7</v>
      </c>
      <c r="X325" s="3">
        <v>1</v>
      </c>
      <c r="Y325" s="3">
        <v>5</v>
      </c>
      <c r="Z325" s="3" t="s">
        <v>35</v>
      </c>
    </row>
    <row r="326" spans="1:26" x14ac:dyDescent="0.3">
      <c r="A326" s="2">
        <v>46192</v>
      </c>
      <c r="B326" s="3" t="s">
        <v>46</v>
      </c>
      <c r="C326" s="3">
        <v>3</v>
      </c>
      <c r="D326" s="4">
        <v>0.5625</v>
      </c>
      <c r="E326" s="4">
        <v>0.60416666666666696</v>
      </c>
      <c r="F326" s="3" t="s">
        <v>41</v>
      </c>
      <c r="G326" s="3" t="s">
        <v>288</v>
      </c>
      <c r="H326" s="3" t="s">
        <v>29</v>
      </c>
      <c r="I326" s="3" t="s">
        <v>30</v>
      </c>
      <c r="J326" s="3" t="s">
        <v>84</v>
      </c>
      <c r="K326" s="3" t="s">
        <v>42</v>
      </c>
      <c r="L326" s="5">
        <v>102</v>
      </c>
      <c r="M326" s="5">
        <f t="shared" ca="1" si="25"/>
        <v>63</v>
      </c>
      <c r="N326" s="6">
        <f t="shared" ca="1" si="26"/>
        <v>61.764705882352942</v>
      </c>
      <c r="O326" s="3" cm="1">
        <f t="array" aca="1" ref="O326" ca="1">IFERROR(LOOKUP(2, 1/((F$1:F325=F326)*(J$1:J325=J326)*(ROW(F$1:F325)&lt;ROW(F326))), N$1:N325), "")</f>
        <v>100</v>
      </c>
      <c r="P326" s="3">
        <f t="shared" si="29"/>
        <v>2.25</v>
      </c>
      <c r="Q326" s="3" t="s">
        <v>43</v>
      </c>
      <c r="R326" s="3" t="s">
        <v>40</v>
      </c>
      <c r="S326" s="3" t="str">
        <f t="shared" si="27"/>
        <v>Yes</v>
      </c>
      <c r="T326" s="3" t="s">
        <v>40</v>
      </c>
      <c r="U326" s="3" t="str">
        <f t="shared" si="28"/>
        <v>Sunny</v>
      </c>
      <c r="V326" s="3" t="s">
        <v>40</v>
      </c>
      <c r="W326" s="3" cm="1">
        <f t="array" ref="W326">_xlfn.IFS(
OR(F326="Selenium (Hands-on)",F326="Guest Lecture: HR Interview"),6,
OR(F326="Soft Skill",F326="Soft Skill (Examination)",F326="AWS Training",F326="AWS Session"),7,
OR(ISNUMBER(SEARCH("MAD",F326)),ISNUMBER(SEARCH("STQA",F326)),F326="CI/CD Session"),8,
OR(ISNUMBER(SEARCH("Cloud",F326)),F326="Industry Readiness Program",ISNUMBER(SEARCH("Talenlio",F326))),9,
OR(ISNUMBER(SEARCH("Innovation",F326)),F326="Mini Project"),10,
OR(ISNUMBER(SEARCH("Data Science",F326)),ISNUMBER(SEARCH("DS",F326))),11,
ISNUMBER(SEARCH("Generative AI",F326)),12
=_xlfn.IFS(
OR(F326="Selenium (Hands-on)",F326="Guest Lecture: HR Interview"),6,
OR(F326="Soft Skill",F326="Soft Skill (Examination)",F326="AWS Training",F326="AWS Session"),7,
OR(ISNUMBER(SEARCH("MAD",F326)),ISNUMBER(SEARCH("STQA",F326)),F326="CI/CD Session"),8,
OR(ISNUMBER(SEARCH("Cloud",F326)),F326="Industry Readiness Program",ISNUMBER(SEARCH("Talenlio",F326))),9,
OR(ISNUMBER(SEARCH("Innovation",F326)),F326="Mini Project"),10,
OR(ISNUMBER(SEARCH("Data Science",F326)),ISNUMBER(SEARCH("DS",F326))),11,
ISNUMBER(SEARCH("Generative AI",F326)),12
=_xlfn.IFS(
OR(F326="Selenium (Hands-on)",F326="Guest Lecture: HR Interview"),6,
OR(F326="Soft Skill",F326="Soft Skill (Examination)",F326="AWS Training",F326="AWS Session"),7,
OR(ISNUMBER(SEARCH("MAD",F326)),ISNUMBER(SEARCH("STQA",F326)),F326="CI/CD Session"),8,
OR(ISNUMBER(SEARCH("Cloud",F326)),F326="Industry Readiness Program",ISNUMBER(SEARCH("Talenlio",F326))),9,
OR(ISNUMBER(SEARCH("Innovation",F326)),F326="Mini Project"),10,
OR(ISNUMBER(SEARCH("Data Science",F326)),ISNUMBER(SEARCH("DS",F326))),11,
ISNUMBER(SEARCH("Generative AI",F326)),12
=_xlfn.IFS(
OR(F326="Selenium (Hands-on)",F326="Guest Lecture: HR Interview"),6,
OR(F326="Soft Skill",F326="Soft Skill (Examination)",F326="AWS Training",F326="AWS Session"),7,
OR(ISNUMBER(SEARCH("MAD",F326)),ISNUMBER(SEARCH("STQA",F326)),F326="CI/CD Session"),8,
OR(ISNUMBER(SEARCH("Cloud",F326)),F326="Industry Readiness Program",ISNUMBER(SEARCH("Talenlio",F326))),9,
OR(ISNUMBER(SEARCH("Innovation",F326)),F326="Mini Project"),10,
OR(ISNUMBER(SEARCH("Data Science",F326)),ISNUMBER(SEARCH("DS",F326))),11,
ISNUMBER(SEARCH("Generative AI",F326)),12
))))</f>
        <v>8</v>
      </c>
      <c r="X326" s="3">
        <v>1</v>
      </c>
      <c r="Y326" s="3">
        <v>5</v>
      </c>
      <c r="Z326" s="3" t="s">
        <v>38</v>
      </c>
    </row>
    <row r="327" spans="1:26" x14ac:dyDescent="0.3">
      <c r="A327" s="2">
        <v>46192</v>
      </c>
      <c r="B327" s="3" t="s">
        <v>46</v>
      </c>
      <c r="C327" s="3">
        <v>4</v>
      </c>
      <c r="D327" s="4">
        <v>0.60416666666666696</v>
      </c>
      <c r="E327" s="4">
        <v>0.64583333333333304</v>
      </c>
      <c r="F327" s="3" t="s">
        <v>41</v>
      </c>
      <c r="G327" s="3" t="s">
        <v>288</v>
      </c>
      <c r="H327" s="3" t="s">
        <v>29</v>
      </c>
      <c r="I327" s="3" t="s">
        <v>30</v>
      </c>
      <c r="J327" s="3" t="s">
        <v>84</v>
      </c>
      <c r="K327" s="3" t="s">
        <v>42</v>
      </c>
      <c r="L327" s="5">
        <v>102</v>
      </c>
      <c r="M327" s="5">
        <f t="shared" ca="1" si="25"/>
        <v>92</v>
      </c>
      <c r="N327" s="6">
        <f t="shared" ca="1" si="26"/>
        <v>90.196078431372555</v>
      </c>
      <c r="O327" s="3" cm="1">
        <f t="array" aca="1" ref="O327" ca="1">IFERROR(LOOKUP(2, 1/((F$1:F326=F327)*(J$1:J326=J327)*(ROW(F$1:F326)&lt;ROW(F327))), N$1:N326), "")</f>
        <v>61.764705882352942</v>
      </c>
      <c r="P327" s="3">
        <f t="shared" si="29"/>
        <v>0</v>
      </c>
      <c r="Q327" s="3" t="s">
        <v>43</v>
      </c>
      <c r="R327" s="3" t="s">
        <v>40</v>
      </c>
      <c r="S327" s="3" t="str">
        <f t="shared" si="27"/>
        <v>Yes</v>
      </c>
      <c r="T327" s="3" t="s">
        <v>40</v>
      </c>
      <c r="U327" s="3" t="str">
        <f t="shared" si="28"/>
        <v>Sunny</v>
      </c>
      <c r="V327" s="3" t="s">
        <v>40</v>
      </c>
      <c r="W327" s="3" cm="1">
        <f t="array" ref="W327">_xlfn.IFS(
OR(F327="Selenium (Hands-on)",F327="Guest Lecture: HR Interview"),6,
OR(F327="Soft Skill",F327="Soft Skill (Examination)",F327="AWS Training",F327="AWS Session"),7,
OR(ISNUMBER(SEARCH("MAD",F327)),ISNUMBER(SEARCH("STQA",F327)),F327="CI/CD Session"),8,
OR(ISNUMBER(SEARCH("Cloud",F327)),F327="Industry Readiness Program",ISNUMBER(SEARCH("Talenlio",F327))),9,
OR(ISNUMBER(SEARCH("Innovation",F327)),F327="Mini Project"),10,
OR(ISNUMBER(SEARCH("Data Science",F327)),ISNUMBER(SEARCH("DS",F327))),11,
ISNUMBER(SEARCH("Generative AI",F327)),12
=_xlfn.IFS(
OR(F327="Selenium (Hands-on)",F327="Guest Lecture: HR Interview"),6,
OR(F327="Soft Skill",F327="Soft Skill (Examination)",F327="AWS Training",F327="AWS Session"),7,
OR(ISNUMBER(SEARCH("MAD",F327)),ISNUMBER(SEARCH("STQA",F327)),F327="CI/CD Session"),8,
OR(ISNUMBER(SEARCH("Cloud",F327)),F327="Industry Readiness Program",ISNUMBER(SEARCH("Talenlio",F327))),9,
OR(ISNUMBER(SEARCH("Innovation",F327)),F327="Mini Project"),10,
OR(ISNUMBER(SEARCH("Data Science",F327)),ISNUMBER(SEARCH("DS",F327))),11,
ISNUMBER(SEARCH("Generative AI",F327)),12
=_xlfn.IFS(
OR(F327="Selenium (Hands-on)",F327="Guest Lecture: HR Interview"),6,
OR(F327="Soft Skill",F327="Soft Skill (Examination)",F327="AWS Training",F327="AWS Session"),7,
OR(ISNUMBER(SEARCH("MAD",F327)),ISNUMBER(SEARCH("STQA",F327)),F327="CI/CD Session"),8,
OR(ISNUMBER(SEARCH("Cloud",F327)),F327="Industry Readiness Program",ISNUMBER(SEARCH("Talenlio",F327))),9,
OR(ISNUMBER(SEARCH("Innovation",F327)),F327="Mini Project"),10,
OR(ISNUMBER(SEARCH("Data Science",F327)),ISNUMBER(SEARCH("DS",F327))),11,
ISNUMBER(SEARCH("Generative AI",F327)),12
=_xlfn.IFS(
OR(F327="Selenium (Hands-on)",F327="Guest Lecture: HR Interview"),6,
OR(F327="Soft Skill",F327="Soft Skill (Examination)",F327="AWS Training",F327="AWS Session"),7,
OR(ISNUMBER(SEARCH("MAD",F327)),ISNUMBER(SEARCH("STQA",F327)),F327="CI/CD Session"),8,
OR(ISNUMBER(SEARCH("Cloud",F327)),F327="Industry Readiness Program",ISNUMBER(SEARCH("Talenlio",F327))),9,
OR(ISNUMBER(SEARCH("Innovation",F327)),F327="Mini Project"),10,
OR(ISNUMBER(SEARCH("Data Science",F327)),ISNUMBER(SEARCH("DS",F327))),11,
ISNUMBER(SEARCH("Generative AI",F327)),12
))))</f>
        <v>8</v>
      </c>
      <c r="X327" s="3">
        <v>1</v>
      </c>
      <c r="Y327" s="3">
        <v>5</v>
      </c>
      <c r="Z327" s="3" t="s">
        <v>38</v>
      </c>
    </row>
    <row r="328" spans="1:26" x14ac:dyDescent="0.3">
      <c r="A328" s="2">
        <v>46193</v>
      </c>
      <c r="B328" s="3" t="s">
        <v>47</v>
      </c>
      <c r="C328" s="3">
        <v>1</v>
      </c>
      <c r="D328" s="3"/>
      <c r="E328" s="3"/>
      <c r="F328" s="3" t="s">
        <v>48</v>
      </c>
      <c r="G328" s="3" t="s">
        <v>287</v>
      </c>
      <c r="H328" s="3" t="s">
        <v>29</v>
      </c>
      <c r="I328" s="3" t="s">
        <v>30</v>
      </c>
      <c r="J328" s="3" t="s">
        <v>84</v>
      </c>
      <c r="K328" s="3" t="s">
        <v>32</v>
      </c>
      <c r="L328" s="5">
        <v>102</v>
      </c>
      <c r="M328" s="5">
        <f t="shared" ca="1" si="25"/>
        <v>87</v>
      </c>
      <c r="N328" s="6">
        <f t="shared" ca="1" si="26"/>
        <v>85.294117647058826</v>
      </c>
      <c r="O328" s="3">
        <v>45.664613099999997</v>
      </c>
      <c r="P328" s="3">
        <f t="shared" si="29"/>
        <v>0</v>
      </c>
      <c r="Q328" s="3" t="s">
        <v>33</v>
      </c>
      <c r="R328" s="3" t="s">
        <v>34</v>
      </c>
      <c r="S328" s="3" t="str">
        <f t="shared" si="27"/>
        <v>No</v>
      </c>
      <c r="T328" s="3" t="s">
        <v>34</v>
      </c>
      <c r="U328" s="3" t="str">
        <f t="shared" si="28"/>
        <v>Cloudy</v>
      </c>
      <c r="V328" s="3" t="s">
        <v>49</v>
      </c>
      <c r="W328" s="3" cm="1">
        <f t="array" ref="W328">_xlfn.IFS(
OR(F328="Selenium (Hands-on)",F328="Guest Lecture: HR Interview"),6,
OR(F328="Soft Skill",F328="Soft Skill (Examination)",F328="AWS Training",F328="AWS Session"),7,
OR(ISNUMBER(SEARCH("MAD",F328)),ISNUMBER(SEARCH("STQA",F328)),F328="CI/CD Session"),8,
OR(ISNUMBER(SEARCH("Cloud",F328)),F328="Industry Readiness Program",ISNUMBER(SEARCH("Talenlio",F328))),9,
OR(ISNUMBER(SEARCH("Innovation",F328)),F328="Mini Project"),10,
OR(ISNUMBER(SEARCH("Data Science",F328)),ISNUMBER(SEARCH("DS",F328))),11,
ISNUMBER(SEARCH("Generative AI",F328)),12
=_xlfn.IFS(
OR(F328="Selenium (Hands-on)",F328="Guest Lecture: HR Interview"),6,
OR(F328="Soft Skill",F328="Soft Skill (Examination)",F328="AWS Training",F328="AWS Session"),7,
OR(ISNUMBER(SEARCH("MAD",F328)),ISNUMBER(SEARCH("STQA",F328)),F328="CI/CD Session"),8,
OR(ISNUMBER(SEARCH("Cloud",F328)),F328="Industry Readiness Program",ISNUMBER(SEARCH("Talenlio",F328))),9,
OR(ISNUMBER(SEARCH("Innovation",F328)),F328="Mini Project"),10,
OR(ISNUMBER(SEARCH("Data Science",F328)),ISNUMBER(SEARCH("DS",F328))),11,
ISNUMBER(SEARCH("Generative AI",F328)),12
=_xlfn.IFS(
OR(F328="Selenium (Hands-on)",F328="Guest Lecture: HR Interview"),6,
OR(F328="Soft Skill",F328="Soft Skill (Examination)",F328="AWS Training",F328="AWS Session"),7,
OR(ISNUMBER(SEARCH("MAD",F328)),ISNUMBER(SEARCH("STQA",F328)),F328="CI/CD Session"),8,
OR(ISNUMBER(SEARCH("Cloud",F328)),F328="Industry Readiness Program",ISNUMBER(SEARCH("Talenlio",F328))),9,
OR(ISNUMBER(SEARCH("Innovation",F328)),F328="Mini Project"),10,
OR(ISNUMBER(SEARCH("Data Science",F328)),ISNUMBER(SEARCH("DS",F328))),11,
ISNUMBER(SEARCH("Generative AI",F328)),12
=_xlfn.IFS(
OR(F328="Selenium (Hands-on)",F328="Guest Lecture: HR Interview"),6,
OR(F328="Soft Skill",F328="Soft Skill (Examination)",F328="AWS Training",F328="AWS Session"),7,
OR(ISNUMBER(SEARCH("MAD",F328)),ISNUMBER(SEARCH("STQA",F328)),F328="CI/CD Session"),8,
OR(ISNUMBER(SEARCH("Cloud",F328)),F328="Industry Readiness Program",ISNUMBER(SEARCH("Talenlio",F328))),9,
OR(ISNUMBER(SEARCH("Innovation",F328)),F328="Mini Project"),10,
OR(ISNUMBER(SEARCH("Data Science",F328)),ISNUMBER(SEARCH("DS",F328))),11,
ISNUMBER(SEARCH("Generative AI",F328)),12
))))</f>
        <v>7</v>
      </c>
      <c r="X328" s="3">
        <v>1</v>
      </c>
      <c r="Y328" s="3">
        <v>6</v>
      </c>
      <c r="Z328" s="3"/>
    </row>
    <row r="329" spans="1:26" x14ac:dyDescent="0.3">
      <c r="A329" s="2">
        <v>46195</v>
      </c>
      <c r="B329" s="3" t="s">
        <v>26</v>
      </c>
      <c r="C329" s="3">
        <v>1</v>
      </c>
      <c r="D329" s="4">
        <v>0.35416666666666702</v>
      </c>
      <c r="E329" s="4">
        <v>0.38541666666666702</v>
      </c>
      <c r="F329" s="3" t="s">
        <v>50</v>
      </c>
      <c r="G329" s="3" t="s">
        <v>51</v>
      </c>
      <c r="H329" s="3" t="s">
        <v>29</v>
      </c>
      <c r="I329" s="3" t="s">
        <v>30</v>
      </c>
      <c r="J329" s="3" t="s">
        <v>84</v>
      </c>
      <c r="K329" s="3" t="s">
        <v>52</v>
      </c>
      <c r="L329" s="5">
        <v>102</v>
      </c>
      <c r="M329" s="5">
        <f t="shared" ca="1" si="25"/>
        <v>59</v>
      </c>
      <c r="N329" s="6">
        <f t="shared" ca="1" si="26"/>
        <v>57.843137254901968</v>
      </c>
      <c r="O329" s="3">
        <v>76.661168399999994</v>
      </c>
      <c r="P329" s="3">
        <f t="shared" si="29"/>
        <v>0</v>
      </c>
      <c r="Q329" s="3" t="s">
        <v>43</v>
      </c>
      <c r="R329" s="3" t="s">
        <v>40</v>
      </c>
      <c r="S329" s="3" t="str">
        <f t="shared" si="27"/>
        <v>No</v>
      </c>
      <c r="T329" s="3" t="s">
        <v>34</v>
      </c>
      <c r="U329" s="3" t="str">
        <f t="shared" si="28"/>
        <v>Cloudy</v>
      </c>
      <c r="V329" s="3" t="s">
        <v>40</v>
      </c>
      <c r="W329" s="3" cm="1">
        <f t="array" ref="W329">_xlfn.IFS(
OR(F329="Selenium (Hands-on)",F329="Guest Lecture: HR Interview"),6,
OR(F329="Soft Skill",F329="Soft Skill (Examination)",F329="AWS Training",F329="AWS Session"),7,
OR(ISNUMBER(SEARCH("MAD",F329)),ISNUMBER(SEARCH("STQA",F329)),F329="CI/CD Session"),8,
OR(ISNUMBER(SEARCH("Cloud",F329)),F329="Industry Readiness Program",ISNUMBER(SEARCH("Talenlio",F329))),9,
OR(ISNUMBER(SEARCH("Innovation",F329)),F329="Mini Project"),10,
OR(ISNUMBER(SEARCH("Data Science",F329)),ISNUMBER(SEARCH("DS",F329))),11,
ISNUMBER(SEARCH("Generative AI",F329)),12
=_xlfn.IFS(
OR(F329="Selenium (Hands-on)",F329="Guest Lecture: HR Interview"),6,
OR(F329="Soft Skill",F329="Soft Skill (Examination)",F329="AWS Training",F329="AWS Session"),7,
OR(ISNUMBER(SEARCH("MAD",F329)),ISNUMBER(SEARCH("STQA",F329)),F329="CI/CD Session"),8,
OR(ISNUMBER(SEARCH("Cloud",F329)),F329="Industry Readiness Program",ISNUMBER(SEARCH("Talenlio",F329))),9,
OR(ISNUMBER(SEARCH("Innovation",F329)),F329="Mini Project"),10,
OR(ISNUMBER(SEARCH("Data Science",F329)),ISNUMBER(SEARCH("DS",F329))),11,
ISNUMBER(SEARCH("Generative AI",F329)),12
=_xlfn.IFS(
OR(F329="Selenium (Hands-on)",F329="Guest Lecture: HR Interview"),6,
OR(F329="Soft Skill",F329="Soft Skill (Examination)",F329="AWS Training",F329="AWS Session"),7,
OR(ISNUMBER(SEARCH("MAD",F329)),ISNUMBER(SEARCH("STQA",F329)),F329="CI/CD Session"),8,
OR(ISNUMBER(SEARCH("Cloud",F329)),F329="Industry Readiness Program",ISNUMBER(SEARCH("Talenlio",F329))),9,
OR(ISNUMBER(SEARCH("Innovation",F329)),F329="Mini Project"),10,
OR(ISNUMBER(SEARCH("Data Science",F329)),ISNUMBER(SEARCH("DS",F329))),11,
ISNUMBER(SEARCH("Generative AI",F329)),12
=_xlfn.IFS(
OR(F329="Selenium (Hands-on)",F329="Guest Lecture: HR Interview"),6,
OR(F329="Soft Skill",F329="Soft Skill (Examination)",F329="AWS Training",F329="AWS Session"),7,
OR(ISNUMBER(SEARCH("MAD",F329)),ISNUMBER(SEARCH("STQA",F329)),F329="CI/CD Session"),8,
OR(ISNUMBER(SEARCH("Cloud",F329)),F329="Industry Readiness Program",ISNUMBER(SEARCH("Talenlio",F329))),9,
OR(ISNUMBER(SEARCH("Innovation",F329)),F329="Mini Project"),10,
OR(ISNUMBER(SEARCH("Data Science",F329)),ISNUMBER(SEARCH("DS",F329))),11,
ISNUMBER(SEARCH("Generative AI",F329)),12
))))</f>
        <v>8</v>
      </c>
      <c r="X329" s="3">
        <v>2</v>
      </c>
      <c r="Y329" s="3">
        <v>8</v>
      </c>
      <c r="Z329" s="3" t="s">
        <v>35</v>
      </c>
    </row>
    <row r="330" spans="1:26" x14ac:dyDescent="0.3">
      <c r="A330" s="2">
        <v>46195</v>
      </c>
      <c r="B330" s="3" t="s">
        <v>26</v>
      </c>
      <c r="C330" s="3">
        <v>2</v>
      </c>
      <c r="D330" s="4">
        <v>0.38541666666666702</v>
      </c>
      <c r="E330" s="4">
        <v>0.42708333333333298</v>
      </c>
      <c r="F330" s="3" t="s">
        <v>50</v>
      </c>
      <c r="G330" s="3" t="s">
        <v>51</v>
      </c>
      <c r="H330" s="3" t="s">
        <v>29</v>
      </c>
      <c r="I330" s="3" t="s">
        <v>30</v>
      </c>
      <c r="J330" s="3" t="s">
        <v>84</v>
      </c>
      <c r="K330" s="3" t="s">
        <v>52</v>
      </c>
      <c r="L330" s="5">
        <v>102</v>
      </c>
      <c r="M330" s="5">
        <f t="shared" ca="1" si="25"/>
        <v>70</v>
      </c>
      <c r="N330" s="6">
        <f t="shared" ca="1" si="26"/>
        <v>68.627450980392155</v>
      </c>
      <c r="O330" s="3" cm="1">
        <f t="array" aca="1" ref="O330" ca="1">IFERROR(LOOKUP(2, 1/((F$1:F329=F330)*(J$1:J329=J330)*(ROW(F$1:F329)&lt;ROW(F330))), N$1:N329), "")</f>
        <v>57.843137254901968</v>
      </c>
      <c r="P330" s="3">
        <f t="shared" si="29"/>
        <v>0</v>
      </c>
      <c r="Q330" s="3" t="s">
        <v>43</v>
      </c>
      <c r="R330" s="3" t="s">
        <v>40</v>
      </c>
      <c r="S330" s="3" t="str">
        <f t="shared" si="27"/>
        <v>No</v>
      </c>
      <c r="T330" s="3" t="s">
        <v>34</v>
      </c>
      <c r="U330" s="3" t="str">
        <f t="shared" si="28"/>
        <v>Cloudy</v>
      </c>
      <c r="V330" s="3" t="s">
        <v>40</v>
      </c>
      <c r="W330" s="3" cm="1">
        <f t="array" ref="W330">_xlfn.IFS(
OR(F330="Selenium (Hands-on)",F330="Guest Lecture: HR Interview"),6,
OR(F330="Soft Skill",F330="Soft Skill (Examination)",F330="AWS Training",F330="AWS Session"),7,
OR(ISNUMBER(SEARCH("MAD",F330)),ISNUMBER(SEARCH("STQA",F330)),F330="CI/CD Session"),8,
OR(ISNUMBER(SEARCH("Cloud",F330)),F330="Industry Readiness Program",ISNUMBER(SEARCH("Talenlio",F330))),9,
OR(ISNUMBER(SEARCH("Innovation",F330)),F330="Mini Project"),10,
OR(ISNUMBER(SEARCH("Data Science",F330)),ISNUMBER(SEARCH("DS",F330))),11,
ISNUMBER(SEARCH("Generative AI",F330)),12
=_xlfn.IFS(
OR(F330="Selenium (Hands-on)",F330="Guest Lecture: HR Interview"),6,
OR(F330="Soft Skill",F330="Soft Skill (Examination)",F330="AWS Training",F330="AWS Session"),7,
OR(ISNUMBER(SEARCH("MAD",F330)),ISNUMBER(SEARCH("STQA",F330)),F330="CI/CD Session"),8,
OR(ISNUMBER(SEARCH("Cloud",F330)),F330="Industry Readiness Program",ISNUMBER(SEARCH("Talenlio",F330))),9,
OR(ISNUMBER(SEARCH("Innovation",F330)),F330="Mini Project"),10,
OR(ISNUMBER(SEARCH("Data Science",F330)),ISNUMBER(SEARCH("DS",F330))),11,
ISNUMBER(SEARCH("Generative AI",F330)),12
=_xlfn.IFS(
OR(F330="Selenium (Hands-on)",F330="Guest Lecture: HR Interview"),6,
OR(F330="Soft Skill",F330="Soft Skill (Examination)",F330="AWS Training",F330="AWS Session"),7,
OR(ISNUMBER(SEARCH("MAD",F330)),ISNUMBER(SEARCH("STQA",F330)),F330="CI/CD Session"),8,
OR(ISNUMBER(SEARCH("Cloud",F330)),F330="Industry Readiness Program",ISNUMBER(SEARCH("Talenlio",F330))),9,
OR(ISNUMBER(SEARCH("Innovation",F330)),F330="Mini Project"),10,
OR(ISNUMBER(SEARCH("Data Science",F330)),ISNUMBER(SEARCH("DS",F330))),11,
ISNUMBER(SEARCH("Generative AI",F330)),12
=_xlfn.IFS(
OR(F330="Selenium (Hands-on)",F330="Guest Lecture: HR Interview"),6,
OR(F330="Soft Skill",F330="Soft Skill (Examination)",F330="AWS Training",F330="AWS Session"),7,
OR(ISNUMBER(SEARCH("MAD",F330)),ISNUMBER(SEARCH("STQA",F330)),F330="CI/CD Session"),8,
OR(ISNUMBER(SEARCH("Cloud",F330)),F330="Industry Readiness Program",ISNUMBER(SEARCH("Talenlio",F330))),9,
OR(ISNUMBER(SEARCH("Innovation",F330)),F330="Mini Project"),10,
OR(ISNUMBER(SEARCH("Data Science",F330)),ISNUMBER(SEARCH("DS",F330))),11,
ISNUMBER(SEARCH("Generative AI",F330)),12
))))</f>
        <v>8</v>
      </c>
      <c r="X330" s="3">
        <v>2</v>
      </c>
      <c r="Y330" s="3">
        <v>8</v>
      </c>
      <c r="Z330" s="3" t="s">
        <v>35</v>
      </c>
    </row>
    <row r="331" spans="1:26" x14ac:dyDescent="0.3">
      <c r="A331" s="2">
        <v>46195</v>
      </c>
      <c r="B331" s="3" t="s">
        <v>26</v>
      </c>
      <c r="C331" s="3">
        <v>3</v>
      </c>
      <c r="D331" s="4">
        <v>0.42708333333333298</v>
      </c>
      <c r="E331" s="4">
        <v>0.46875</v>
      </c>
      <c r="F331" s="3" t="s">
        <v>53</v>
      </c>
      <c r="G331" s="3" t="s">
        <v>54</v>
      </c>
      <c r="H331" s="3" t="s">
        <v>29</v>
      </c>
      <c r="I331" s="3" t="s">
        <v>30</v>
      </c>
      <c r="J331" s="3" t="s">
        <v>84</v>
      </c>
      <c r="K331" s="3" t="s">
        <v>52</v>
      </c>
      <c r="L331" s="5">
        <v>102</v>
      </c>
      <c r="M331" s="5">
        <f t="shared" ca="1" si="25"/>
        <v>100</v>
      </c>
      <c r="N331" s="6">
        <f t="shared" ca="1" si="26"/>
        <v>98.039215686274503</v>
      </c>
      <c r="O331" s="3">
        <v>23.5611468</v>
      </c>
      <c r="P331" s="3">
        <f t="shared" si="29"/>
        <v>0</v>
      </c>
      <c r="Q331" s="3" t="s">
        <v>33</v>
      </c>
      <c r="R331" s="3" t="s">
        <v>40</v>
      </c>
      <c r="S331" s="3" t="str">
        <f t="shared" si="27"/>
        <v>No</v>
      </c>
      <c r="T331" s="3" t="s">
        <v>34</v>
      </c>
      <c r="U331" s="3" t="str">
        <f t="shared" si="28"/>
        <v>Cloudy</v>
      </c>
      <c r="V331" s="3" t="s">
        <v>40</v>
      </c>
      <c r="W331" s="3" cm="1">
        <f t="array" ref="W331">_xlfn.IFS(
OR(F331="Selenium (Hands-on)",F331="Guest Lecture: HR Interview"),6,
OR(F331="Soft Skill",F331="Soft Skill (Examination)",F331="AWS Training",F331="AWS Session"),7,
OR(ISNUMBER(SEARCH("MAD",F331)),ISNUMBER(SEARCH("STQA",F331)),F331="CI/CD Session"),8,
OR(ISNUMBER(SEARCH("Cloud",F331)),F331="Industry Readiness Program",ISNUMBER(SEARCH("Talenlio",F331))),9,
OR(ISNUMBER(SEARCH("Innovation",F331)),F331="Mini Project"),10,
OR(ISNUMBER(SEARCH("Data Science",F331)),ISNUMBER(SEARCH("DS",F331))),11,
ISNUMBER(SEARCH("Generative AI",F331)),12
=_xlfn.IFS(
OR(F331="Selenium (Hands-on)",F331="Guest Lecture: HR Interview"),6,
OR(F331="Soft Skill",F331="Soft Skill (Examination)",F331="AWS Training",F331="AWS Session"),7,
OR(ISNUMBER(SEARCH("MAD",F331)),ISNUMBER(SEARCH("STQA",F331)),F331="CI/CD Session"),8,
OR(ISNUMBER(SEARCH("Cloud",F331)),F331="Industry Readiness Program",ISNUMBER(SEARCH("Talenlio",F331))),9,
OR(ISNUMBER(SEARCH("Innovation",F331)),F331="Mini Project"),10,
OR(ISNUMBER(SEARCH("Data Science",F331)),ISNUMBER(SEARCH("DS",F331))),11,
ISNUMBER(SEARCH("Generative AI",F331)),12
=_xlfn.IFS(
OR(F331="Selenium (Hands-on)",F331="Guest Lecture: HR Interview"),6,
OR(F331="Soft Skill",F331="Soft Skill (Examination)",F331="AWS Training",F331="AWS Session"),7,
OR(ISNUMBER(SEARCH("MAD",F331)),ISNUMBER(SEARCH("STQA",F331)),F331="CI/CD Session"),8,
OR(ISNUMBER(SEARCH("Cloud",F331)),F331="Industry Readiness Program",ISNUMBER(SEARCH("Talenlio",F331))),9,
OR(ISNUMBER(SEARCH("Innovation",F331)),F331="Mini Project"),10,
OR(ISNUMBER(SEARCH("Data Science",F331)),ISNUMBER(SEARCH("DS",F331))),11,
ISNUMBER(SEARCH("Generative AI",F331)),12
=_xlfn.IFS(
OR(F331="Selenium (Hands-on)",F331="Guest Lecture: HR Interview"),6,
OR(F331="Soft Skill",F331="Soft Skill (Examination)",F331="AWS Training",F331="AWS Session"),7,
OR(ISNUMBER(SEARCH("MAD",F331)),ISNUMBER(SEARCH("STQA",F331)),F331="CI/CD Session"),8,
OR(ISNUMBER(SEARCH("Cloud",F331)),F331="Industry Readiness Program",ISNUMBER(SEARCH("Talenlio",F331))),9,
OR(ISNUMBER(SEARCH("Innovation",F331)),F331="Mini Project"),10,
OR(ISNUMBER(SEARCH("Data Science",F331)),ISNUMBER(SEARCH("DS",F331))),11,
ISNUMBER(SEARCH("Generative AI",F331)),12
))))</f>
        <v>10</v>
      </c>
      <c r="X331" s="3">
        <v>2</v>
      </c>
      <c r="Y331" s="3">
        <v>8</v>
      </c>
      <c r="Z331" s="3" t="s">
        <v>35</v>
      </c>
    </row>
    <row r="332" spans="1:26" x14ac:dyDescent="0.3">
      <c r="A332" s="2">
        <v>46195</v>
      </c>
      <c r="B332" s="3" t="s">
        <v>26</v>
      </c>
      <c r="C332" s="3">
        <v>4</v>
      </c>
      <c r="D332" s="4">
        <v>0.46875</v>
      </c>
      <c r="E332" s="4">
        <v>0.51041666666666696</v>
      </c>
      <c r="F332" s="3" t="s">
        <v>53</v>
      </c>
      <c r="G332" s="3" t="s">
        <v>54</v>
      </c>
      <c r="H332" s="3" t="s">
        <v>29</v>
      </c>
      <c r="I332" s="3" t="s">
        <v>30</v>
      </c>
      <c r="J332" s="3" t="s">
        <v>84</v>
      </c>
      <c r="K332" s="3" t="s">
        <v>52</v>
      </c>
      <c r="L332" s="5">
        <v>102</v>
      </c>
      <c r="M332" s="5">
        <f t="shared" ca="1" si="25"/>
        <v>63</v>
      </c>
      <c r="N332" s="6">
        <f t="shared" ca="1" si="26"/>
        <v>61.764705882352942</v>
      </c>
      <c r="O332" s="3" cm="1">
        <f t="array" aca="1" ref="O332" ca="1">IFERROR(LOOKUP(2, 1/((F$1:F331=F332)*(J$1:J331=J332)*(ROW(F$1:F331)&lt;ROW(F332))), N$1:N331), "")</f>
        <v>98.039215686274503</v>
      </c>
      <c r="P332" s="3">
        <f t="shared" si="29"/>
        <v>0</v>
      </c>
      <c r="Q332" s="3" t="s">
        <v>33</v>
      </c>
      <c r="R332" s="3" t="s">
        <v>40</v>
      </c>
      <c r="S332" s="3" t="str">
        <f t="shared" si="27"/>
        <v>No</v>
      </c>
      <c r="T332" s="3" t="s">
        <v>34</v>
      </c>
      <c r="U332" s="3" t="str">
        <f t="shared" si="28"/>
        <v>Cloudy</v>
      </c>
      <c r="V332" s="3" t="s">
        <v>40</v>
      </c>
      <c r="W332" s="3" cm="1">
        <f t="array" ref="W332">_xlfn.IFS(
OR(F332="Selenium (Hands-on)",F332="Guest Lecture: HR Interview"),6,
OR(F332="Soft Skill",F332="Soft Skill (Examination)",F332="AWS Training",F332="AWS Session"),7,
OR(ISNUMBER(SEARCH("MAD",F332)),ISNUMBER(SEARCH("STQA",F332)),F332="CI/CD Session"),8,
OR(ISNUMBER(SEARCH("Cloud",F332)),F332="Industry Readiness Program",ISNUMBER(SEARCH("Talenlio",F332))),9,
OR(ISNUMBER(SEARCH("Innovation",F332)),F332="Mini Project"),10,
OR(ISNUMBER(SEARCH("Data Science",F332)),ISNUMBER(SEARCH("DS",F332))),11,
ISNUMBER(SEARCH("Generative AI",F332)),12
=_xlfn.IFS(
OR(F332="Selenium (Hands-on)",F332="Guest Lecture: HR Interview"),6,
OR(F332="Soft Skill",F332="Soft Skill (Examination)",F332="AWS Training",F332="AWS Session"),7,
OR(ISNUMBER(SEARCH("MAD",F332)),ISNUMBER(SEARCH("STQA",F332)),F332="CI/CD Session"),8,
OR(ISNUMBER(SEARCH("Cloud",F332)),F332="Industry Readiness Program",ISNUMBER(SEARCH("Talenlio",F332))),9,
OR(ISNUMBER(SEARCH("Innovation",F332)),F332="Mini Project"),10,
OR(ISNUMBER(SEARCH("Data Science",F332)),ISNUMBER(SEARCH("DS",F332))),11,
ISNUMBER(SEARCH("Generative AI",F332)),12
=_xlfn.IFS(
OR(F332="Selenium (Hands-on)",F332="Guest Lecture: HR Interview"),6,
OR(F332="Soft Skill",F332="Soft Skill (Examination)",F332="AWS Training",F332="AWS Session"),7,
OR(ISNUMBER(SEARCH("MAD",F332)),ISNUMBER(SEARCH("STQA",F332)),F332="CI/CD Session"),8,
OR(ISNUMBER(SEARCH("Cloud",F332)),F332="Industry Readiness Program",ISNUMBER(SEARCH("Talenlio",F332))),9,
OR(ISNUMBER(SEARCH("Innovation",F332)),F332="Mini Project"),10,
OR(ISNUMBER(SEARCH("Data Science",F332)),ISNUMBER(SEARCH("DS",F332))),11,
ISNUMBER(SEARCH("Generative AI",F332)),12
=_xlfn.IFS(
OR(F332="Selenium (Hands-on)",F332="Guest Lecture: HR Interview"),6,
OR(F332="Soft Skill",F332="Soft Skill (Examination)",F332="AWS Training",F332="AWS Session"),7,
OR(ISNUMBER(SEARCH("MAD",F332)),ISNUMBER(SEARCH("STQA",F332)),F332="CI/CD Session"),8,
OR(ISNUMBER(SEARCH("Cloud",F332)),F332="Industry Readiness Program",ISNUMBER(SEARCH("Talenlio",F332))),9,
OR(ISNUMBER(SEARCH("Innovation",F332)),F332="Mini Project"),10,
OR(ISNUMBER(SEARCH("Data Science",F332)),ISNUMBER(SEARCH("DS",F332))),11,
ISNUMBER(SEARCH("Generative AI",F332)),12
))))</f>
        <v>10</v>
      </c>
      <c r="X332" s="3">
        <v>2</v>
      </c>
      <c r="Y332" s="3">
        <v>8</v>
      </c>
      <c r="Z332" s="3" t="s">
        <v>35</v>
      </c>
    </row>
    <row r="333" spans="1:26" x14ac:dyDescent="0.3">
      <c r="A333" s="2">
        <v>46195</v>
      </c>
      <c r="B333" s="3" t="s">
        <v>26</v>
      </c>
      <c r="C333" s="3">
        <v>5</v>
      </c>
      <c r="D333" s="4">
        <v>0.5625</v>
      </c>
      <c r="E333" s="4">
        <v>0.60416666666666696</v>
      </c>
      <c r="F333" s="3" t="s">
        <v>55</v>
      </c>
      <c r="G333" s="3" t="s">
        <v>56</v>
      </c>
      <c r="H333" s="3" t="s">
        <v>29</v>
      </c>
      <c r="I333" s="3" t="s">
        <v>30</v>
      </c>
      <c r="J333" s="3" t="s">
        <v>84</v>
      </c>
      <c r="K333" s="3" t="s">
        <v>52</v>
      </c>
      <c r="L333" s="5">
        <v>102</v>
      </c>
      <c r="M333" s="5">
        <f t="shared" ca="1" si="25"/>
        <v>58</v>
      </c>
      <c r="N333" s="6">
        <f t="shared" ca="1" si="26"/>
        <v>56.862745098039213</v>
      </c>
      <c r="O333" s="3">
        <v>86.150486000000001</v>
      </c>
      <c r="P333" s="3">
        <f t="shared" si="29"/>
        <v>1.25</v>
      </c>
      <c r="Q333" s="3" t="s">
        <v>43</v>
      </c>
      <c r="R333" s="3" t="s">
        <v>40</v>
      </c>
      <c r="S333" s="3" t="str">
        <f t="shared" si="27"/>
        <v>No</v>
      </c>
      <c r="T333" s="3" t="s">
        <v>34</v>
      </c>
      <c r="U333" s="3" t="str">
        <f t="shared" si="28"/>
        <v>Cloudy</v>
      </c>
      <c r="V333" s="3" t="s">
        <v>40</v>
      </c>
      <c r="W333" s="3" cm="1">
        <f t="array" ref="W333">_xlfn.IFS(
OR(F333="Selenium (Hands-on)",F333="Guest Lecture: HR Interview"),6,
OR(F333="Soft Skill",F333="Soft Skill (Examination)",F333="AWS Training",F333="AWS Session"),7,
OR(ISNUMBER(SEARCH("MAD",F333)),ISNUMBER(SEARCH("STQA",F333)),F333="CI/CD Session"),8,
OR(ISNUMBER(SEARCH("Cloud",F333)),F333="Industry Readiness Program",ISNUMBER(SEARCH("Talenlio",F333))),9,
OR(ISNUMBER(SEARCH("Innovation",F333)),F333="Mini Project"),10,
OR(ISNUMBER(SEARCH("Data Science",F333)),ISNUMBER(SEARCH("DS",F333))),11,
ISNUMBER(SEARCH("Generative AI",F333)),12
=_xlfn.IFS(
OR(F333="Selenium (Hands-on)",F333="Guest Lecture: HR Interview"),6,
OR(F333="Soft Skill",F333="Soft Skill (Examination)",F333="AWS Training",F333="AWS Session"),7,
OR(ISNUMBER(SEARCH("MAD",F333)),ISNUMBER(SEARCH("STQA",F333)),F333="CI/CD Session"),8,
OR(ISNUMBER(SEARCH("Cloud",F333)),F333="Industry Readiness Program",ISNUMBER(SEARCH("Talenlio",F333))),9,
OR(ISNUMBER(SEARCH("Innovation",F333)),F333="Mini Project"),10,
OR(ISNUMBER(SEARCH("Data Science",F333)),ISNUMBER(SEARCH("DS",F333))),11,
ISNUMBER(SEARCH("Generative AI",F333)),12
=_xlfn.IFS(
OR(F333="Selenium (Hands-on)",F333="Guest Lecture: HR Interview"),6,
OR(F333="Soft Skill",F333="Soft Skill (Examination)",F333="AWS Training",F333="AWS Session"),7,
OR(ISNUMBER(SEARCH("MAD",F333)),ISNUMBER(SEARCH("STQA",F333)),F333="CI/CD Session"),8,
OR(ISNUMBER(SEARCH("Cloud",F333)),F333="Industry Readiness Program",ISNUMBER(SEARCH("Talenlio",F333))),9,
OR(ISNUMBER(SEARCH("Innovation",F333)),F333="Mini Project"),10,
OR(ISNUMBER(SEARCH("Data Science",F333)),ISNUMBER(SEARCH("DS",F333))),11,
ISNUMBER(SEARCH("Generative AI",F333)),12
=_xlfn.IFS(
OR(F333="Selenium (Hands-on)",F333="Guest Lecture: HR Interview"),6,
OR(F333="Soft Skill",F333="Soft Skill (Examination)",F333="AWS Training",F333="AWS Session"),7,
OR(ISNUMBER(SEARCH("MAD",F333)),ISNUMBER(SEARCH("STQA",F333)),F333="CI/CD Session"),8,
OR(ISNUMBER(SEARCH("Cloud",F333)),F333="Industry Readiness Program",ISNUMBER(SEARCH("Talenlio",F333))),9,
OR(ISNUMBER(SEARCH("Innovation",F333)),F333="Mini Project"),10,
OR(ISNUMBER(SEARCH("Data Science",F333)),ISNUMBER(SEARCH("DS",F333))),11,
ISNUMBER(SEARCH("Generative AI",F333)),12
))))</f>
        <v>8</v>
      </c>
      <c r="X333" s="3">
        <v>2</v>
      </c>
      <c r="Y333" s="3">
        <v>8</v>
      </c>
      <c r="Z333" s="3" t="s">
        <v>38</v>
      </c>
    </row>
    <row r="334" spans="1:26" x14ac:dyDescent="0.3">
      <c r="A334" s="2">
        <v>46195</v>
      </c>
      <c r="B334" s="3" t="s">
        <v>26</v>
      </c>
      <c r="C334" s="3">
        <v>6</v>
      </c>
      <c r="D334" s="4">
        <v>0.60416666666666696</v>
      </c>
      <c r="E334" s="4">
        <v>0.64583333333333304</v>
      </c>
      <c r="F334" s="3" t="s">
        <v>55</v>
      </c>
      <c r="G334" s="3" t="s">
        <v>56</v>
      </c>
      <c r="H334" s="3" t="s">
        <v>29</v>
      </c>
      <c r="I334" s="3" t="s">
        <v>30</v>
      </c>
      <c r="J334" s="3" t="s">
        <v>84</v>
      </c>
      <c r="K334" s="3" t="s">
        <v>52</v>
      </c>
      <c r="L334" s="5">
        <v>102</v>
      </c>
      <c r="M334" s="5">
        <f t="shared" ca="1" si="25"/>
        <v>69</v>
      </c>
      <c r="N334" s="6">
        <f t="shared" ca="1" si="26"/>
        <v>67.64705882352942</v>
      </c>
      <c r="O334" s="3" cm="1">
        <f t="array" aca="1" ref="O334" ca="1">IFERROR(LOOKUP(2, 1/((F$1:F333=F334)*(J$1:J333=J334)*(ROW(F$1:F333)&lt;ROW(F334))), N$1:N333), "")</f>
        <v>56.862745098039213</v>
      </c>
      <c r="P334" s="3">
        <f t="shared" si="29"/>
        <v>0</v>
      </c>
      <c r="Q334" s="3" t="s">
        <v>43</v>
      </c>
      <c r="R334" s="3" t="s">
        <v>40</v>
      </c>
      <c r="S334" s="3" t="str">
        <f t="shared" si="27"/>
        <v>No</v>
      </c>
      <c r="T334" s="3" t="s">
        <v>34</v>
      </c>
      <c r="U334" s="3" t="str">
        <f t="shared" si="28"/>
        <v>Cloudy</v>
      </c>
      <c r="V334" s="3" t="s">
        <v>40</v>
      </c>
      <c r="W334" s="3" cm="1">
        <f t="array" ref="W334">_xlfn.IFS(
OR(F334="Selenium (Hands-on)",F334="Guest Lecture: HR Interview"),6,
OR(F334="Soft Skill",F334="Soft Skill (Examination)",F334="AWS Training",F334="AWS Session"),7,
OR(ISNUMBER(SEARCH("MAD",F334)),ISNUMBER(SEARCH("STQA",F334)),F334="CI/CD Session"),8,
OR(ISNUMBER(SEARCH("Cloud",F334)),F334="Industry Readiness Program",ISNUMBER(SEARCH("Talenlio",F334))),9,
OR(ISNUMBER(SEARCH("Innovation",F334)),F334="Mini Project"),10,
OR(ISNUMBER(SEARCH("Data Science",F334)),ISNUMBER(SEARCH("DS",F334))),11,
ISNUMBER(SEARCH("Generative AI",F334)),12
=_xlfn.IFS(
OR(F334="Selenium (Hands-on)",F334="Guest Lecture: HR Interview"),6,
OR(F334="Soft Skill",F334="Soft Skill (Examination)",F334="AWS Training",F334="AWS Session"),7,
OR(ISNUMBER(SEARCH("MAD",F334)),ISNUMBER(SEARCH("STQA",F334)),F334="CI/CD Session"),8,
OR(ISNUMBER(SEARCH("Cloud",F334)),F334="Industry Readiness Program",ISNUMBER(SEARCH("Talenlio",F334))),9,
OR(ISNUMBER(SEARCH("Innovation",F334)),F334="Mini Project"),10,
OR(ISNUMBER(SEARCH("Data Science",F334)),ISNUMBER(SEARCH("DS",F334))),11,
ISNUMBER(SEARCH("Generative AI",F334)),12
=_xlfn.IFS(
OR(F334="Selenium (Hands-on)",F334="Guest Lecture: HR Interview"),6,
OR(F334="Soft Skill",F334="Soft Skill (Examination)",F334="AWS Training",F334="AWS Session"),7,
OR(ISNUMBER(SEARCH("MAD",F334)),ISNUMBER(SEARCH("STQA",F334)),F334="CI/CD Session"),8,
OR(ISNUMBER(SEARCH("Cloud",F334)),F334="Industry Readiness Program",ISNUMBER(SEARCH("Talenlio",F334))),9,
OR(ISNUMBER(SEARCH("Innovation",F334)),F334="Mini Project"),10,
OR(ISNUMBER(SEARCH("Data Science",F334)),ISNUMBER(SEARCH("DS",F334))),11,
ISNUMBER(SEARCH("Generative AI",F334)),12
=_xlfn.IFS(
OR(F334="Selenium (Hands-on)",F334="Guest Lecture: HR Interview"),6,
OR(F334="Soft Skill",F334="Soft Skill (Examination)",F334="AWS Training",F334="AWS Session"),7,
OR(ISNUMBER(SEARCH("MAD",F334)),ISNUMBER(SEARCH("STQA",F334)),F334="CI/CD Session"),8,
OR(ISNUMBER(SEARCH("Cloud",F334)),F334="Industry Readiness Program",ISNUMBER(SEARCH("Talenlio",F334))),9,
OR(ISNUMBER(SEARCH("Innovation",F334)),F334="Mini Project"),10,
OR(ISNUMBER(SEARCH("Data Science",F334)),ISNUMBER(SEARCH("DS",F334))),11,
ISNUMBER(SEARCH("Generative AI",F334)),12
))))</f>
        <v>8</v>
      </c>
      <c r="X334" s="3">
        <v>2</v>
      </c>
      <c r="Y334" s="3">
        <v>8</v>
      </c>
      <c r="Z334" s="3" t="s">
        <v>38</v>
      </c>
    </row>
    <row r="335" spans="1:26" x14ac:dyDescent="0.3">
      <c r="A335" s="2">
        <v>46196</v>
      </c>
      <c r="B335" s="3" t="s">
        <v>39</v>
      </c>
      <c r="C335" s="3">
        <v>1</v>
      </c>
      <c r="D335" s="4">
        <v>0.35416666666666702</v>
      </c>
      <c r="E335" s="4">
        <v>0.38541666666666702</v>
      </c>
      <c r="F335" s="3" t="s">
        <v>50</v>
      </c>
      <c r="G335" s="3" t="s">
        <v>51</v>
      </c>
      <c r="H335" s="3" t="s">
        <v>29</v>
      </c>
      <c r="I335" s="3" t="s">
        <v>30</v>
      </c>
      <c r="J335" s="3" t="s">
        <v>84</v>
      </c>
      <c r="K335" s="3" t="s">
        <v>52</v>
      </c>
      <c r="L335" s="5">
        <v>102</v>
      </c>
      <c r="M335" s="5">
        <f t="shared" ca="1" si="25"/>
        <v>58</v>
      </c>
      <c r="N335" s="6">
        <f t="shared" ca="1" si="26"/>
        <v>56.862745098039213</v>
      </c>
      <c r="O335" s="3" cm="1">
        <f t="array" aca="1" ref="O335" ca="1">IFERROR(LOOKUP(2, 1/((F$1:F334=F335)*(J$1:J334=J335)*(ROW(F$1:F334)&lt;ROW(F335))), N$1:N334), "")</f>
        <v>68.627450980392155</v>
      </c>
      <c r="P335" s="3">
        <f t="shared" si="29"/>
        <v>0</v>
      </c>
      <c r="Q335" s="3" t="s">
        <v>43</v>
      </c>
      <c r="R335" s="3" t="s">
        <v>40</v>
      </c>
      <c r="S335" s="3" t="str">
        <f t="shared" si="27"/>
        <v>No</v>
      </c>
      <c r="T335" s="3" t="s">
        <v>40</v>
      </c>
      <c r="U335" s="3" t="str">
        <f t="shared" si="28"/>
        <v>Cloudy</v>
      </c>
      <c r="V335" s="3" t="s">
        <v>40</v>
      </c>
      <c r="W335" s="3" cm="1">
        <f t="array" ref="W335">_xlfn.IFS(
OR(F335="Selenium (Hands-on)",F335="Guest Lecture: HR Interview"),6,
OR(F335="Soft Skill",F335="Soft Skill (Examination)",F335="AWS Training",F335="AWS Session"),7,
OR(ISNUMBER(SEARCH("MAD",F335)),ISNUMBER(SEARCH("STQA",F335)),F335="CI/CD Session"),8,
OR(ISNUMBER(SEARCH("Cloud",F335)),F335="Industry Readiness Program",ISNUMBER(SEARCH("Talenlio",F335))),9,
OR(ISNUMBER(SEARCH("Innovation",F335)),F335="Mini Project"),10,
OR(ISNUMBER(SEARCH("Data Science",F335)),ISNUMBER(SEARCH("DS",F335))),11,
ISNUMBER(SEARCH("Generative AI",F335)),12
=_xlfn.IFS(
OR(F335="Selenium (Hands-on)",F335="Guest Lecture: HR Interview"),6,
OR(F335="Soft Skill",F335="Soft Skill (Examination)",F335="AWS Training",F335="AWS Session"),7,
OR(ISNUMBER(SEARCH("MAD",F335)),ISNUMBER(SEARCH("STQA",F335)),F335="CI/CD Session"),8,
OR(ISNUMBER(SEARCH("Cloud",F335)),F335="Industry Readiness Program",ISNUMBER(SEARCH("Talenlio",F335))),9,
OR(ISNUMBER(SEARCH("Innovation",F335)),F335="Mini Project"),10,
OR(ISNUMBER(SEARCH("Data Science",F335)),ISNUMBER(SEARCH("DS",F335))),11,
ISNUMBER(SEARCH("Generative AI",F335)),12
=_xlfn.IFS(
OR(F335="Selenium (Hands-on)",F335="Guest Lecture: HR Interview"),6,
OR(F335="Soft Skill",F335="Soft Skill (Examination)",F335="AWS Training",F335="AWS Session"),7,
OR(ISNUMBER(SEARCH("MAD",F335)),ISNUMBER(SEARCH("STQA",F335)),F335="CI/CD Session"),8,
OR(ISNUMBER(SEARCH("Cloud",F335)),F335="Industry Readiness Program",ISNUMBER(SEARCH("Talenlio",F335))),9,
OR(ISNUMBER(SEARCH("Innovation",F335)),F335="Mini Project"),10,
OR(ISNUMBER(SEARCH("Data Science",F335)),ISNUMBER(SEARCH("DS",F335))),11,
ISNUMBER(SEARCH("Generative AI",F335)),12
=_xlfn.IFS(
OR(F335="Selenium (Hands-on)",F335="Guest Lecture: HR Interview"),6,
OR(F335="Soft Skill",F335="Soft Skill (Examination)",F335="AWS Training",F335="AWS Session"),7,
OR(ISNUMBER(SEARCH("MAD",F335)),ISNUMBER(SEARCH("STQA",F335)),F335="CI/CD Session"),8,
OR(ISNUMBER(SEARCH("Cloud",F335)),F335="Industry Readiness Program",ISNUMBER(SEARCH("Talenlio",F335))),9,
OR(ISNUMBER(SEARCH("Innovation",F335)),F335="Mini Project"),10,
OR(ISNUMBER(SEARCH("Data Science",F335)),ISNUMBER(SEARCH("DS",F335))),11,
ISNUMBER(SEARCH("Generative AI",F335)),12
))))</f>
        <v>8</v>
      </c>
      <c r="X335" s="3">
        <v>2</v>
      </c>
      <c r="Y335" s="3">
        <v>9</v>
      </c>
      <c r="Z335" s="3" t="s">
        <v>35</v>
      </c>
    </row>
    <row r="336" spans="1:26" x14ac:dyDescent="0.3">
      <c r="A336" s="2">
        <v>46196</v>
      </c>
      <c r="B336" s="3" t="s">
        <v>39</v>
      </c>
      <c r="C336" s="3">
        <v>2</v>
      </c>
      <c r="D336" s="4">
        <v>0.38541666666666702</v>
      </c>
      <c r="E336" s="4">
        <v>0.42708333333333298</v>
      </c>
      <c r="F336" s="3" t="s">
        <v>50</v>
      </c>
      <c r="G336" s="3" t="s">
        <v>51</v>
      </c>
      <c r="H336" s="3" t="s">
        <v>29</v>
      </c>
      <c r="I336" s="3" t="s">
        <v>30</v>
      </c>
      <c r="J336" s="3" t="s">
        <v>84</v>
      </c>
      <c r="K336" s="3" t="s">
        <v>52</v>
      </c>
      <c r="L336" s="5">
        <v>102</v>
      </c>
      <c r="M336" s="5">
        <f t="shared" ca="1" si="25"/>
        <v>49</v>
      </c>
      <c r="N336" s="6">
        <f t="shared" ca="1" si="26"/>
        <v>48.03921568627451</v>
      </c>
      <c r="O336" s="3" cm="1">
        <f t="array" aca="1" ref="O336" ca="1">IFERROR(LOOKUP(2, 1/((F$1:F335=F336)*(J$1:J335=J336)*(ROW(F$1:F335)&lt;ROW(F336))), N$1:N335), "")</f>
        <v>56.862745098039213</v>
      </c>
      <c r="P336" s="3">
        <f t="shared" si="29"/>
        <v>0</v>
      </c>
      <c r="Q336" s="3" t="s">
        <v>43</v>
      </c>
      <c r="R336" s="3" t="s">
        <v>40</v>
      </c>
      <c r="S336" s="3" t="str">
        <f t="shared" si="27"/>
        <v>No</v>
      </c>
      <c r="T336" s="3" t="s">
        <v>40</v>
      </c>
      <c r="U336" s="3" t="str">
        <f t="shared" si="28"/>
        <v>Cloudy</v>
      </c>
      <c r="V336" s="3" t="s">
        <v>40</v>
      </c>
      <c r="W336" s="3" cm="1">
        <f t="array" ref="W336">_xlfn.IFS(
OR(F336="Selenium (Hands-on)",F336="Guest Lecture: HR Interview"),6,
OR(F336="Soft Skill",F336="Soft Skill (Examination)",F336="AWS Training",F336="AWS Session"),7,
OR(ISNUMBER(SEARCH("MAD",F336)),ISNUMBER(SEARCH("STQA",F336)),F336="CI/CD Session"),8,
OR(ISNUMBER(SEARCH("Cloud",F336)),F336="Industry Readiness Program",ISNUMBER(SEARCH("Talenlio",F336))),9,
OR(ISNUMBER(SEARCH("Innovation",F336)),F336="Mini Project"),10,
OR(ISNUMBER(SEARCH("Data Science",F336)),ISNUMBER(SEARCH("DS",F336))),11,
ISNUMBER(SEARCH("Generative AI",F336)),12
=_xlfn.IFS(
OR(F336="Selenium (Hands-on)",F336="Guest Lecture: HR Interview"),6,
OR(F336="Soft Skill",F336="Soft Skill (Examination)",F336="AWS Training",F336="AWS Session"),7,
OR(ISNUMBER(SEARCH("MAD",F336)),ISNUMBER(SEARCH("STQA",F336)),F336="CI/CD Session"),8,
OR(ISNUMBER(SEARCH("Cloud",F336)),F336="Industry Readiness Program",ISNUMBER(SEARCH("Talenlio",F336))),9,
OR(ISNUMBER(SEARCH("Innovation",F336)),F336="Mini Project"),10,
OR(ISNUMBER(SEARCH("Data Science",F336)),ISNUMBER(SEARCH("DS",F336))),11,
ISNUMBER(SEARCH("Generative AI",F336)),12
=_xlfn.IFS(
OR(F336="Selenium (Hands-on)",F336="Guest Lecture: HR Interview"),6,
OR(F336="Soft Skill",F336="Soft Skill (Examination)",F336="AWS Training",F336="AWS Session"),7,
OR(ISNUMBER(SEARCH("MAD",F336)),ISNUMBER(SEARCH("STQA",F336)),F336="CI/CD Session"),8,
OR(ISNUMBER(SEARCH("Cloud",F336)),F336="Industry Readiness Program",ISNUMBER(SEARCH("Talenlio",F336))),9,
OR(ISNUMBER(SEARCH("Innovation",F336)),F336="Mini Project"),10,
OR(ISNUMBER(SEARCH("Data Science",F336)),ISNUMBER(SEARCH("DS",F336))),11,
ISNUMBER(SEARCH("Generative AI",F336)),12
=_xlfn.IFS(
OR(F336="Selenium (Hands-on)",F336="Guest Lecture: HR Interview"),6,
OR(F336="Soft Skill",F336="Soft Skill (Examination)",F336="AWS Training",F336="AWS Session"),7,
OR(ISNUMBER(SEARCH("MAD",F336)),ISNUMBER(SEARCH("STQA",F336)),F336="CI/CD Session"),8,
OR(ISNUMBER(SEARCH("Cloud",F336)),F336="Industry Readiness Program",ISNUMBER(SEARCH("Talenlio",F336))),9,
OR(ISNUMBER(SEARCH("Innovation",F336)),F336="Mini Project"),10,
OR(ISNUMBER(SEARCH("Data Science",F336)),ISNUMBER(SEARCH("DS",F336))),11,
ISNUMBER(SEARCH("Generative AI",F336)),12
))))</f>
        <v>8</v>
      </c>
      <c r="X336" s="3">
        <v>2</v>
      </c>
      <c r="Y336" s="3">
        <v>9</v>
      </c>
      <c r="Z336" s="3" t="s">
        <v>35</v>
      </c>
    </row>
    <row r="337" spans="1:26" x14ac:dyDescent="0.3">
      <c r="A337" s="2">
        <v>46196</v>
      </c>
      <c r="B337" s="3" t="s">
        <v>39</v>
      </c>
      <c r="C337" s="3">
        <v>3</v>
      </c>
      <c r="D337" s="4">
        <v>0.42708333333333298</v>
      </c>
      <c r="E337" s="4">
        <v>0.46875</v>
      </c>
      <c r="F337" s="3" t="s">
        <v>57</v>
      </c>
      <c r="G337" s="3" t="s">
        <v>58</v>
      </c>
      <c r="H337" s="3" t="s">
        <v>29</v>
      </c>
      <c r="I337" s="3" t="s">
        <v>30</v>
      </c>
      <c r="J337" s="3" t="s">
        <v>84</v>
      </c>
      <c r="K337" s="3" t="s">
        <v>52</v>
      </c>
      <c r="L337" s="5">
        <v>102</v>
      </c>
      <c r="M337" s="5">
        <f t="shared" ca="1" si="25"/>
        <v>77</v>
      </c>
      <c r="N337" s="6">
        <f t="shared" ca="1" si="26"/>
        <v>75.490196078431367</v>
      </c>
      <c r="O337" s="3">
        <v>84.164432399999995</v>
      </c>
      <c r="P337" s="3">
        <f t="shared" si="29"/>
        <v>0</v>
      </c>
      <c r="Q337" s="3" t="s">
        <v>33</v>
      </c>
      <c r="R337" s="3" t="s">
        <v>40</v>
      </c>
      <c r="S337" s="3" t="str">
        <f t="shared" si="27"/>
        <v>No</v>
      </c>
      <c r="T337" s="3" t="s">
        <v>40</v>
      </c>
      <c r="U337" s="3" t="str">
        <f t="shared" si="28"/>
        <v>Cloudy</v>
      </c>
      <c r="V337" s="3" t="s">
        <v>40</v>
      </c>
      <c r="W337" s="3" cm="1">
        <f t="array" ref="W337">_xlfn.IFS(
OR(F337="Selenium (Hands-on)",F337="Guest Lecture: HR Interview"),6,
OR(F337="Soft Skill",F337="Soft Skill (Examination)",F337="AWS Training",F337="AWS Session"),7,
OR(ISNUMBER(SEARCH("MAD",F337)),ISNUMBER(SEARCH("STQA",F337)),F337="CI/CD Session"),8,
OR(ISNUMBER(SEARCH("Cloud",F337)),F337="Industry Readiness Program",ISNUMBER(SEARCH("Talenlio",F337))),9,
OR(ISNUMBER(SEARCH("Innovation",F337)),F337="Mini Project"),10,
OR(ISNUMBER(SEARCH("Data Science",F337)),ISNUMBER(SEARCH("DS",F337))),11,
ISNUMBER(SEARCH("Generative AI",F337)),12
=_xlfn.IFS(
OR(F337="Selenium (Hands-on)",F337="Guest Lecture: HR Interview"),6,
OR(F337="Soft Skill",F337="Soft Skill (Examination)",F337="AWS Training",F337="AWS Session"),7,
OR(ISNUMBER(SEARCH("MAD",F337)),ISNUMBER(SEARCH("STQA",F337)),F337="CI/CD Session"),8,
OR(ISNUMBER(SEARCH("Cloud",F337)),F337="Industry Readiness Program",ISNUMBER(SEARCH("Talenlio",F337))),9,
OR(ISNUMBER(SEARCH("Innovation",F337)),F337="Mini Project"),10,
OR(ISNUMBER(SEARCH("Data Science",F337)),ISNUMBER(SEARCH("DS",F337))),11,
ISNUMBER(SEARCH("Generative AI",F337)),12
=_xlfn.IFS(
OR(F337="Selenium (Hands-on)",F337="Guest Lecture: HR Interview"),6,
OR(F337="Soft Skill",F337="Soft Skill (Examination)",F337="AWS Training",F337="AWS Session"),7,
OR(ISNUMBER(SEARCH("MAD",F337)),ISNUMBER(SEARCH("STQA",F337)),F337="CI/CD Session"),8,
OR(ISNUMBER(SEARCH("Cloud",F337)),F337="Industry Readiness Program",ISNUMBER(SEARCH("Talenlio",F337))),9,
OR(ISNUMBER(SEARCH("Innovation",F337)),F337="Mini Project"),10,
OR(ISNUMBER(SEARCH("Data Science",F337)),ISNUMBER(SEARCH("DS",F337))),11,
ISNUMBER(SEARCH("Generative AI",F337)),12
=_xlfn.IFS(
OR(F337="Selenium (Hands-on)",F337="Guest Lecture: HR Interview"),6,
OR(F337="Soft Skill",F337="Soft Skill (Examination)",F337="AWS Training",F337="AWS Session"),7,
OR(ISNUMBER(SEARCH("MAD",F337)),ISNUMBER(SEARCH("STQA",F337)),F337="CI/CD Session"),8,
OR(ISNUMBER(SEARCH("Cloud",F337)),F337="Industry Readiness Program",ISNUMBER(SEARCH("Talenlio",F337))),9,
OR(ISNUMBER(SEARCH("Innovation",F337)),F337="Mini Project"),10,
OR(ISNUMBER(SEARCH("Data Science",F337)),ISNUMBER(SEARCH("DS",F337))),11,
ISNUMBER(SEARCH("Generative AI",F337)),12
))))</f>
        <v>9</v>
      </c>
      <c r="X337" s="3">
        <v>2</v>
      </c>
      <c r="Y337" s="3">
        <v>9</v>
      </c>
      <c r="Z337" s="3" t="s">
        <v>35</v>
      </c>
    </row>
    <row r="338" spans="1:26" x14ac:dyDescent="0.3">
      <c r="A338" s="2">
        <v>46196</v>
      </c>
      <c r="B338" s="3" t="s">
        <v>39</v>
      </c>
      <c r="C338" s="3">
        <v>4</v>
      </c>
      <c r="D338" s="4">
        <v>0.46875</v>
      </c>
      <c r="E338" s="4">
        <v>0.51041666666666696</v>
      </c>
      <c r="F338" s="3" t="s">
        <v>59</v>
      </c>
      <c r="G338" s="3" t="s">
        <v>60</v>
      </c>
      <c r="H338" s="3" t="s">
        <v>29</v>
      </c>
      <c r="I338" s="3" t="s">
        <v>30</v>
      </c>
      <c r="J338" s="3" t="s">
        <v>84</v>
      </c>
      <c r="K338" s="3" t="s">
        <v>52</v>
      </c>
      <c r="L338" s="5">
        <v>102</v>
      </c>
      <c r="M338" s="5">
        <f t="shared" ca="1" si="25"/>
        <v>95</v>
      </c>
      <c r="N338" s="6">
        <f t="shared" ca="1" si="26"/>
        <v>93.137254901960787</v>
      </c>
      <c r="O338" s="3">
        <v>84.164432399999995</v>
      </c>
      <c r="P338" s="3">
        <f t="shared" si="29"/>
        <v>0</v>
      </c>
      <c r="Q338" s="3" t="s">
        <v>33</v>
      </c>
      <c r="R338" s="3" t="s">
        <v>40</v>
      </c>
      <c r="S338" s="3" t="str">
        <f t="shared" si="27"/>
        <v>No</v>
      </c>
      <c r="T338" s="3" t="s">
        <v>40</v>
      </c>
      <c r="U338" s="3" t="str">
        <f t="shared" si="28"/>
        <v>Cloudy</v>
      </c>
      <c r="V338" s="3" t="s">
        <v>40</v>
      </c>
      <c r="W338" s="3" cm="1">
        <f t="array" ref="W338">_xlfn.IFS(
OR(F338="Selenium (Hands-on)",F338="Guest Lecture: HR Interview"),6,
OR(F338="Soft Skill",F338="Soft Skill (Examination)",F338="AWS Training",F338="AWS Session"),7,
OR(ISNUMBER(SEARCH("MAD",F338)),ISNUMBER(SEARCH("STQA",F338)),F338="CI/CD Session"),8,
OR(ISNUMBER(SEARCH("Cloud",F338)),F338="Industry Readiness Program",ISNUMBER(SEARCH("Talenlio",F338))),9,
OR(ISNUMBER(SEARCH("Innovation",F338)),F338="Mini Project"),10,
OR(ISNUMBER(SEARCH("Data Science",F338)),ISNUMBER(SEARCH("DS",F338))),11,
ISNUMBER(SEARCH("Generative AI",F338)),12
=_xlfn.IFS(
OR(F338="Selenium (Hands-on)",F338="Guest Lecture: HR Interview"),6,
OR(F338="Soft Skill",F338="Soft Skill (Examination)",F338="AWS Training",F338="AWS Session"),7,
OR(ISNUMBER(SEARCH("MAD",F338)),ISNUMBER(SEARCH("STQA",F338)),F338="CI/CD Session"),8,
OR(ISNUMBER(SEARCH("Cloud",F338)),F338="Industry Readiness Program",ISNUMBER(SEARCH("Talenlio",F338))),9,
OR(ISNUMBER(SEARCH("Innovation",F338)),F338="Mini Project"),10,
OR(ISNUMBER(SEARCH("Data Science",F338)),ISNUMBER(SEARCH("DS",F338))),11,
ISNUMBER(SEARCH("Generative AI",F338)),12
=_xlfn.IFS(
OR(F338="Selenium (Hands-on)",F338="Guest Lecture: HR Interview"),6,
OR(F338="Soft Skill",F338="Soft Skill (Examination)",F338="AWS Training",F338="AWS Session"),7,
OR(ISNUMBER(SEARCH("MAD",F338)),ISNUMBER(SEARCH("STQA",F338)),F338="CI/CD Session"),8,
OR(ISNUMBER(SEARCH("Cloud",F338)),F338="Industry Readiness Program",ISNUMBER(SEARCH("Talenlio",F338))),9,
OR(ISNUMBER(SEARCH("Innovation",F338)),F338="Mini Project"),10,
OR(ISNUMBER(SEARCH("Data Science",F338)),ISNUMBER(SEARCH("DS",F338))),11,
ISNUMBER(SEARCH("Generative AI",F338)),12
=_xlfn.IFS(
OR(F338="Selenium (Hands-on)",F338="Guest Lecture: HR Interview"),6,
OR(F338="Soft Skill",F338="Soft Skill (Examination)",F338="AWS Training",F338="AWS Session"),7,
OR(ISNUMBER(SEARCH("MAD",F338)),ISNUMBER(SEARCH("STQA",F338)),F338="CI/CD Session"),8,
OR(ISNUMBER(SEARCH("Cloud",F338)),F338="Industry Readiness Program",ISNUMBER(SEARCH("Talenlio",F338))),9,
OR(ISNUMBER(SEARCH("Innovation",F338)),F338="Mini Project"),10,
OR(ISNUMBER(SEARCH("Data Science",F338)),ISNUMBER(SEARCH("DS",F338))),11,
ISNUMBER(SEARCH("Generative AI",F338)),12
))))</f>
        <v>11</v>
      </c>
      <c r="X338" s="3">
        <v>2</v>
      </c>
      <c r="Y338" s="3">
        <v>9</v>
      </c>
      <c r="Z338" s="3" t="s">
        <v>35</v>
      </c>
    </row>
    <row r="339" spans="1:26" x14ac:dyDescent="0.3">
      <c r="A339" s="2">
        <v>46196</v>
      </c>
      <c r="B339" s="3" t="s">
        <v>39</v>
      </c>
      <c r="C339" s="3">
        <v>5</v>
      </c>
      <c r="D339" s="4">
        <v>0.5625</v>
      </c>
      <c r="E339" s="4">
        <v>0.60416666666666696</v>
      </c>
      <c r="F339" s="3" t="s">
        <v>61</v>
      </c>
      <c r="G339" s="3" t="s">
        <v>60</v>
      </c>
      <c r="H339" s="3" t="s">
        <v>29</v>
      </c>
      <c r="I339" s="3" t="s">
        <v>30</v>
      </c>
      <c r="J339" s="3" t="s">
        <v>84</v>
      </c>
      <c r="K339" s="3" t="s">
        <v>52</v>
      </c>
      <c r="L339" s="5">
        <v>102</v>
      </c>
      <c r="M339" s="5">
        <f t="shared" ca="1" si="25"/>
        <v>49</v>
      </c>
      <c r="N339" s="6">
        <f t="shared" ca="1" si="26"/>
        <v>48.03921568627451</v>
      </c>
      <c r="O339" s="3">
        <v>84.165452400000007</v>
      </c>
      <c r="P339" s="3">
        <f t="shared" si="29"/>
        <v>1.25</v>
      </c>
      <c r="Q339" s="3" t="s">
        <v>43</v>
      </c>
      <c r="R339" s="3" t="s">
        <v>40</v>
      </c>
      <c r="S339" s="3" t="str">
        <f t="shared" si="27"/>
        <v>No</v>
      </c>
      <c r="T339" s="3" t="s">
        <v>40</v>
      </c>
      <c r="U339" s="3" t="str">
        <f t="shared" si="28"/>
        <v>Cloudy</v>
      </c>
      <c r="V339" s="3" t="s">
        <v>40</v>
      </c>
      <c r="W339" s="3" cm="1">
        <f t="array" ref="W339">_xlfn.IFS(
OR(F339="Selenium (Hands-on)",F339="Guest Lecture: HR Interview"),6,
OR(F339="Soft Skill",F339="Soft Skill (Examination)",F339="AWS Training",F339="AWS Session"),7,
OR(ISNUMBER(SEARCH("MAD",F339)),ISNUMBER(SEARCH("STQA",F339)),F339="CI/CD Session"),8,
OR(ISNUMBER(SEARCH("Cloud",F339)),F339="Industry Readiness Program",ISNUMBER(SEARCH("Talenlio",F339))),9,
OR(ISNUMBER(SEARCH("Innovation",F339)),F339="Mini Project"),10,
OR(ISNUMBER(SEARCH("Data Science",F339)),ISNUMBER(SEARCH("DS",F339))),11,
ISNUMBER(SEARCH("Generative AI",F339)),12
=_xlfn.IFS(
OR(F339="Selenium (Hands-on)",F339="Guest Lecture: HR Interview"),6,
OR(F339="Soft Skill",F339="Soft Skill (Examination)",F339="AWS Training",F339="AWS Session"),7,
OR(ISNUMBER(SEARCH("MAD",F339)),ISNUMBER(SEARCH("STQA",F339)),F339="CI/CD Session"),8,
OR(ISNUMBER(SEARCH("Cloud",F339)),F339="Industry Readiness Program",ISNUMBER(SEARCH("Talenlio",F339))),9,
OR(ISNUMBER(SEARCH("Innovation",F339)),F339="Mini Project"),10,
OR(ISNUMBER(SEARCH("Data Science",F339)),ISNUMBER(SEARCH("DS",F339))),11,
ISNUMBER(SEARCH("Generative AI",F339)),12
=_xlfn.IFS(
OR(F339="Selenium (Hands-on)",F339="Guest Lecture: HR Interview"),6,
OR(F339="Soft Skill",F339="Soft Skill (Examination)",F339="AWS Training",F339="AWS Session"),7,
OR(ISNUMBER(SEARCH("MAD",F339)),ISNUMBER(SEARCH("STQA",F339)),F339="CI/CD Session"),8,
OR(ISNUMBER(SEARCH("Cloud",F339)),F339="Industry Readiness Program",ISNUMBER(SEARCH("Talenlio",F339))),9,
OR(ISNUMBER(SEARCH("Innovation",F339)),F339="Mini Project"),10,
OR(ISNUMBER(SEARCH("Data Science",F339)),ISNUMBER(SEARCH("DS",F339))),11,
ISNUMBER(SEARCH("Generative AI",F339)),12
=_xlfn.IFS(
OR(F339="Selenium (Hands-on)",F339="Guest Lecture: HR Interview"),6,
OR(F339="Soft Skill",F339="Soft Skill (Examination)",F339="AWS Training",F339="AWS Session"),7,
OR(ISNUMBER(SEARCH("MAD",F339)),ISNUMBER(SEARCH("STQA",F339)),F339="CI/CD Session"),8,
OR(ISNUMBER(SEARCH("Cloud",F339)),F339="Industry Readiness Program",ISNUMBER(SEARCH("Talenlio",F339))),9,
OR(ISNUMBER(SEARCH("Innovation",F339)),F339="Mini Project"),10,
OR(ISNUMBER(SEARCH("Data Science",F339)),ISNUMBER(SEARCH("DS",F339))),11,
ISNUMBER(SEARCH("Generative AI",F339)),12
))))</f>
        <v>11</v>
      </c>
      <c r="X339" s="3">
        <v>2</v>
      </c>
      <c r="Y339" s="3">
        <v>9</v>
      </c>
      <c r="Z339" s="3" t="s">
        <v>38</v>
      </c>
    </row>
    <row r="340" spans="1:26" x14ac:dyDescent="0.3">
      <c r="A340" s="2">
        <v>46196</v>
      </c>
      <c r="B340" s="3" t="s">
        <v>39</v>
      </c>
      <c r="C340" s="3">
        <v>6</v>
      </c>
      <c r="D340" s="4">
        <v>0.60416666666666696</v>
      </c>
      <c r="E340" s="4">
        <v>0.64583333333333304</v>
      </c>
      <c r="F340" s="3" t="s">
        <v>61</v>
      </c>
      <c r="G340" s="3" t="s">
        <v>60</v>
      </c>
      <c r="H340" s="3" t="s">
        <v>29</v>
      </c>
      <c r="I340" s="3" t="s">
        <v>30</v>
      </c>
      <c r="J340" s="3" t="s">
        <v>84</v>
      </c>
      <c r="K340" s="3" t="s">
        <v>52</v>
      </c>
      <c r="L340" s="5">
        <v>102</v>
      </c>
      <c r="M340" s="5">
        <f t="shared" ca="1" si="25"/>
        <v>68</v>
      </c>
      <c r="N340" s="6">
        <f t="shared" ca="1" si="26"/>
        <v>66.666666666666657</v>
      </c>
      <c r="O340" s="3" cm="1">
        <f t="array" aca="1" ref="O340" ca="1">IFERROR(LOOKUP(2, 1/((F$1:F339=F340)*(J$1:J339=J340)*(ROW(F$1:F339)&lt;ROW(F340))), N$1:N339), "")</f>
        <v>48.03921568627451</v>
      </c>
      <c r="P340" s="3">
        <f t="shared" si="29"/>
        <v>0</v>
      </c>
      <c r="Q340" s="3" t="s">
        <v>43</v>
      </c>
      <c r="R340" s="3" t="s">
        <v>40</v>
      </c>
      <c r="S340" s="3" t="str">
        <f t="shared" si="27"/>
        <v>No</v>
      </c>
      <c r="T340" s="3" t="s">
        <v>40</v>
      </c>
      <c r="U340" s="3" t="str">
        <f t="shared" si="28"/>
        <v>Cloudy</v>
      </c>
      <c r="V340" s="3" t="s">
        <v>40</v>
      </c>
      <c r="W340" s="3" cm="1">
        <f t="array" ref="W340">_xlfn.IFS(
OR(F340="Selenium (Hands-on)",F340="Guest Lecture: HR Interview"),6,
OR(F340="Soft Skill",F340="Soft Skill (Examination)",F340="AWS Training",F340="AWS Session"),7,
OR(ISNUMBER(SEARCH("MAD",F340)),ISNUMBER(SEARCH("STQA",F340)),F340="CI/CD Session"),8,
OR(ISNUMBER(SEARCH("Cloud",F340)),F340="Industry Readiness Program",ISNUMBER(SEARCH("Talenlio",F340))),9,
OR(ISNUMBER(SEARCH("Innovation",F340)),F340="Mini Project"),10,
OR(ISNUMBER(SEARCH("Data Science",F340)),ISNUMBER(SEARCH("DS",F340))),11,
ISNUMBER(SEARCH("Generative AI",F340)),12
=_xlfn.IFS(
OR(F340="Selenium (Hands-on)",F340="Guest Lecture: HR Interview"),6,
OR(F340="Soft Skill",F340="Soft Skill (Examination)",F340="AWS Training",F340="AWS Session"),7,
OR(ISNUMBER(SEARCH("MAD",F340)),ISNUMBER(SEARCH("STQA",F340)),F340="CI/CD Session"),8,
OR(ISNUMBER(SEARCH("Cloud",F340)),F340="Industry Readiness Program",ISNUMBER(SEARCH("Talenlio",F340))),9,
OR(ISNUMBER(SEARCH("Innovation",F340)),F340="Mini Project"),10,
OR(ISNUMBER(SEARCH("Data Science",F340)),ISNUMBER(SEARCH("DS",F340))),11,
ISNUMBER(SEARCH("Generative AI",F340)),12
=_xlfn.IFS(
OR(F340="Selenium (Hands-on)",F340="Guest Lecture: HR Interview"),6,
OR(F340="Soft Skill",F340="Soft Skill (Examination)",F340="AWS Training",F340="AWS Session"),7,
OR(ISNUMBER(SEARCH("MAD",F340)),ISNUMBER(SEARCH("STQA",F340)),F340="CI/CD Session"),8,
OR(ISNUMBER(SEARCH("Cloud",F340)),F340="Industry Readiness Program",ISNUMBER(SEARCH("Talenlio",F340))),9,
OR(ISNUMBER(SEARCH("Innovation",F340)),F340="Mini Project"),10,
OR(ISNUMBER(SEARCH("Data Science",F340)),ISNUMBER(SEARCH("DS",F340))),11,
ISNUMBER(SEARCH("Generative AI",F340)),12
=_xlfn.IFS(
OR(F340="Selenium (Hands-on)",F340="Guest Lecture: HR Interview"),6,
OR(F340="Soft Skill",F340="Soft Skill (Examination)",F340="AWS Training",F340="AWS Session"),7,
OR(ISNUMBER(SEARCH("MAD",F340)),ISNUMBER(SEARCH("STQA",F340)),F340="CI/CD Session"),8,
OR(ISNUMBER(SEARCH("Cloud",F340)),F340="Industry Readiness Program",ISNUMBER(SEARCH("Talenlio",F340))),9,
OR(ISNUMBER(SEARCH("Innovation",F340)),F340="Mini Project"),10,
OR(ISNUMBER(SEARCH("Data Science",F340)),ISNUMBER(SEARCH("DS",F340))),11,
ISNUMBER(SEARCH("Generative AI",F340)),12
))))</f>
        <v>11</v>
      </c>
      <c r="X340" s="3">
        <v>2</v>
      </c>
      <c r="Y340" s="3">
        <v>9</v>
      </c>
      <c r="Z340" s="3" t="s">
        <v>38</v>
      </c>
    </row>
    <row r="341" spans="1:26" x14ac:dyDescent="0.3">
      <c r="A341" s="2">
        <v>46197</v>
      </c>
      <c r="B341" s="3" t="s">
        <v>44</v>
      </c>
      <c r="C341" s="3">
        <v>1</v>
      </c>
      <c r="D341" s="4">
        <v>0.35416666666666702</v>
      </c>
      <c r="E341" s="4">
        <v>0.38541666666666702</v>
      </c>
      <c r="F341" s="3" t="s">
        <v>50</v>
      </c>
      <c r="G341" s="3" t="s">
        <v>51</v>
      </c>
      <c r="H341" s="3" t="s">
        <v>29</v>
      </c>
      <c r="I341" s="3" t="s">
        <v>30</v>
      </c>
      <c r="J341" s="3" t="s">
        <v>84</v>
      </c>
      <c r="K341" s="3" t="s">
        <v>52</v>
      </c>
      <c r="L341" s="5">
        <v>102</v>
      </c>
      <c r="M341" s="5">
        <f t="shared" ca="1" si="25"/>
        <v>87</v>
      </c>
      <c r="N341" s="6">
        <f t="shared" ca="1" si="26"/>
        <v>85.294117647058826</v>
      </c>
      <c r="O341" s="3" cm="1">
        <f t="array" aca="1" ref="O341" ca="1">IFERROR(LOOKUP(2, 1/((F$1:F340=F341)*(J$1:J340=J341)*(ROW(F$1:F340)&lt;ROW(F341))), N$1:N340), "")</f>
        <v>48.03921568627451</v>
      </c>
      <c r="P341" s="3">
        <f t="shared" si="29"/>
        <v>0</v>
      </c>
      <c r="Q341" s="3" t="s">
        <v>43</v>
      </c>
      <c r="R341" s="3" t="s">
        <v>40</v>
      </c>
      <c r="S341" s="3" t="str">
        <f t="shared" si="27"/>
        <v>No</v>
      </c>
      <c r="T341" s="3" t="s">
        <v>40</v>
      </c>
      <c r="U341" s="3" t="str">
        <f t="shared" si="28"/>
        <v>Cloudy</v>
      </c>
      <c r="V341" s="3" t="s">
        <v>40</v>
      </c>
      <c r="W341" s="3" cm="1">
        <f t="array" ref="W341">_xlfn.IFS(
OR(F341="Selenium (Hands-on)",F341="Guest Lecture: HR Interview"),6,
OR(F341="Soft Skill",F341="Soft Skill (Examination)",F341="AWS Training",F341="AWS Session"),7,
OR(ISNUMBER(SEARCH("MAD",F341)),ISNUMBER(SEARCH("STQA",F341)),F341="CI/CD Session"),8,
OR(ISNUMBER(SEARCH("Cloud",F341)),F341="Industry Readiness Program",ISNUMBER(SEARCH("Talenlio",F341))),9,
OR(ISNUMBER(SEARCH("Innovation",F341)),F341="Mini Project"),10,
OR(ISNUMBER(SEARCH("Data Science",F341)),ISNUMBER(SEARCH("DS",F341))),11,
ISNUMBER(SEARCH("Generative AI",F341)),12
=_xlfn.IFS(
OR(F341="Selenium (Hands-on)",F341="Guest Lecture: HR Interview"),6,
OR(F341="Soft Skill",F341="Soft Skill (Examination)",F341="AWS Training",F341="AWS Session"),7,
OR(ISNUMBER(SEARCH("MAD",F341)),ISNUMBER(SEARCH("STQA",F341)),F341="CI/CD Session"),8,
OR(ISNUMBER(SEARCH("Cloud",F341)),F341="Industry Readiness Program",ISNUMBER(SEARCH("Talenlio",F341))),9,
OR(ISNUMBER(SEARCH("Innovation",F341)),F341="Mini Project"),10,
OR(ISNUMBER(SEARCH("Data Science",F341)),ISNUMBER(SEARCH("DS",F341))),11,
ISNUMBER(SEARCH("Generative AI",F341)),12
=_xlfn.IFS(
OR(F341="Selenium (Hands-on)",F341="Guest Lecture: HR Interview"),6,
OR(F341="Soft Skill",F341="Soft Skill (Examination)",F341="AWS Training",F341="AWS Session"),7,
OR(ISNUMBER(SEARCH("MAD",F341)),ISNUMBER(SEARCH("STQA",F341)),F341="CI/CD Session"),8,
OR(ISNUMBER(SEARCH("Cloud",F341)),F341="Industry Readiness Program",ISNUMBER(SEARCH("Talenlio",F341))),9,
OR(ISNUMBER(SEARCH("Innovation",F341)),F341="Mini Project"),10,
OR(ISNUMBER(SEARCH("Data Science",F341)),ISNUMBER(SEARCH("DS",F341))),11,
ISNUMBER(SEARCH("Generative AI",F341)),12
=_xlfn.IFS(
OR(F341="Selenium (Hands-on)",F341="Guest Lecture: HR Interview"),6,
OR(F341="Soft Skill",F341="Soft Skill (Examination)",F341="AWS Training",F341="AWS Session"),7,
OR(ISNUMBER(SEARCH("MAD",F341)),ISNUMBER(SEARCH("STQA",F341)),F341="CI/CD Session"),8,
OR(ISNUMBER(SEARCH("Cloud",F341)),F341="Industry Readiness Program",ISNUMBER(SEARCH("Talenlio",F341))),9,
OR(ISNUMBER(SEARCH("Innovation",F341)),F341="Mini Project"),10,
OR(ISNUMBER(SEARCH("Data Science",F341)),ISNUMBER(SEARCH("DS",F341))),11,
ISNUMBER(SEARCH("Generative AI",F341)),12
))))</f>
        <v>8</v>
      </c>
      <c r="X341" s="3">
        <v>2</v>
      </c>
      <c r="Y341" s="3">
        <v>10</v>
      </c>
      <c r="Z341" s="3" t="s">
        <v>35</v>
      </c>
    </row>
    <row r="342" spans="1:26" x14ac:dyDescent="0.3">
      <c r="A342" s="2">
        <v>46197</v>
      </c>
      <c r="B342" s="3" t="s">
        <v>44</v>
      </c>
      <c r="C342" s="3">
        <v>2</v>
      </c>
      <c r="D342" s="4">
        <v>0.38541666666666702</v>
      </c>
      <c r="E342" s="4">
        <v>0.42708333333333298</v>
      </c>
      <c r="F342" s="3" t="s">
        <v>50</v>
      </c>
      <c r="G342" s="3" t="s">
        <v>51</v>
      </c>
      <c r="H342" s="3" t="s">
        <v>29</v>
      </c>
      <c r="I342" s="3" t="s">
        <v>30</v>
      </c>
      <c r="J342" s="3" t="s">
        <v>84</v>
      </c>
      <c r="K342" s="3" t="s">
        <v>52</v>
      </c>
      <c r="L342" s="5">
        <v>102</v>
      </c>
      <c r="M342" s="5">
        <f t="shared" ca="1" si="25"/>
        <v>91</v>
      </c>
      <c r="N342" s="6">
        <f t="shared" ca="1" si="26"/>
        <v>89.215686274509807</v>
      </c>
      <c r="O342" s="3" cm="1">
        <f t="array" aca="1" ref="O342" ca="1">IFERROR(LOOKUP(2, 1/((F$1:F341=F342)*(J$1:J341=J342)*(ROW(F$1:F341)&lt;ROW(F342))), N$1:N341), "")</f>
        <v>85.294117647058826</v>
      </c>
      <c r="P342" s="3">
        <f t="shared" si="29"/>
        <v>0</v>
      </c>
      <c r="Q342" s="3" t="s">
        <v>43</v>
      </c>
      <c r="R342" s="3" t="s">
        <v>40</v>
      </c>
      <c r="S342" s="3" t="str">
        <f t="shared" si="27"/>
        <v>No</v>
      </c>
      <c r="T342" s="3" t="s">
        <v>40</v>
      </c>
      <c r="U342" s="3" t="str">
        <f t="shared" si="28"/>
        <v>Cloudy</v>
      </c>
      <c r="V342" s="3" t="s">
        <v>40</v>
      </c>
      <c r="W342" s="3" cm="1">
        <f t="array" ref="W342">_xlfn.IFS(
OR(F342="Selenium (Hands-on)",F342="Guest Lecture: HR Interview"),6,
OR(F342="Soft Skill",F342="Soft Skill (Examination)",F342="AWS Training",F342="AWS Session"),7,
OR(ISNUMBER(SEARCH("MAD",F342)),ISNUMBER(SEARCH("STQA",F342)),F342="CI/CD Session"),8,
OR(ISNUMBER(SEARCH("Cloud",F342)),F342="Industry Readiness Program",ISNUMBER(SEARCH("Talenlio",F342))),9,
OR(ISNUMBER(SEARCH("Innovation",F342)),F342="Mini Project"),10,
OR(ISNUMBER(SEARCH("Data Science",F342)),ISNUMBER(SEARCH("DS",F342))),11,
ISNUMBER(SEARCH("Generative AI",F342)),12
=_xlfn.IFS(
OR(F342="Selenium (Hands-on)",F342="Guest Lecture: HR Interview"),6,
OR(F342="Soft Skill",F342="Soft Skill (Examination)",F342="AWS Training",F342="AWS Session"),7,
OR(ISNUMBER(SEARCH("MAD",F342)),ISNUMBER(SEARCH("STQA",F342)),F342="CI/CD Session"),8,
OR(ISNUMBER(SEARCH("Cloud",F342)),F342="Industry Readiness Program",ISNUMBER(SEARCH("Talenlio",F342))),9,
OR(ISNUMBER(SEARCH("Innovation",F342)),F342="Mini Project"),10,
OR(ISNUMBER(SEARCH("Data Science",F342)),ISNUMBER(SEARCH("DS",F342))),11,
ISNUMBER(SEARCH("Generative AI",F342)),12
=_xlfn.IFS(
OR(F342="Selenium (Hands-on)",F342="Guest Lecture: HR Interview"),6,
OR(F342="Soft Skill",F342="Soft Skill (Examination)",F342="AWS Training",F342="AWS Session"),7,
OR(ISNUMBER(SEARCH("MAD",F342)),ISNUMBER(SEARCH("STQA",F342)),F342="CI/CD Session"),8,
OR(ISNUMBER(SEARCH("Cloud",F342)),F342="Industry Readiness Program",ISNUMBER(SEARCH("Talenlio",F342))),9,
OR(ISNUMBER(SEARCH("Innovation",F342)),F342="Mini Project"),10,
OR(ISNUMBER(SEARCH("Data Science",F342)),ISNUMBER(SEARCH("DS",F342))),11,
ISNUMBER(SEARCH("Generative AI",F342)),12
=_xlfn.IFS(
OR(F342="Selenium (Hands-on)",F342="Guest Lecture: HR Interview"),6,
OR(F342="Soft Skill",F342="Soft Skill (Examination)",F342="AWS Training",F342="AWS Session"),7,
OR(ISNUMBER(SEARCH("MAD",F342)),ISNUMBER(SEARCH("STQA",F342)),F342="CI/CD Session"),8,
OR(ISNUMBER(SEARCH("Cloud",F342)),F342="Industry Readiness Program",ISNUMBER(SEARCH("Talenlio",F342))),9,
OR(ISNUMBER(SEARCH("Innovation",F342)),F342="Mini Project"),10,
OR(ISNUMBER(SEARCH("Data Science",F342)),ISNUMBER(SEARCH("DS",F342))),11,
ISNUMBER(SEARCH("Generative AI",F342)),12
))))</f>
        <v>8</v>
      </c>
      <c r="X342" s="3">
        <v>2</v>
      </c>
      <c r="Y342" s="3">
        <v>10</v>
      </c>
      <c r="Z342" s="3" t="s">
        <v>35</v>
      </c>
    </row>
    <row r="343" spans="1:26" x14ac:dyDescent="0.3">
      <c r="A343" s="2">
        <v>46197</v>
      </c>
      <c r="B343" s="3" t="s">
        <v>44</v>
      </c>
      <c r="C343" s="3">
        <v>3</v>
      </c>
      <c r="D343" s="4">
        <v>0.42708333333333298</v>
      </c>
      <c r="E343" s="4">
        <v>0.46875</v>
      </c>
      <c r="F343" s="3" t="s">
        <v>62</v>
      </c>
      <c r="G343" s="3" t="s">
        <v>56</v>
      </c>
      <c r="H343" s="3" t="s">
        <v>29</v>
      </c>
      <c r="I343" s="3" t="s">
        <v>30</v>
      </c>
      <c r="J343" s="3" t="s">
        <v>84</v>
      </c>
      <c r="K343" s="3" t="s">
        <v>52</v>
      </c>
      <c r="L343" s="5">
        <v>102</v>
      </c>
      <c r="M343" s="5">
        <f t="shared" ca="1" si="25"/>
        <v>50</v>
      </c>
      <c r="N343" s="6">
        <f t="shared" ca="1" si="26"/>
        <v>49.019607843137251</v>
      </c>
      <c r="O343" s="3">
        <v>45.413158000000003</v>
      </c>
      <c r="P343" s="3">
        <f t="shared" si="29"/>
        <v>0</v>
      </c>
      <c r="Q343" s="3" t="s">
        <v>33</v>
      </c>
      <c r="R343" s="3" t="s">
        <v>40</v>
      </c>
      <c r="S343" s="3" t="str">
        <f t="shared" si="27"/>
        <v>No</v>
      </c>
      <c r="T343" s="3" t="s">
        <v>40</v>
      </c>
      <c r="U343" s="3" t="str">
        <f t="shared" si="28"/>
        <v>Cloudy</v>
      </c>
      <c r="V343" s="3" t="s">
        <v>40</v>
      </c>
      <c r="W343" s="3">
        <v>7</v>
      </c>
      <c r="X343" s="3">
        <v>2</v>
      </c>
      <c r="Y343" s="3">
        <v>10</v>
      </c>
      <c r="Z343" s="3" t="s">
        <v>35</v>
      </c>
    </row>
    <row r="344" spans="1:26" x14ac:dyDescent="0.3">
      <c r="A344" s="2">
        <v>46197</v>
      </c>
      <c r="B344" s="3" t="s">
        <v>44</v>
      </c>
      <c r="C344" s="3">
        <v>4</v>
      </c>
      <c r="D344" s="4">
        <v>0.46875</v>
      </c>
      <c r="E344" s="4">
        <v>0.51041666666666696</v>
      </c>
      <c r="F344" s="3" t="s">
        <v>57</v>
      </c>
      <c r="G344" s="3" t="s">
        <v>58</v>
      </c>
      <c r="H344" s="3" t="s">
        <v>29</v>
      </c>
      <c r="I344" s="3" t="s">
        <v>30</v>
      </c>
      <c r="J344" s="3" t="s">
        <v>84</v>
      </c>
      <c r="K344" s="3" t="s">
        <v>52</v>
      </c>
      <c r="L344" s="5">
        <v>102</v>
      </c>
      <c r="M344" s="5">
        <f t="shared" ca="1" si="25"/>
        <v>61</v>
      </c>
      <c r="N344" s="6">
        <f t="shared" ca="1" si="26"/>
        <v>59.803921568627452</v>
      </c>
      <c r="O344" s="3" cm="1">
        <f t="array" aca="1" ref="O344" ca="1">IFERROR(LOOKUP(2, 1/((F$1:F343=F344)*(J$1:J343=J344)*(ROW(F$1:F343)&lt;ROW(F344))), N$1:N343), "")</f>
        <v>75.490196078431367</v>
      </c>
      <c r="P344" s="3">
        <f t="shared" si="29"/>
        <v>0</v>
      </c>
      <c r="Q344" s="3" t="s">
        <v>33</v>
      </c>
      <c r="R344" s="3" t="s">
        <v>40</v>
      </c>
      <c r="S344" s="3" t="str">
        <f t="shared" si="27"/>
        <v>No</v>
      </c>
      <c r="T344" s="3" t="s">
        <v>40</v>
      </c>
      <c r="U344" s="3" t="str">
        <f t="shared" si="28"/>
        <v>Cloudy</v>
      </c>
      <c r="V344" s="3" t="s">
        <v>40</v>
      </c>
      <c r="W344" s="3" cm="1">
        <f t="array" ref="W344">_xlfn.IFS(
OR(F344="Selenium (Hands-on)",F344="Guest Lecture: HR Interview"),6,
OR(F344="Soft Skill",F344="Soft Skill (Examination)",F344="AWS Training",F344="AWS Session"),7,
OR(ISNUMBER(SEARCH("MAD",F344)),ISNUMBER(SEARCH("STQA",F344)),F344="CI/CD Session"),8,
OR(ISNUMBER(SEARCH("Cloud",F344)),F344="Industry Readiness Program",ISNUMBER(SEARCH("Talenlio",F344))),9,
OR(ISNUMBER(SEARCH("Innovation",F344)),F344="Mini Project"),10,
OR(ISNUMBER(SEARCH("Data Science",F344)),ISNUMBER(SEARCH("DS",F344))),11,
ISNUMBER(SEARCH("Generative AI",F344)),12
=_xlfn.IFS(
OR(F344="Selenium (Hands-on)",F344="Guest Lecture: HR Interview"),6,
OR(F344="Soft Skill",F344="Soft Skill (Examination)",F344="AWS Training",F344="AWS Session"),7,
OR(ISNUMBER(SEARCH("MAD",F344)),ISNUMBER(SEARCH("STQA",F344)),F344="CI/CD Session"),8,
OR(ISNUMBER(SEARCH("Cloud",F344)),F344="Industry Readiness Program",ISNUMBER(SEARCH("Talenlio",F344))),9,
OR(ISNUMBER(SEARCH("Innovation",F344)),F344="Mini Project"),10,
OR(ISNUMBER(SEARCH("Data Science",F344)),ISNUMBER(SEARCH("DS",F344))),11,
ISNUMBER(SEARCH("Generative AI",F344)),12
=_xlfn.IFS(
OR(F344="Selenium (Hands-on)",F344="Guest Lecture: HR Interview"),6,
OR(F344="Soft Skill",F344="Soft Skill (Examination)",F344="AWS Training",F344="AWS Session"),7,
OR(ISNUMBER(SEARCH("MAD",F344)),ISNUMBER(SEARCH("STQA",F344)),F344="CI/CD Session"),8,
OR(ISNUMBER(SEARCH("Cloud",F344)),F344="Industry Readiness Program",ISNUMBER(SEARCH("Talenlio",F344))),9,
OR(ISNUMBER(SEARCH("Innovation",F344)),F344="Mini Project"),10,
OR(ISNUMBER(SEARCH("Data Science",F344)),ISNUMBER(SEARCH("DS",F344))),11,
ISNUMBER(SEARCH("Generative AI",F344)),12
=_xlfn.IFS(
OR(F344="Selenium (Hands-on)",F344="Guest Lecture: HR Interview"),6,
OR(F344="Soft Skill",F344="Soft Skill (Examination)",F344="AWS Training",F344="AWS Session"),7,
OR(ISNUMBER(SEARCH("MAD",F344)),ISNUMBER(SEARCH("STQA",F344)),F344="CI/CD Session"),8,
OR(ISNUMBER(SEARCH("Cloud",F344)),F344="Industry Readiness Program",ISNUMBER(SEARCH("Talenlio",F344))),9,
OR(ISNUMBER(SEARCH("Innovation",F344)),F344="Mini Project"),10,
OR(ISNUMBER(SEARCH("Data Science",F344)),ISNUMBER(SEARCH("DS",F344))),11,
ISNUMBER(SEARCH("Generative AI",F344)),12
))))</f>
        <v>9</v>
      </c>
      <c r="X344" s="3">
        <v>2</v>
      </c>
      <c r="Y344" s="3">
        <v>10</v>
      </c>
      <c r="Z344" s="3" t="s">
        <v>35</v>
      </c>
    </row>
    <row r="345" spans="1:26" x14ac:dyDescent="0.3">
      <c r="A345" s="2">
        <v>46197</v>
      </c>
      <c r="B345" s="3" t="s">
        <v>44</v>
      </c>
      <c r="C345" s="3">
        <v>5</v>
      </c>
      <c r="D345" s="4">
        <v>0.5625</v>
      </c>
      <c r="E345" s="4">
        <v>0.60416666666666696</v>
      </c>
      <c r="F345" s="3" t="s">
        <v>53</v>
      </c>
      <c r="G345" s="3" t="s">
        <v>54</v>
      </c>
      <c r="H345" s="3" t="s">
        <v>29</v>
      </c>
      <c r="I345" s="3" t="s">
        <v>30</v>
      </c>
      <c r="J345" s="3" t="s">
        <v>84</v>
      </c>
      <c r="K345" s="3" t="s">
        <v>52</v>
      </c>
      <c r="L345" s="5">
        <v>102</v>
      </c>
      <c r="M345" s="5">
        <f t="shared" ca="1" si="25"/>
        <v>79</v>
      </c>
      <c r="N345" s="6">
        <f t="shared" ca="1" si="26"/>
        <v>77.450980392156865</v>
      </c>
      <c r="O345" s="3" cm="1">
        <f t="array" aca="1" ref="O345" ca="1">IFERROR(LOOKUP(2, 1/((F$1:F344=F345)*(J$1:J344=J345)*(ROW(F$1:F344)&lt;ROW(F345))), N$1:N344), "")</f>
        <v>61.764705882352942</v>
      </c>
      <c r="P345" s="3">
        <f t="shared" si="29"/>
        <v>1.25</v>
      </c>
      <c r="Q345" s="3" t="s">
        <v>33</v>
      </c>
      <c r="R345" s="3" t="s">
        <v>40</v>
      </c>
      <c r="S345" s="3" t="str">
        <f t="shared" si="27"/>
        <v>No</v>
      </c>
      <c r="T345" s="3" t="s">
        <v>40</v>
      </c>
      <c r="U345" s="3" t="str">
        <f t="shared" si="28"/>
        <v>Cloudy</v>
      </c>
      <c r="V345" s="3" t="s">
        <v>40</v>
      </c>
      <c r="W345" s="3" cm="1">
        <f t="array" ref="W345">_xlfn.IFS(
OR(F345="Selenium (Hands-on)",F345="Guest Lecture: HR Interview"),6,
OR(F345="Soft Skill",F345="Soft Skill (Examination)",F345="AWS Training",F345="AWS Session"),7,
OR(ISNUMBER(SEARCH("MAD",F345)),ISNUMBER(SEARCH("STQA",F345)),F345="CI/CD Session"),8,
OR(ISNUMBER(SEARCH("Cloud",F345)),F345="Industry Readiness Program",ISNUMBER(SEARCH("Talenlio",F345))),9,
OR(ISNUMBER(SEARCH("Innovation",F345)),F345="Mini Project"),10,
OR(ISNUMBER(SEARCH("Data Science",F345)),ISNUMBER(SEARCH("DS",F345))),11,
ISNUMBER(SEARCH("Generative AI",F345)),12
=_xlfn.IFS(
OR(F345="Selenium (Hands-on)",F345="Guest Lecture: HR Interview"),6,
OR(F345="Soft Skill",F345="Soft Skill (Examination)",F345="AWS Training",F345="AWS Session"),7,
OR(ISNUMBER(SEARCH("MAD",F345)),ISNUMBER(SEARCH("STQA",F345)),F345="CI/CD Session"),8,
OR(ISNUMBER(SEARCH("Cloud",F345)),F345="Industry Readiness Program",ISNUMBER(SEARCH("Talenlio",F345))),9,
OR(ISNUMBER(SEARCH("Innovation",F345)),F345="Mini Project"),10,
OR(ISNUMBER(SEARCH("Data Science",F345)),ISNUMBER(SEARCH("DS",F345))),11,
ISNUMBER(SEARCH("Generative AI",F345)),12
=_xlfn.IFS(
OR(F345="Selenium (Hands-on)",F345="Guest Lecture: HR Interview"),6,
OR(F345="Soft Skill",F345="Soft Skill (Examination)",F345="AWS Training",F345="AWS Session"),7,
OR(ISNUMBER(SEARCH("MAD",F345)),ISNUMBER(SEARCH("STQA",F345)),F345="CI/CD Session"),8,
OR(ISNUMBER(SEARCH("Cloud",F345)),F345="Industry Readiness Program",ISNUMBER(SEARCH("Talenlio",F345))),9,
OR(ISNUMBER(SEARCH("Innovation",F345)),F345="Mini Project"),10,
OR(ISNUMBER(SEARCH("Data Science",F345)),ISNUMBER(SEARCH("DS",F345))),11,
ISNUMBER(SEARCH("Generative AI",F345)),12
=_xlfn.IFS(
OR(F345="Selenium (Hands-on)",F345="Guest Lecture: HR Interview"),6,
OR(F345="Soft Skill",F345="Soft Skill (Examination)",F345="AWS Training",F345="AWS Session"),7,
OR(ISNUMBER(SEARCH("MAD",F345)),ISNUMBER(SEARCH("STQA",F345)),F345="CI/CD Session"),8,
OR(ISNUMBER(SEARCH("Cloud",F345)),F345="Industry Readiness Program",ISNUMBER(SEARCH("Talenlio",F345))),9,
OR(ISNUMBER(SEARCH("Innovation",F345)),F345="Mini Project"),10,
OR(ISNUMBER(SEARCH("Data Science",F345)),ISNUMBER(SEARCH("DS",F345))),11,
ISNUMBER(SEARCH("Generative AI",F345)),12
))))</f>
        <v>10</v>
      </c>
      <c r="X345" s="3">
        <v>2</v>
      </c>
      <c r="Y345" s="3">
        <v>10</v>
      </c>
      <c r="Z345" s="3" t="s">
        <v>38</v>
      </c>
    </row>
    <row r="346" spans="1:26" x14ac:dyDescent="0.3">
      <c r="A346" s="2">
        <v>46197</v>
      </c>
      <c r="B346" s="3" t="s">
        <v>44</v>
      </c>
      <c r="C346" s="3">
        <v>6</v>
      </c>
      <c r="D346" s="4">
        <v>0.60416666666666696</v>
      </c>
      <c r="E346" s="4">
        <v>0.64583333333333304</v>
      </c>
      <c r="F346" s="3" t="s">
        <v>53</v>
      </c>
      <c r="G346" s="3" t="s">
        <v>54</v>
      </c>
      <c r="H346" s="3" t="s">
        <v>29</v>
      </c>
      <c r="I346" s="3" t="s">
        <v>30</v>
      </c>
      <c r="J346" s="3" t="s">
        <v>84</v>
      </c>
      <c r="K346" s="3" t="s">
        <v>52</v>
      </c>
      <c r="L346" s="5">
        <v>102</v>
      </c>
      <c r="M346" s="5">
        <f t="shared" ca="1" si="25"/>
        <v>68</v>
      </c>
      <c r="N346" s="6">
        <f t="shared" ca="1" si="26"/>
        <v>66.666666666666657</v>
      </c>
      <c r="O346" s="3" cm="1">
        <f t="array" aca="1" ref="O346" ca="1">IFERROR(LOOKUP(2, 1/((F$1:F345=F346)*(J$1:J345=J346)*(ROW(F$1:F345)&lt;ROW(F346))), N$1:N345), "")</f>
        <v>77.450980392156865</v>
      </c>
      <c r="P346" s="3">
        <f t="shared" si="29"/>
        <v>0</v>
      </c>
      <c r="Q346" s="3" t="s">
        <v>33</v>
      </c>
      <c r="R346" s="3" t="s">
        <v>40</v>
      </c>
      <c r="S346" s="3" t="str">
        <f t="shared" si="27"/>
        <v>No</v>
      </c>
      <c r="T346" s="3" t="s">
        <v>40</v>
      </c>
      <c r="U346" s="3" t="str">
        <f t="shared" si="28"/>
        <v>Cloudy</v>
      </c>
      <c r="V346" s="3" t="s">
        <v>40</v>
      </c>
      <c r="W346" s="3" cm="1">
        <f t="array" ref="W346">_xlfn.IFS(
OR(F346="Selenium (Hands-on)",F346="Guest Lecture: HR Interview"),6,
OR(F346="Soft Skill",F346="Soft Skill (Examination)",F346="AWS Training",F346="AWS Session"),7,
OR(ISNUMBER(SEARCH("MAD",F346)),ISNUMBER(SEARCH("STQA",F346)),F346="CI/CD Session"),8,
OR(ISNUMBER(SEARCH("Cloud",F346)),F346="Industry Readiness Program",ISNUMBER(SEARCH("Talenlio",F346))),9,
OR(ISNUMBER(SEARCH("Innovation",F346)),F346="Mini Project"),10,
OR(ISNUMBER(SEARCH("Data Science",F346)),ISNUMBER(SEARCH("DS",F346))),11,
ISNUMBER(SEARCH("Generative AI",F346)),12
=_xlfn.IFS(
OR(F346="Selenium (Hands-on)",F346="Guest Lecture: HR Interview"),6,
OR(F346="Soft Skill",F346="Soft Skill (Examination)",F346="AWS Training",F346="AWS Session"),7,
OR(ISNUMBER(SEARCH("MAD",F346)),ISNUMBER(SEARCH("STQA",F346)),F346="CI/CD Session"),8,
OR(ISNUMBER(SEARCH("Cloud",F346)),F346="Industry Readiness Program",ISNUMBER(SEARCH("Talenlio",F346))),9,
OR(ISNUMBER(SEARCH("Innovation",F346)),F346="Mini Project"),10,
OR(ISNUMBER(SEARCH("Data Science",F346)),ISNUMBER(SEARCH("DS",F346))),11,
ISNUMBER(SEARCH("Generative AI",F346)),12
=_xlfn.IFS(
OR(F346="Selenium (Hands-on)",F346="Guest Lecture: HR Interview"),6,
OR(F346="Soft Skill",F346="Soft Skill (Examination)",F346="AWS Training",F346="AWS Session"),7,
OR(ISNUMBER(SEARCH("MAD",F346)),ISNUMBER(SEARCH("STQA",F346)),F346="CI/CD Session"),8,
OR(ISNUMBER(SEARCH("Cloud",F346)),F346="Industry Readiness Program",ISNUMBER(SEARCH("Talenlio",F346))),9,
OR(ISNUMBER(SEARCH("Innovation",F346)),F346="Mini Project"),10,
OR(ISNUMBER(SEARCH("Data Science",F346)),ISNUMBER(SEARCH("DS",F346))),11,
ISNUMBER(SEARCH("Generative AI",F346)),12
=_xlfn.IFS(
OR(F346="Selenium (Hands-on)",F346="Guest Lecture: HR Interview"),6,
OR(F346="Soft Skill",F346="Soft Skill (Examination)",F346="AWS Training",F346="AWS Session"),7,
OR(ISNUMBER(SEARCH("MAD",F346)),ISNUMBER(SEARCH("STQA",F346)),F346="CI/CD Session"),8,
OR(ISNUMBER(SEARCH("Cloud",F346)),F346="Industry Readiness Program",ISNUMBER(SEARCH("Talenlio",F346))),9,
OR(ISNUMBER(SEARCH("Innovation",F346)),F346="Mini Project"),10,
OR(ISNUMBER(SEARCH("Data Science",F346)),ISNUMBER(SEARCH("DS",F346))),11,
ISNUMBER(SEARCH("Generative AI",F346)),12
))))</f>
        <v>10</v>
      </c>
      <c r="X346" s="3">
        <v>2</v>
      </c>
      <c r="Y346" s="3">
        <v>10</v>
      </c>
      <c r="Z346" s="3" t="s">
        <v>38</v>
      </c>
    </row>
    <row r="347" spans="1:26" x14ac:dyDescent="0.3">
      <c r="A347" s="2">
        <v>46198</v>
      </c>
      <c r="B347" s="3" t="s">
        <v>45</v>
      </c>
      <c r="C347" s="3">
        <v>1</v>
      </c>
      <c r="D347" s="4">
        <v>0.35416666666666702</v>
      </c>
      <c r="E347" s="4">
        <v>0.38541666666666702</v>
      </c>
      <c r="F347" s="3" t="s">
        <v>50</v>
      </c>
      <c r="G347" s="3" t="s">
        <v>51</v>
      </c>
      <c r="H347" s="3" t="s">
        <v>29</v>
      </c>
      <c r="I347" s="3" t="s">
        <v>30</v>
      </c>
      <c r="J347" s="3" t="s">
        <v>84</v>
      </c>
      <c r="K347" s="3" t="s">
        <v>52</v>
      </c>
      <c r="L347" s="5">
        <v>102</v>
      </c>
      <c r="M347" s="5">
        <f t="shared" ca="1" si="25"/>
        <v>92</v>
      </c>
      <c r="N347" s="6">
        <f t="shared" ca="1" si="26"/>
        <v>90.196078431372555</v>
      </c>
      <c r="O347" s="3" cm="1">
        <f t="array" aca="1" ref="O347" ca="1">IFERROR(LOOKUP(2, 1/((F$1:F346=F347)*(J$1:J346=J347)*(ROW(F$1:F346)&lt;ROW(F347))), N$1:N346), "")</f>
        <v>89.215686274509807</v>
      </c>
      <c r="P347" s="3">
        <f t="shared" si="29"/>
        <v>0</v>
      </c>
      <c r="Q347" s="3" t="s">
        <v>43</v>
      </c>
      <c r="R347" s="3" t="s">
        <v>40</v>
      </c>
      <c r="S347" s="3" t="str">
        <f t="shared" si="27"/>
        <v>No</v>
      </c>
      <c r="T347" s="3" t="s">
        <v>34</v>
      </c>
      <c r="U347" s="3" t="str">
        <f t="shared" si="28"/>
        <v>Cloudy</v>
      </c>
      <c r="V347" s="3" t="s">
        <v>40</v>
      </c>
      <c r="W347" s="3" cm="1">
        <f t="array" ref="W347">_xlfn.IFS(
OR(F347="Selenium (Hands-on)",F347="Guest Lecture: HR Interview"),6,
OR(F347="Soft Skill",F347="Soft Skill (Examination)",F347="AWS Training",F347="AWS Session"),7,
OR(ISNUMBER(SEARCH("MAD",F347)),ISNUMBER(SEARCH("STQA",F347)),F347="CI/CD Session"),8,
OR(ISNUMBER(SEARCH("Cloud",F347)),F347="Industry Readiness Program",ISNUMBER(SEARCH("Talenlio",F347))),9,
OR(ISNUMBER(SEARCH("Innovation",F347)),F347="Mini Project"),10,
OR(ISNUMBER(SEARCH("Data Science",F347)),ISNUMBER(SEARCH("DS",F347))),11,
ISNUMBER(SEARCH("Generative AI",F347)),12
=_xlfn.IFS(
OR(F347="Selenium (Hands-on)",F347="Guest Lecture: HR Interview"),6,
OR(F347="Soft Skill",F347="Soft Skill (Examination)",F347="AWS Training",F347="AWS Session"),7,
OR(ISNUMBER(SEARCH("MAD",F347)),ISNUMBER(SEARCH("STQA",F347)),F347="CI/CD Session"),8,
OR(ISNUMBER(SEARCH("Cloud",F347)),F347="Industry Readiness Program",ISNUMBER(SEARCH("Talenlio",F347))),9,
OR(ISNUMBER(SEARCH("Innovation",F347)),F347="Mini Project"),10,
OR(ISNUMBER(SEARCH("Data Science",F347)),ISNUMBER(SEARCH("DS",F347))),11,
ISNUMBER(SEARCH("Generative AI",F347)),12
=_xlfn.IFS(
OR(F347="Selenium (Hands-on)",F347="Guest Lecture: HR Interview"),6,
OR(F347="Soft Skill",F347="Soft Skill (Examination)",F347="AWS Training",F347="AWS Session"),7,
OR(ISNUMBER(SEARCH("MAD",F347)),ISNUMBER(SEARCH("STQA",F347)),F347="CI/CD Session"),8,
OR(ISNUMBER(SEARCH("Cloud",F347)),F347="Industry Readiness Program",ISNUMBER(SEARCH("Talenlio",F347))),9,
OR(ISNUMBER(SEARCH("Innovation",F347)),F347="Mini Project"),10,
OR(ISNUMBER(SEARCH("Data Science",F347)),ISNUMBER(SEARCH("DS",F347))),11,
ISNUMBER(SEARCH("Generative AI",F347)),12
=_xlfn.IFS(
OR(F347="Selenium (Hands-on)",F347="Guest Lecture: HR Interview"),6,
OR(F347="Soft Skill",F347="Soft Skill (Examination)",F347="AWS Training",F347="AWS Session"),7,
OR(ISNUMBER(SEARCH("MAD",F347)),ISNUMBER(SEARCH("STQA",F347)),F347="CI/CD Session"),8,
OR(ISNUMBER(SEARCH("Cloud",F347)),F347="Industry Readiness Program",ISNUMBER(SEARCH("Talenlio",F347))),9,
OR(ISNUMBER(SEARCH("Innovation",F347)),F347="Mini Project"),10,
OR(ISNUMBER(SEARCH("Data Science",F347)),ISNUMBER(SEARCH("DS",F347))),11,
ISNUMBER(SEARCH("Generative AI",F347)),12
))))</f>
        <v>8</v>
      </c>
      <c r="X347" s="3">
        <v>2</v>
      </c>
      <c r="Y347" s="3">
        <v>11</v>
      </c>
      <c r="Z347" s="3" t="s">
        <v>35</v>
      </c>
    </row>
    <row r="348" spans="1:26" x14ac:dyDescent="0.3">
      <c r="A348" s="2">
        <v>46198</v>
      </c>
      <c r="B348" s="3" t="s">
        <v>45</v>
      </c>
      <c r="C348" s="3">
        <v>2</v>
      </c>
      <c r="D348" s="4">
        <v>0.38541666666666702</v>
      </c>
      <c r="E348" s="4">
        <v>0.42708333333333298</v>
      </c>
      <c r="F348" s="3" t="s">
        <v>50</v>
      </c>
      <c r="G348" s="3" t="s">
        <v>51</v>
      </c>
      <c r="H348" s="3" t="s">
        <v>29</v>
      </c>
      <c r="I348" s="3" t="s">
        <v>30</v>
      </c>
      <c r="J348" s="3" t="s">
        <v>84</v>
      </c>
      <c r="K348" s="3" t="s">
        <v>52</v>
      </c>
      <c r="L348" s="5">
        <v>102</v>
      </c>
      <c r="M348" s="5">
        <f t="shared" ca="1" si="25"/>
        <v>83</v>
      </c>
      <c r="N348" s="6">
        <f t="shared" ca="1" si="26"/>
        <v>81.372549019607845</v>
      </c>
      <c r="O348" s="3" cm="1">
        <f t="array" aca="1" ref="O348" ca="1">IFERROR(LOOKUP(2, 1/((F$1:F347=F348)*(J$1:J347=J348)*(ROW(F$1:F347)&lt;ROW(F348))), N$1:N347), "")</f>
        <v>90.196078431372555</v>
      </c>
      <c r="P348" s="3">
        <f t="shared" si="29"/>
        <v>0</v>
      </c>
      <c r="Q348" s="3" t="s">
        <v>43</v>
      </c>
      <c r="R348" s="3" t="s">
        <v>40</v>
      </c>
      <c r="S348" s="3" t="str">
        <f t="shared" si="27"/>
        <v>No</v>
      </c>
      <c r="T348" s="3" t="s">
        <v>34</v>
      </c>
      <c r="U348" s="3" t="str">
        <f t="shared" si="28"/>
        <v>Cloudy</v>
      </c>
      <c r="V348" s="3" t="s">
        <v>40</v>
      </c>
      <c r="W348" s="3" cm="1">
        <f t="array" ref="W348">_xlfn.IFS(
OR(F348="Selenium (Hands-on)",F348="Guest Lecture: HR Interview"),6,
OR(F348="Soft Skill",F348="Soft Skill (Examination)",F348="AWS Training",F348="AWS Session"),7,
OR(ISNUMBER(SEARCH("MAD",F348)),ISNUMBER(SEARCH("STQA",F348)),F348="CI/CD Session"),8,
OR(ISNUMBER(SEARCH("Cloud",F348)),F348="Industry Readiness Program",ISNUMBER(SEARCH("Talenlio",F348))),9,
OR(ISNUMBER(SEARCH("Innovation",F348)),F348="Mini Project"),10,
OR(ISNUMBER(SEARCH("Data Science",F348)),ISNUMBER(SEARCH("DS",F348))),11,
ISNUMBER(SEARCH("Generative AI",F348)),12
=_xlfn.IFS(
OR(F348="Selenium (Hands-on)",F348="Guest Lecture: HR Interview"),6,
OR(F348="Soft Skill",F348="Soft Skill (Examination)",F348="AWS Training",F348="AWS Session"),7,
OR(ISNUMBER(SEARCH("MAD",F348)),ISNUMBER(SEARCH("STQA",F348)),F348="CI/CD Session"),8,
OR(ISNUMBER(SEARCH("Cloud",F348)),F348="Industry Readiness Program",ISNUMBER(SEARCH("Talenlio",F348))),9,
OR(ISNUMBER(SEARCH("Innovation",F348)),F348="Mini Project"),10,
OR(ISNUMBER(SEARCH("Data Science",F348)),ISNUMBER(SEARCH("DS",F348))),11,
ISNUMBER(SEARCH("Generative AI",F348)),12
=_xlfn.IFS(
OR(F348="Selenium (Hands-on)",F348="Guest Lecture: HR Interview"),6,
OR(F348="Soft Skill",F348="Soft Skill (Examination)",F348="AWS Training",F348="AWS Session"),7,
OR(ISNUMBER(SEARCH("MAD",F348)),ISNUMBER(SEARCH("STQA",F348)),F348="CI/CD Session"),8,
OR(ISNUMBER(SEARCH("Cloud",F348)),F348="Industry Readiness Program",ISNUMBER(SEARCH("Talenlio",F348))),9,
OR(ISNUMBER(SEARCH("Innovation",F348)),F348="Mini Project"),10,
OR(ISNUMBER(SEARCH("Data Science",F348)),ISNUMBER(SEARCH("DS",F348))),11,
ISNUMBER(SEARCH("Generative AI",F348)),12
=_xlfn.IFS(
OR(F348="Selenium (Hands-on)",F348="Guest Lecture: HR Interview"),6,
OR(F348="Soft Skill",F348="Soft Skill (Examination)",F348="AWS Training",F348="AWS Session"),7,
OR(ISNUMBER(SEARCH("MAD",F348)),ISNUMBER(SEARCH("STQA",F348)),F348="CI/CD Session"),8,
OR(ISNUMBER(SEARCH("Cloud",F348)),F348="Industry Readiness Program",ISNUMBER(SEARCH("Talenlio",F348))),9,
OR(ISNUMBER(SEARCH("Innovation",F348)),F348="Mini Project"),10,
OR(ISNUMBER(SEARCH("Data Science",F348)),ISNUMBER(SEARCH("DS",F348))),11,
ISNUMBER(SEARCH("Generative AI",F348)),12
))))</f>
        <v>8</v>
      </c>
      <c r="X348" s="3">
        <v>2</v>
      </c>
      <c r="Y348" s="3">
        <v>11</v>
      </c>
      <c r="Z348" s="3" t="s">
        <v>35</v>
      </c>
    </row>
    <row r="349" spans="1:26" x14ac:dyDescent="0.3">
      <c r="A349" s="2">
        <v>46198</v>
      </c>
      <c r="B349" s="3" t="s">
        <v>45</v>
      </c>
      <c r="C349" s="3">
        <v>3</v>
      </c>
      <c r="D349" s="4">
        <v>0.42708333333333298</v>
      </c>
      <c r="E349" s="4">
        <v>0.46875</v>
      </c>
      <c r="F349" s="3" t="s">
        <v>59</v>
      </c>
      <c r="G349" s="3" t="s">
        <v>60</v>
      </c>
      <c r="H349" s="3" t="s">
        <v>29</v>
      </c>
      <c r="I349" s="3" t="s">
        <v>30</v>
      </c>
      <c r="J349" s="3" t="s">
        <v>84</v>
      </c>
      <c r="K349" s="3" t="s">
        <v>52</v>
      </c>
      <c r="L349" s="5">
        <v>102</v>
      </c>
      <c r="M349" s="5">
        <f t="shared" ca="1" si="25"/>
        <v>56</v>
      </c>
      <c r="N349" s="6">
        <f t="shared" ca="1" si="26"/>
        <v>54.901960784313729</v>
      </c>
      <c r="O349" s="3" cm="1">
        <f t="array" aca="1" ref="O349" ca="1">IFERROR(LOOKUP(2, 1/((F$1:F348=F349)*(J$1:J348=J349)*(ROW(F$1:F348)&lt;ROW(F349))), N$1:N348), "")</f>
        <v>93.137254901960787</v>
      </c>
      <c r="P349" s="3">
        <f t="shared" si="29"/>
        <v>0</v>
      </c>
      <c r="Q349" s="3" t="s">
        <v>33</v>
      </c>
      <c r="R349" s="3" t="s">
        <v>40</v>
      </c>
      <c r="S349" s="3" t="str">
        <f t="shared" si="27"/>
        <v>No</v>
      </c>
      <c r="T349" s="3" t="s">
        <v>34</v>
      </c>
      <c r="U349" s="3" t="str">
        <f t="shared" si="28"/>
        <v>Cloudy</v>
      </c>
      <c r="V349" s="3" t="s">
        <v>40</v>
      </c>
      <c r="W349" s="3" cm="1">
        <f t="array" ref="W349">_xlfn.IFS(
OR(F349="Selenium (Hands-on)",F349="Guest Lecture: HR Interview"),6,
OR(F349="Soft Skill",F349="Soft Skill (Examination)",F349="AWS Training",F349="AWS Session"),7,
OR(ISNUMBER(SEARCH("MAD",F349)),ISNUMBER(SEARCH("STQA",F349)),F349="CI/CD Session"),8,
OR(ISNUMBER(SEARCH("Cloud",F349)),F349="Industry Readiness Program",ISNUMBER(SEARCH("Talenlio",F349))),9,
OR(ISNUMBER(SEARCH("Innovation",F349)),F349="Mini Project"),10,
OR(ISNUMBER(SEARCH("Data Science",F349)),ISNUMBER(SEARCH("DS",F349))),11,
ISNUMBER(SEARCH("Generative AI",F349)),12
=_xlfn.IFS(
OR(F349="Selenium (Hands-on)",F349="Guest Lecture: HR Interview"),6,
OR(F349="Soft Skill",F349="Soft Skill (Examination)",F349="AWS Training",F349="AWS Session"),7,
OR(ISNUMBER(SEARCH("MAD",F349)),ISNUMBER(SEARCH("STQA",F349)),F349="CI/CD Session"),8,
OR(ISNUMBER(SEARCH("Cloud",F349)),F349="Industry Readiness Program",ISNUMBER(SEARCH("Talenlio",F349))),9,
OR(ISNUMBER(SEARCH("Innovation",F349)),F349="Mini Project"),10,
OR(ISNUMBER(SEARCH("Data Science",F349)),ISNUMBER(SEARCH("DS",F349))),11,
ISNUMBER(SEARCH("Generative AI",F349)),12
=_xlfn.IFS(
OR(F349="Selenium (Hands-on)",F349="Guest Lecture: HR Interview"),6,
OR(F349="Soft Skill",F349="Soft Skill (Examination)",F349="AWS Training",F349="AWS Session"),7,
OR(ISNUMBER(SEARCH("MAD",F349)),ISNUMBER(SEARCH("STQA",F349)),F349="CI/CD Session"),8,
OR(ISNUMBER(SEARCH("Cloud",F349)),F349="Industry Readiness Program",ISNUMBER(SEARCH("Talenlio",F349))),9,
OR(ISNUMBER(SEARCH("Innovation",F349)),F349="Mini Project"),10,
OR(ISNUMBER(SEARCH("Data Science",F349)),ISNUMBER(SEARCH("DS",F349))),11,
ISNUMBER(SEARCH("Generative AI",F349)),12
=_xlfn.IFS(
OR(F349="Selenium (Hands-on)",F349="Guest Lecture: HR Interview"),6,
OR(F349="Soft Skill",F349="Soft Skill (Examination)",F349="AWS Training",F349="AWS Session"),7,
OR(ISNUMBER(SEARCH("MAD",F349)),ISNUMBER(SEARCH("STQA",F349)),F349="CI/CD Session"),8,
OR(ISNUMBER(SEARCH("Cloud",F349)),F349="Industry Readiness Program",ISNUMBER(SEARCH("Talenlio",F349))),9,
OR(ISNUMBER(SEARCH("Innovation",F349)),F349="Mini Project"),10,
OR(ISNUMBER(SEARCH("Data Science",F349)),ISNUMBER(SEARCH("DS",F349))),11,
ISNUMBER(SEARCH("Generative AI",F349)),12
))))</f>
        <v>11</v>
      </c>
      <c r="X349" s="3">
        <v>2</v>
      </c>
      <c r="Y349" s="3">
        <v>11</v>
      </c>
      <c r="Z349" s="3" t="s">
        <v>35</v>
      </c>
    </row>
    <row r="350" spans="1:26" x14ac:dyDescent="0.3">
      <c r="A350" s="2">
        <v>46198</v>
      </c>
      <c r="B350" s="3" t="s">
        <v>45</v>
      </c>
      <c r="C350" s="3">
        <v>4</v>
      </c>
      <c r="D350" s="4">
        <v>0.46875</v>
      </c>
      <c r="E350" s="4">
        <v>0.51041666666666696</v>
      </c>
      <c r="F350" s="3" t="s">
        <v>62</v>
      </c>
      <c r="G350" s="3" t="s">
        <v>56</v>
      </c>
      <c r="H350" s="3" t="s">
        <v>29</v>
      </c>
      <c r="I350" s="3" t="s">
        <v>30</v>
      </c>
      <c r="J350" s="3" t="s">
        <v>84</v>
      </c>
      <c r="K350" s="3" t="s">
        <v>52</v>
      </c>
      <c r="L350" s="5">
        <v>102</v>
      </c>
      <c r="M350" s="5">
        <f t="shared" ca="1" si="25"/>
        <v>96</v>
      </c>
      <c r="N350" s="6">
        <f t="shared" ca="1" si="26"/>
        <v>94.117647058823522</v>
      </c>
      <c r="O350" s="3" cm="1">
        <f t="array" aca="1" ref="O350" ca="1">IFERROR(LOOKUP(2, 1/((F$1:F349=F350)*(J$1:J349=J350)*(ROW(F$1:F349)&lt;ROW(F350))), N$1:N349), "")</f>
        <v>49.019607843137251</v>
      </c>
      <c r="P350" s="3">
        <f t="shared" si="29"/>
        <v>0</v>
      </c>
      <c r="Q350" s="3" t="s">
        <v>33</v>
      </c>
      <c r="R350" s="3" t="s">
        <v>40</v>
      </c>
      <c r="S350" s="3" t="str">
        <f t="shared" si="27"/>
        <v>No</v>
      </c>
      <c r="T350" s="3" t="s">
        <v>34</v>
      </c>
      <c r="U350" s="3" t="str">
        <f t="shared" si="28"/>
        <v>Cloudy</v>
      </c>
      <c r="V350" s="3" t="s">
        <v>40</v>
      </c>
      <c r="W350" s="3">
        <v>7</v>
      </c>
      <c r="X350" s="3">
        <v>2</v>
      </c>
      <c r="Y350" s="3">
        <v>11</v>
      </c>
      <c r="Z350" s="3" t="s">
        <v>35</v>
      </c>
    </row>
    <row r="351" spans="1:26" x14ac:dyDescent="0.3">
      <c r="A351" s="2">
        <v>46198</v>
      </c>
      <c r="B351" s="3" t="s">
        <v>45</v>
      </c>
      <c r="C351" s="3">
        <v>5</v>
      </c>
      <c r="D351" s="4">
        <v>0.5625</v>
      </c>
      <c r="E351" s="4">
        <v>0.60416666666666696</v>
      </c>
      <c r="F351" s="3" t="s">
        <v>63</v>
      </c>
      <c r="G351" s="3" t="s">
        <v>64</v>
      </c>
      <c r="H351" s="3" t="s">
        <v>29</v>
      </c>
      <c r="I351" s="3" t="s">
        <v>30</v>
      </c>
      <c r="J351" s="3" t="s">
        <v>84</v>
      </c>
      <c r="K351" s="3" t="s">
        <v>52</v>
      </c>
      <c r="L351" s="5">
        <v>102</v>
      </c>
      <c r="M351" s="5">
        <f t="shared" ca="1" si="25"/>
        <v>66</v>
      </c>
      <c r="N351" s="6">
        <f t="shared" ca="1" si="26"/>
        <v>64.705882352941174</v>
      </c>
      <c r="O351" s="3">
        <v>73.125586999999996</v>
      </c>
      <c r="P351" s="3">
        <f t="shared" si="29"/>
        <v>1.25</v>
      </c>
      <c r="Q351" s="3" t="s">
        <v>33</v>
      </c>
      <c r="R351" s="3" t="s">
        <v>40</v>
      </c>
      <c r="S351" s="3" t="str">
        <f t="shared" si="27"/>
        <v>No</v>
      </c>
      <c r="T351" s="3" t="s">
        <v>34</v>
      </c>
      <c r="U351" s="3" t="str">
        <f t="shared" si="28"/>
        <v>Cloudy</v>
      </c>
      <c r="V351" s="3" t="s">
        <v>40</v>
      </c>
      <c r="W351" s="3" cm="1">
        <f t="array" ref="W351">_xlfn.IFS(
OR(F351="Selenium (Hands-on)",F351="Guest Lecture: HR Interview"),6,
OR(F351="Soft Skill",F351="Soft Skill (Examination)",F351="AWS Training",F351="AWS Session"),7,
OR(ISNUMBER(SEARCH("MAD",F351)),ISNUMBER(SEARCH("STQA",F351)),F351="CI/CD Session"),8,
OR(ISNUMBER(SEARCH("Cloud",F351)),F351="Industry Readiness Program",ISNUMBER(SEARCH("Talenlio",F351))),9,
OR(ISNUMBER(SEARCH("Innovation",F351)),F351="Mini Project"),10,
OR(ISNUMBER(SEARCH("Data Science",F351)),ISNUMBER(SEARCH("DS",F351))),11,
ISNUMBER(SEARCH("Generative AI",F351)),12
=_xlfn.IFS(
OR(F351="Selenium (Hands-on)",F351="Guest Lecture: HR Interview"),6,
OR(F351="Soft Skill",F351="Soft Skill (Examination)",F351="AWS Training",F351="AWS Session"),7,
OR(ISNUMBER(SEARCH("MAD",F351)),ISNUMBER(SEARCH("STQA",F351)),F351="CI/CD Session"),8,
OR(ISNUMBER(SEARCH("Cloud",F351)),F351="Industry Readiness Program",ISNUMBER(SEARCH("Talenlio",F351))),9,
OR(ISNUMBER(SEARCH("Innovation",F351)),F351="Mini Project"),10,
OR(ISNUMBER(SEARCH("Data Science",F351)),ISNUMBER(SEARCH("DS",F351))),11,
ISNUMBER(SEARCH("Generative AI",F351)),12
=_xlfn.IFS(
OR(F351="Selenium (Hands-on)",F351="Guest Lecture: HR Interview"),6,
OR(F351="Soft Skill",F351="Soft Skill (Examination)",F351="AWS Training",F351="AWS Session"),7,
OR(ISNUMBER(SEARCH("MAD",F351)),ISNUMBER(SEARCH("STQA",F351)),F351="CI/CD Session"),8,
OR(ISNUMBER(SEARCH("Cloud",F351)),F351="Industry Readiness Program",ISNUMBER(SEARCH("Talenlio",F351))),9,
OR(ISNUMBER(SEARCH("Innovation",F351)),F351="Mini Project"),10,
OR(ISNUMBER(SEARCH("Data Science",F351)),ISNUMBER(SEARCH("DS",F351))),11,
ISNUMBER(SEARCH("Generative AI",F351)),12
=_xlfn.IFS(
OR(F351="Selenium (Hands-on)",F351="Guest Lecture: HR Interview"),6,
OR(F351="Soft Skill",F351="Soft Skill (Examination)",F351="AWS Training",F351="AWS Session"),7,
OR(ISNUMBER(SEARCH("MAD",F351)),ISNUMBER(SEARCH("STQA",F351)),F351="CI/CD Session"),8,
OR(ISNUMBER(SEARCH("Cloud",F351)),F351="Industry Readiness Program",ISNUMBER(SEARCH("Talenlio",F351))),9,
OR(ISNUMBER(SEARCH("Innovation",F351)),F351="Mini Project"),10,
OR(ISNUMBER(SEARCH("Data Science",F351)),ISNUMBER(SEARCH("DS",F351))),11,
ISNUMBER(SEARCH("Generative AI",F351)),12
))))</f>
        <v>9</v>
      </c>
      <c r="X351" s="3">
        <v>2</v>
      </c>
      <c r="Y351" s="3">
        <v>11</v>
      </c>
      <c r="Z351" s="3" t="s">
        <v>38</v>
      </c>
    </row>
    <row r="352" spans="1:26" x14ac:dyDescent="0.3">
      <c r="A352" s="2">
        <v>46198</v>
      </c>
      <c r="B352" s="3" t="s">
        <v>45</v>
      </c>
      <c r="C352" s="3">
        <v>6</v>
      </c>
      <c r="D352" s="4">
        <v>0.60416666666666696</v>
      </c>
      <c r="E352" s="4">
        <v>0.64583333333333304</v>
      </c>
      <c r="F352" s="3" t="s">
        <v>63</v>
      </c>
      <c r="G352" s="3" t="s">
        <v>64</v>
      </c>
      <c r="H352" s="3" t="s">
        <v>29</v>
      </c>
      <c r="I352" s="3" t="s">
        <v>30</v>
      </c>
      <c r="J352" s="3" t="s">
        <v>84</v>
      </c>
      <c r="K352" s="3" t="s">
        <v>52</v>
      </c>
      <c r="L352" s="5">
        <v>102</v>
      </c>
      <c r="M352" s="5">
        <f t="shared" ca="1" si="25"/>
        <v>102</v>
      </c>
      <c r="N352" s="6">
        <f t="shared" ca="1" si="26"/>
        <v>100</v>
      </c>
      <c r="O352" s="3" cm="1">
        <f t="array" aca="1" ref="O352" ca="1">IFERROR(LOOKUP(2, 1/((F$1:F351=F352)*(J$1:J351=J352)*(ROW(F$1:F351)&lt;ROW(F352))), N$1:N351), "")</f>
        <v>64.705882352941174</v>
      </c>
      <c r="P352" s="3">
        <f t="shared" si="29"/>
        <v>0</v>
      </c>
      <c r="Q352" s="3" t="s">
        <v>33</v>
      </c>
      <c r="R352" s="3" t="s">
        <v>40</v>
      </c>
      <c r="S352" s="3" t="str">
        <f t="shared" si="27"/>
        <v>No</v>
      </c>
      <c r="T352" s="3" t="s">
        <v>34</v>
      </c>
      <c r="U352" s="3" t="str">
        <f t="shared" si="28"/>
        <v>Cloudy</v>
      </c>
      <c r="V352" s="3" t="s">
        <v>40</v>
      </c>
      <c r="W352" s="3" cm="1">
        <f t="array" ref="W352">_xlfn.IFS(
OR(F352="Selenium (Hands-on)",F352="Guest Lecture: HR Interview"),6,
OR(F352="Soft Skill",F352="Soft Skill (Examination)",F352="AWS Training",F352="AWS Session"),7,
OR(ISNUMBER(SEARCH("MAD",F352)),ISNUMBER(SEARCH("STQA",F352)),F352="CI/CD Session"),8,
OR(ISNUMBER(SEARCH("Cloud",F352)),F352="Industry Readiness Program",ISNUMBER(SEARCH("Talenlio",F352))),9,
OR(ISNUMBER(SEARCH("Innovation",F352)),F352="Mini Project"),10,
OR(ISNUMBER(SEARCH("Data Science",F352)),ISNUMBER(SEARCH("DS",F352))),11,
ISNUMBER(SEARCH("Generative AI",F352)),12
=_xlfn.IFS(
OR(F352="Selenium (Hands-on)",F352="Guest Lecture: HR Interview"),6,
OR(F352="Soft Skill",F352="Soft Skill (Examination)",F352="AWS Training",F352="AWS Session"),7,
OR(ISNUMBER(SEARCH("MAD",F352)),ISNUMBER(SEARCH("STQA",F352)),F352="CI/CD Session"),8,
OR(ISNUMBER(SEARCH("Cloud",F352)),F352="Industry Readiness Program",ISNUMBER(SEARCH("Talenlio",F352))),9,
OR(ISNUMBER(SEARCH("Innovation",F352)),F352="Mini Project"),10,
OR(ISNUMBER(SEARCH("Data Science",F352)),ISNUMBER(SEARCH("DS",F352))),11,
ISNUMBER(SEARCH("Generative AI",F352)),12
=_xlfn.IFS(
OR(F352="Selenium (Hands-on)",F352="Guest Lecture: HR Interview"),6,
OR(F352="Soft Skill",F352="Soft Skill (Examination)",F352="AWS Training",F352="AWS Session"),7,
OR(ISNUMBER(SEARCH("MAD",F352)),ISNUMBER(SEARCH("STQA",F352)),F352="CI/CD Session"),8,
OR(ISNUMBER(SEARCH("Cloud",F352)),F352="Industry Readiness Program",ISNUMBER(SEARCH("Talenlio",F352))),9,
OR(ISNUMBER(SEARCH("Innovation",F352)),F352="Mini Project"),10,
OR(ISNUMBER(SEARCH("Data Science",F352)),ISNUMBER(SEARCH("DS",F352))),11,
ISNUMBER(SEARCH("Generative AI",F352)),12
=_xlfn.IFS(
OR(F352="Selenium (Hands-on)",F352="Guest Lecture: HR Interview"),6,
OR(F352="Soft Skill",F352="Soft Skill (Examination)",F352="AWS Training",F352="AWS Session"),7,
OR(ISNUMBER(SEARCH("MAD",F352)),ISNUMBER(SEARCH("STQA",F352)),F352="CI/CD Session"),8,
OR(ISNUMBER(SEARCH("Cloud",F352)),F352="Industry Readiness Program",ISNUMBER(SEARCH("Talenlio",F352))),9,
OR(ISNUMBER(SEARCH("Innovation",F352)),F352="Mini Project"),10,
OR(ISNUMBER(SEARCH("Data Science",F352)),ISNUMBER(SEARCH("DS",F352))),11,
ISNUMBER(SEARCH("Generative AI",F352)),12
))))</f>
        <v>9</v>
      </c>
      <c r="X352" s="3">
        <v>2</v>
      </c>
      <c r="Y352" s="3">
        <v>11</v>
      </c>
      <c r="Z352" s="3" t="s">
        <v>38</v>
      </c>
    </row>
    <row r="353" spans="1:26" x14ac:dyDescent="0.3">
      <c r="A353" s="2">
        <v>46200</v>
      </c>
      <c r="B353" s="3" t="s">
        <v>47</v>
      </c>
      <c r="C353" s="3">
        <v>1</v>
      </c>
      <c r="D353" s="4">
        <v>0.35416666666666702</v>
      </c>
      <c r="E353" s="4">
        <v>0.38541666666666702</v>
      </c>
      <c r="F353" s="3" t="s">
        <v>65</v>
      </c>
      <c r="G353" s="3" t="s">
        <v>51</v>
      </c>
      <c r="H353" s="3" t="s">
        <v>29</v>
      </c>
      <c r="I353" s="3" t="s">
        <v>30</v>
      </c>
      <c r="J353" s="3" t="s">
        <v>84</v>
      </c>
      <c r="K353" s="3" t="s">
        <v>52</v>
      </c>
      <c r="L353" s="5">
        <v>102</v>
      </c>
      <c r="M353" s="5">
        <f t="shared" ca="1" si="25"/>
        <v>79</v>
      </c>
      <c r="N353" s="6">
        <f t="shared" ca="1" si="26"/>
        <v>77.450980392156865</v>
      </c>
      <c r="O353" s="3">
        <v>64.124578</v>
      </c>
      <c r="P353" s="3">
        <f t="shared" si="29"/>
        <v>0</v>
      </c>
      <c r="Q353" s="3" t="s">
        <v>43</v>
      </c>
      <c r="R353" s="3" t="s">
        <v>40</v>
      </c>
      <c r="S353" s="3" t="str">
        <f t="shared" si="27"/>
        <v>No</v>
      </c>
      <c r="T353" s="3" t="s">
        <v>34</v>
      </c>
      <c r="U353" s="3" t="str">
        <f t="shared" si="28"/>
        <v>Cloudy</v>
      </c>
      <c r="V353" s="3" t="s">
        <v>40</v>
      </c>
      <c r="W353" s="3" cm="1">
        <f t="array" ref="W353">_xlfn.IFS(
OR(F353="Selenium (Hands-on)",F353="Guest Lecture: HR Interview"),6,
OR(F353="Soft Skill",F353="Soft Skill (Examination)",F353="AWS Training",F353="AWS Session"),7,
OR(ISNUMBER(SEARCH("MAD",F353)),ISNUMBER(SEARCH("STQA",F353)),F353="CI/CD Session"),8,
OR(ISNUMBER(SEARCH("Cloud",F353)),F353="Industry Readiness Program",ISNUMBER(SEARCH("Talenlio",F353))),9,
OR(ISNUMBER(SEARCH("Innovation",F353)),F353="Mini Project"),10,
OR(ISNUMBER(SEARCH("Data Science",F353)),ISNUMBER(SEARCH("DS",F353))),11,
ISNUMBER(SEARCH("Generative AI",F353)),12
=_xlfn.IFS(
OR(F353="Selenium (Hands-on)",F353="Guest Lecture: HR Interview"),6,
OR(F353="Soft Skill",F353="Soft Skill (Examination)",F353="AWS Training",F353="AWS Session"),7,
OR(ISNUMBER(SEARCH("MAD",F353)),ISNUMBER(SEARCH("STQA",F353)),F353="CI/CD Session"),8,
OR(ISNUMBER(SEARCH("Cloud",F353)),F353="Industry Readiness Program",ISNUMBER(SEARCH("Talenlio",F353))),9,
OR(ISNUMBER(SEARCH("Innovation",F353)),F353="Mini Project"),10,
OR(ISNUMBER(SEARCH("Data Science",F353)),ISNUMBER(SEARCH("DS",F353))),11,
ISNUMBER(SEARCH("Generative AI",F353)),12
=_xlfn.IFS(
OR(F353="Selenium (Hands-on)",F353="Guest Lecture: HR Interview"),6,
OR(F353="Soft Skill",F353="Soft Skill (Examination)",F353="AWS Training",F353="AWS Session"),7,
OR(ISNUMBER(SEARCH("MAD",F353)),ISNUMBER(SEARCH("STQA",F353)),F353="CI/CD Session"),8,
OR(ISNUMBER(SEARCH("Cloud",F353)),F353="Industry Readiness Program",ISNUMBER(SEARCH("Talenlio",F353))),9,
OR(ISNUMBER(SEARCH("Innovation",F353)),F353="Mini Project"),10,
OR(ISNUMBER(SEARCH("Data Science",F353)),ISNUMBER(SEARCH("DS",F353))),11,
ISNUMBER(SEARCH("Generative AI",F353)),12
=_xlfn.IFS(
OR(F353="Selenium (Hands-on)",F353="Guest Lecture: HR Interview"),6,
OR(F353="Soft Skill",F353="Soft Skill (Examination)",F353="AWS Training",F353="AWS Session"),7,
OR(ISNUMBER(SEARCH("MAD",F353)),ISNUMBER(SEARCH("STQA",F353)),F353="CI/CD Session"),8,
OR(ISNUMBER(SEARCH("Cloud",F353)),F353="Industry Readiness Program",ISNUMBER(SEARCH("Talenlio",F353))),9,
OR(ISNUMBER(SEARCH("Innovation",F353)),F353="Mini Project"),10,
OR(ISNUMBER(SEARCH("Data Science",F353)),ISNUMBER(SEARCH("DS",F353))),11,
ISNUMBER(SEARCH("Generative AI",F353)),12
))))</f>
        <v>8</v>
      </c>
      <c r="X353" s="3">
        <v>2</v>
      </c>
      <c r="Y353" s="3">
        <v>13</v>
      </c>
      <c r="Z353" s="3" t="s">
        <v>35</v>
      </c>
    </row>
    <row r="354" spans="1:26" x14ac:dyDescent="0.3">
      <c r="A354" s="2">
        <v>46200</v>
      </c>
      <c r="B354" s="3" t="s">
        <v>47</v>
      </c>
      <c r="C354" s="3">
        <v>2</v>
      </c>
      <c r="D354" s="4">
        <v>0.38541666666666702</v>
      </c>
      <c r="E354" s="4">
        <v>0.42708333333333298</v>
      </c>
      <c r="F354" s="3" t="s">
        <v>65</v>
      </c>
      <c r="G354" s="3" t="s">
        <v>51</v>
      </c>
      <c r="H354" s="3" t="s">
        <v>29</v>
      </c>
      <c r="I354" s="3" t="s">
        <v>30</v>
      </c>
      <c r="J354" s="3" t="s">
        <v>84</v>
      </c>
      <c r="K354" s="3" t="s">
        <v>52</v>
      </c>
      <c r="L354" s="5">
        <v>102</v>
      </c>
      <c r="M354" s="5">
        <f t="shared" ca="1" si="25"/>
        <v>60</v>
      </c>
      <c r="N354" s="6">
        <f t="shared" ca="1" si="26"/>
        <v>58.82352941176471</v>
      </c>
      <c r="O354" s="3" cm="1">
        <f t="array" aca="1" ref="O354" ca="1">IFERROR(LOOKUP(2, 1/((F$1:F353=F354)*(J$1:J353=J354)*(ROW(F$1:F353)&lt;ROW(F354))), N$1:N353), "")</f>
        <v>77.450980392156865</v>
      </c>
      <c r="P354" s="3">
        <f t="shared" si="29"/>
        <v>0</v>
      </c>
      <c r="Q354" s="3" t="s">
        <v>43</v>
      </c>
      <c r="R354" s="3" t="s">
        <v>40</v>
      </c>
      <c r="S354" s="3" t="str">
        <f t="shared" si="27"/>
        <v>No</v>
      </c>
      <c r="T354" s="3" t="s">
        <v>34</v>
      </c>
      <c r="U354" s="3" t="str">
        <f t="shared" si="28"/>
        <v>Cloudy</v>
      </c>
      <c r="V354" s="3" t="s">
        <v>40</v>
      </c>
      <c r="W354" s="3" cm="1">
        <f t="array" ref="W354">_xlfn.IFS(
OR(F354="Selenium (Hands-on)",F354="Guest Lecture: HR Interview"),6,
OR(F354="Soft Skill",F354="Soft Skill (Examination)",F354="AWS Training",F354="AWS Session"),7,
OR(ISNUMBER(SEARCH("MAD",F354)),ISNUMBER(SEARCH("STQA",F354)),F354="CI/CD Session"),8,
OR(ISNUMBER(SEARCH("Cloud",F354)),F354="Industry Readiness Program",ISNUMBER(SEARCH("Talenlio",F354))),9,
OR(ISNUMBER(SEARCH("Innovation",F354)),F354="Mini Project"),10,
OR(ISNUMBER(SEARCH("Data Science",F354)),ISNUMBER(SEARCH("DS",F354))),11,
ISNUMBER(SEARCH("Generative AI",F354)),12
=_xlfn.IFS(
OR(F354="Selenium (Hands-on)",F354="Guest Lecture: HR Interview"),6,
OR(F354="Soft Skill",F354="Soft Skill (Examination)",F354="AWS Training",F354="AWS Session"),7,
OR(ISNUMBER(SEARCH("MAD",F354)),ISNUMBER(SEARCH("STQA",F354)),F354="CI/CD Session"),8,
OR(ISNUMBER(SEARCH("Cloud",F354)),F354="Industry Readiness Program",ISNUMBER(SEARCH("Talenlio",F354))),9,
OR(ISNUMBER(SEARCH("Innovation",F354)),F354="Mini Project"),10,
OR(ISNUMBER(SEARCH("Data Science",F354)),ISNUMBER(SEARCH("DS",F354))),11,
ISNUMBER(SEARCH("Generative AI",F354)),12
=_xlfn.IFS(
OR(F354="Selenium (Hands-on)",F354="Guest Lecture: HR Interview"),6,
OR(F354="Soft Skill",F354="Soft Skill (Examination)",F354="AWS Training",F354="AWS Session"),7,
OR(ISNUMBER(SEARCH("MAD",F354)),ISNUMBER(SEARCH("STQA",F354)),F354="CI/CD Session"),8,
OR(ISNUMBER(SEARCH("Cloud",F354)),F354="Industry Readiness Program",ISNUMBER(SEARCH("Talenlio",F354))),9,
OR(ISNUMBER(SEARCH("Innovation",F354)),F354="Mini Project"),10,
OR(ISNUMBER(SEARCH("Data Science",F354)),ISNUMBER(SEARCH("DS",F354))),11,
ISNUMBER(SEARCH("Generative AI",F354)),12
=_xlfn.IFS(
OR(F354="Selenium (Hands-on)",F354="Guest Lecture: HR Interview"),6,
OR(F354="Soft Skill",F354="Soft Skill (Examination)",F354="AWS Training",F354="AWS Session"),7,
OR(ISNUMBER(SEARCH("MAD",F354)),ISNUMBER(SEARCH("STQA",F354)),F354="CI/CD Session"),8,
OR(ISNUMBER(SEARCH("Cloud",F354)),F354="Industry Readiness Program",ISNUMBER(SEARCH("Talenlio",F354))),9,
OR(ISNUMBER(SEARCH("Innovation",F354)),F354="Mini Project"),10,
OR(ISNUMBER(SEARCH("Data Science",F354)),ISNUMBER(SEARCH("DS",F354))),11,
ISNUMBER(SEARCH("Generative AI",F354)),12
))))</f>
        <v>8</v>
      </c>
      <c r="X354" s="3">
        <v>2</v>
      </c>
      <c r="Y354" s="3">
        <v>13</v>
      </c>
      <c r="Z354" s="3" t="s">
        <v>35</v>
      </c>
    </row>
    <row r="355" spans="1:26" x14ac:dyDescent="0.3">
      <c r="A355" s="2">
        <v>46200</v>
      </c>
      <c r="B355" s="3" t="s">
        <v>47</v>
      </c>
      <c r="C355" s="3">
        <v>3</v>
      </c>
      <c r="D355" s="4">
        <v>0.42708333333333298</v>
      </c>
      <c r="E355" s="4">
        <v>0.46875</v>
      </c>
      <c r="F355" s="3" t="s">
        <v>66</v>
      </c>
      <c r="G355" s="3" t="s">
        <v>67</v>
      </c>
      <c r="H355" s="3" t="s">
        <v>29</v>
      </c>
      <c r="I355" s="3" t="s">
        <v>30</v>
      </c>
      <c r="J355" s="3" t="s">
        <v>84</v>
      </c>
      <c r="K355" s="3" t="s">
        <v>52</v>
      </c>
      <c r="L355" s="5">
        <v>102</v>
      </c>
      <c r="M355" s="5">
        <f t="shared" ca="1" si="25"/>
        <v>62</v>
      </c>
      <c r="N355" s="6">
        <f t="shared" ca="1" si="26"/>
        <v>60.784313725490193</v>
      </c>
      <c r="O355" s="3">
        <v>64.124455100000006</v>
      </c>
      <c r="P355" s="3">
        <f t="shared" si="29"/>
        <v>0</v>
      </c>
      <c r="Q355" s="3" t="s">
        <v>43</v>
      </c>
      <c r="R355" s="3" t="s">
        <v>40</v>
      </c>
      <c r="S355" s="3" t="str">
        <f t="shared" si="27"/>
        <v>Yes</v>
      </c>
      <c r="T355" s="3" t="s">
        <v>34</v>
      </c>
      <c r="U355" s="3" t="str">
        <f t="shared" si="28"/>
        <v>Cloudy</v>
      </c>
      <c r="V355" s="3" t="s">
        <v>40</v>
      </c>
      <c r="W355" s="3" cm="1">
        <f t="array" ref="W355">_xlfn.IFS(
OR(F355="Selenium (Hands-on)",F355="Guest Lecture: HR Interview"),6,
OR(F355="Soft Skill",F355="Soft Skill (Examination)",F355="AWS Training",F355="AWS Session"),7,
OR(ISNUMBER(SEARCH("MAD",F355)),ISNUMBER(SEARCH("STQA",F355)),F355="CI/CD Session"),8,
OR(ISNUMBER(SEARCH("Cloud",F355)),F355="Industry Readiness Program",ISNUMBER(SEARCH("Talenlio",F355))),9,
OR(ISNUMBER(SEARCH("Innovation",F355)),F355="Mini Project"),10,
OR(ISNUMBER(SEARCH("Data Science",F355)),ISNUMBER(SEARCH("DS",F355))),11,
ISNUMBER(SEARCH("Generative AI",F355)),12
=_xlfn.IFS(
OR(F355="Selenium (Hands-on)",F355="Guest Lecture: HR Interview"),6,
OR(F355="Soft Skill",F355="Soft Skill (Examination)",F355="AWS Training",F355="AWS Session"),7,
OR(ISNUMBER(SEARCH("MAD",F355)),ISNUMBER(SEARCH("STQA",F355)),F355="CI/CD Session"),8,
OR(ISNUMBER(SEARCH("Cloud",F355)),F355="Industry Readiness Program",ISNUMBER(SEARCH("Talenlio",F355))),9,
OR(ISNUMBER(SEARCH("Innovation",F355)),F355="Mini Project"),10,
OR(ISNUMBER(SEARCH("Data Science",F355)),ISNUMBER(SEARCH("DS",F355))),11,
ISNUMBER(SEARCH("Generative AI",F355)),12
=_xlfn.IFS(
OR(F355="Selenium (Hands-on)",F355="Guest Lecture: HR Interview"),6,
OR(F355="Soft Skill",F355="Soft Skill (Examination)",F355="AWS Training",F355="AWS Session"),7,
OR(ISNUMBER(SEARCH("MAD",F355)),ISNUMBER(SEARCH("STQA",F355)),F355="CI/CD Session"),8,
OR(ISNUMBER(SEARCH("Cloud",F355)),F355="Industry Readiness Program",ISNUMBER(SEARCH("Talenlio",F355))),9,
OR(ISNUMBER(SEARCH("Innovation",F355)),F355="Mini Project"),10,
OR(ISNUMBER(SEARCH("Data Science",F355)),ISNUMBER(SEARCH("DS",F355))),11,
ISNUMBER(SEARCH("Generative AI",F355)),12
=_xlfn.IFS(
OR(F355="Selenium (Hands-on)",F355="Guest Lecture: HR Interview"),6,
OR(F355="Soft Skill",F355="Soft Skill (Examination)",F355="AWS Training",F355="AWS Session"),7,
OR(ISNUMBER(SEARCH("MAD",F355)),ISNUMBER(SEARCH("STQA",F355)),F355="CI/CD Session"),8,
OR(ISNUMBER(SEARCH("Cloud",F355)),F355="Industry Readiness Program",ISNUMBER(SEARCH("Talenlio",F355))),9,
OR(ISNUMBER(SEARCH("Innovation",F355)),F355="Mini Project"),10,
OR(ISNUMBER(SEARCH("Data Science",F355)),ISNUMBER(SEARCH("DS",F355))),11,
ISNUMBER(SEARCH("Generative AI",F355)),12
))))</f>
        <v>10</v>
      </c>
      <c r="X355" s="3">
        <v>2</v>
      </c>
      <c r="Y355" s="3">
        <v>13</v>
      </c>
      <c r="Z355" s="3" t="s">
        <v>35</v>
      </c>
    </row>
    <row r="356" spans="1:26" x14ac:dyDescent="0.3">
      <c r="A356" s="2">
        <v>46200</v>
      </c>
      <c r="B356" s="3" t="s">
        <v>47</v>
      </c>
      <c r="C356" s="3">
        <v>4</v>
      </c>
      <c r="D356" s="4">
        <v>0.46875</v>
      </c>
      <c r="E356" s="4">
        <v>0.51041666666666696</v>
      </c>
      <c r="F356" s="3" t="s">
        <v>66</v>
      </c>
      <c r="G356" s="3" t="s">
        <v>67</v>
      </c>
      <c r="H356" s="3" t="s">
        <v>29</v>
      </c>
      <c r="I356" s="3" t="s">
        <v>30</v>
      </c>
      <c r="J356" s="3" t="s">
        <v>84</v>
      </c>
      <c r="K356" s="3" t="s">
        <v>52</v>
      </c>
      <c r="L356" s="5">
        <v>102</v>
      </c>
      <c r="M356" s="5">
        <f t="shared" ca="1" si="25"/>
        <v>101</v>
      </c>
      <c r="N356" s="6">
        <f t="shared" ca="1" si="26"/>
        <v>99.019607843137265</v>
      </c>
      <c r="O356" s="3" cm="1">
        <f t="array" aca="1" ref="O356" ca="1">IFERROR(LOOKUP(2, 1/((F$1:F355=F356)*(J$1:J355=J356)*(ROW(F$1:F355)&lt;ROW(F356))), N$1:N355), "")</f>
        <v>60.784313725490193</v>
      </c>
      <c r="P356" s="3">
        <f t="shared" si="29"/>
        <v>0</v>
      </c>
      <c r="Q356" s="3" t="s">
        <v>43</v>
      </c>
      <c r="R356" s="3" t="s">
        <v>40</v>
      </c>
      <c r="S356" s="3" t="str">
        <f t="shared" si="27"/>
        <v>Yes</v>
      </c>
      <c r="T356" s="3" t="s">
        <v>34</v>
      </c>
      <c r="U356" s="3" t="str">
        <f t="shared" si="28"/>
        <v>Cloudy</v>
      </c>
      <c r="V356" s="3" t="s">
        <v>40</v>
      </c>
      <c r="W356" s="3" cm="1">
        <f t="array" ref="W356">_xlfn.IFS(
OR(F356="Selenium (Hands-on)",F356="Guest Lecture: HR Interview"),6,
OR(F356="Soft Skill",F356="Soft Skill (Examination)",F356="AWS Training",F356="AWS Session"),7,
OR(ISNUMBER(SEARCH("MAD",F356)),ISNUMBER(SEARCH("STQA",F356)),F356="CI/CD Session"),8,
OR(ISNUMBER(SEARCH("Cloud",F356)),F356="Industry Readiness Program",ISNUMBER(SEARCH("Talenlio",F356))),9,
OR(ISNUMBER(SEARCH("Innovation",F356)),F356="Mini Project"),10,
OR(ISNUMBER(SEARCH("Data Science",F356)),ISNUMBER(SEARCH("DS",F356))),11,
ISNUMBER(SEARCH("Generative AI",F356)),12
=_xlfn.IFS(
OR(F356="Selenium (Hands-on)",F356="Guest Lecture: HR Interview"),6,
OR(F356="Soft Skill",F356="Soft Skill (Examination)",F356="AWS Training",F356="AWS Session"),7,
OR(ISNUMBER(SEARCH("MAD",F356)),ISNUMBER(SEARCH("STQA",F356)),F356="CI/CD Session"),8,
OR(ISNUMBER(SEARCH("Cloud",F356)),F356="Industry Readiness Program",ISNUMBER(SEARCH("Talenlio",F356))),9,
OR(ISNUMBER(SEARCH("Innovation",F356)),F356="Mini Project"),10,
OR(ISNUMBER(SEARCH("Data Science",F356)),ISNUMBER(SEARCH("DS",F356))),11,
ISNUMBER(SEARCH("Generative AI",F356)),12
=_xlfn.IFS(
OR(F356="Selenium (Hands-on)",F356="Guest Lecture: HR Interview"),6,
OR(F356="Soft Skill",F356="Soft Skill (Examination)",F356="AWS Training",F356="AWS Session"),7,
OR(ISNUMBER(SEARCH("MAD",F356)),ISNUMBER(SEARCH("STQA",F356)),F356="CI/CD Session"),8,
OR(ISNUMBER(SEARCH("Cloud",F356)),F356="Industry Readiness Program",ISNUMBER(SEARCH("Talenlio",F356))),9,
OR(ISNUMBER(SEARCH("Innovation",F356)),F356="Mini Project"),10,
OR(ISNUMBER(SEARCH("Data Science",F356)),ISNUMBER(SEARCH("DS",F356))),11,
ISNUMBER(SEARCH("Generative AI",F356)),12
=_xlfn.IFS(
OR(F356="Selenium (Hands-on)",F356="Guest Lecture: HR Interview"),6,
OR(F356="Soft Skill",F356="Soft Skill (Examination)",F356="AWS Training",F356="AWS Session"),7,
OR(ISNUMBER(SEARCH("MAD",F356)),ISNUMBER(SEARCH("STQA",F356)),F356="CI/CD Session"),8,
OR(ISNUMBER(SEARCH("Cloud",F356)),F356="Industry Readiness Program",ISNUMBER(SEARCH("Talenlio",F356))),9,
OR(ISNUMBER(SEARCH("Innovation",F356)),F356="Mini Project"),10,
OR(ISNUMBER(SEARCH("Data Science",F356)),ISNUMBER(SEARCH("DS",F356))),11,
ISNUMBER(SEARCH("Generative AI",F356)),12
))))</f>
        <v>10</v>
      </c>
      <c r="X356" s="3">
        <v>2</v>
      </c>
      <c r="Y356" s="3">
        <v>13</v>
      </c>
      <c r="Z356" s="3" t="s">
        <v>35</v>
      </c>
    </row>
    <row r="357" spans="1:26" x14ac:dyDescent="0.3">
      <c r="A357" s="2">
        <v>46200</v>
      </c>
      <c r="B357" s="3" t="s">
        <v>47</v>
      </c>
      <c r="C357" s="3">
        <v>5</v>
      </c>
      <c r="D357" s="4">
        <v>0.5625</v>
      </c>
      <c r="E357" s="4">
        <v>0.60416666666666696</v>
      </c>
      <c r="F357" s="3" t="s">
        <v>66</v>
      </c>
      <c r="G357" s="3" t="s">
        <v>67</v>
      </c>
      <c r="H357" s="3" t="s">
        <v>29</v>
      </c>
      <c r="I357" s="3" t="s">
        <v>30</v>
      </c>
      <c r="J357" s="3" t="s">
        <v>84</v>
      </c>
      <c r="K357" s="3" t="s">
        <v>52</v>
      </c>
      <c r="L357" s="5">
        <v>102</v>
      </c>
      <c r="M357" s="5">
        <f t="shared" ca="1" si="25"/>
        <v>58</v>
      </c>
      <c r="N357" s="6">
        <f t="shared" ca="1" si="26"/>
        <v>56.862745098039213</v>
      </c>
      <c r="O357" s="3" cm="1">
        <f t="array" aca="1" ref="O357" ca="1">IFERROR(LOOKUP(2, 1/((F$1:F356=F357)*(J$1:J356=J357)*(ROW(F$1:F356)&lt;ROW(F357))), N$1:N356), "")</f>
        <v>99.019607843137265</v>
      </c>
      <c r="P357" s="3">
        <f t="shared" si="29"/>
        <v>1.25</v>
      </c>
      <c r="Q357" s="3" t="s">
        <v>43</v>
      </c>
      <c r="R357" s="3" t="s">
        <v>40</v>
      </c>
      <c r="S357" s="3" t="str">
        <f t="shared" si="27"/>
        <v>Yes</v>
      </c>
      <c r="T357" s="3" t="s">
        <v>34</v>
      </c>
      <c r="U357" s="3" t="str">
        <f t="shared" si="28"/>
        <v>Cloudy</v>
      </c>
      <c r="V357" s="3" t="s">
        <v>40</v>
      </c>
      <c r="W357" s="3" cm="1">
        <f t="array" ref="W357">_xlfn.IFS(
OR(F357="Selenium (Hands-on)",F357="Guest Lecture: HR Interview"),6,
OR(F357="Soft Skill",F357="Soft Skill (Examination)",F357="AWS Training",F357="AWS Session"),7,
OR(ISNUMBER(SEARCH("MAD",F357)),ISNUMBER(SEARCH("STQA",F357)),F357="CI/CD Session"),8,
OR(ISNUMBER(SEARCH("Cloud",F357)),F357="Industry Readiness Program",ISNUMBER(SEARCH("Talenlio",F357))),9,
OR(ISNUMBER(SEARCH("Innovation",F357)),F357="Mini Project"),10,
OR(ISNUMBER(SEARCH("Data Science",F357)),ISNUMBER(SEARCH("DS",F357))),11,
ISNUMBER(SEARCH("Generative AI",F357)),12
=_xlfn.IFS(
OR(F357="Selenium (Hands-on)",F357="Guest Lecture: HR Interview"),6,
OR(F357="Soft Skill",F357="Soft Skill (Examination)",F357="AWS Training",F357="AWS Session"),7,
OR(ISNUMBER(SEARCH("MAD",F357)),ISNUMBER(SEARCH("STQA",F357)),F357="CI/CD Session"),8,
OR(ISNUMBER(SEARCH("Cloud",F357)),F357="Industry Readiness Program",ISNUMBER(SEARCH("Talenlio",F357))),9,
OR(ISNUMBER(SEARCH("Innovation",F357)),F357="Mini Project"),10,
OR(ISNUMBER(SEARCH("Data Science",F357)),ISNUMBER(SEARCH("DS",F357))),11,
ISNUMBER(SEARCH("Generative AI",F357)),12
=_xlfn.IFS(
OR(F357="Selenium (Hands-on)",F357="Guest Lecture: HR Interview"),6,
OR(F357="Soft Skill",F357="Soft Skill (Examination)",F357="AWS Training",F357="AWS Session"),7,
OR(ISNUMBER(SEARCH("MAD",F357)),ISNUMBER(SEARCH("STQA",F357)),F357="CI/CD Session"),8,
OR(ISNUMBER(SEARCH("Cloud",F357)),F357="Industry Readiness Program",ISNUMBER(SEARCH("Talenlio",F357))),9,
OR(ISNUMBER(SEARCH("Innovation",F357)),F357="Mini Project"),10,
OR(ISNUMBER(SEARCH("Data Science",F357)),ISNUMBER(SEARCH("DS",F357))),11,
ISNUMBER(SEARCH("Generative AI",F357)),12
=_xlfn.IFS(
OR(F357="Selenium (Hands-on)",F357="Guest Lecture: HR Interview"),6,
OR(F357="Soft Skill",F357="Soft Skill (Examination)",F357="AWS Training",F357="AWS Session"),7,
OR(ISNUMBER(SEARCH("MAD",F357)),ISNUMBER(SEARCH("STQA",F357)),F357="CI/CD Session"),8,
OR(ISNUMBER(SEARCH("Cloud",F357)),F357="Industry Readiness Program",ISNUMBER(SEARCH("Talenlio",F357))),9,
OR(ISNUMBER(SEARCH("Innovation",F357)),F357="Mini Project"),10,
OR(ISNUMBER(SEARCH("Data Science",F357)),ISNUMBER(SEARCH("DS",F357))),11,
ISNUMBER(SEARCH("Generative AI",F357)),12
))))</f>
        <v>10</v>
      </c>
      <c r="X357" s="3">
        <v>2</v>
      </c>
      <c r="Y357" s="3">
        <v>13</v>
      </c>
      <c r="Z357" s="3" t="s">
        <v>38</v>
      </c>
    </row>
    <row r="358" spans="1:26" x14ac:dyDescent="0.3">
      <c r="A358" s="2">
        <v>46200</v>
      </c>
      <c r="B358" s="3" t="s">
        <v>47</v>
      </c>
      <c r="C358" s="3">
        <v>6</v>
      </c>
      <c r="D358" s="4">
        <v>0.60416666666666696</v>
      </c>
      <c r="E358" s="4">
        <v>0.64583333333333304</v>
      </c>
      <c r="F358" s="3" t="s">
        <v>66</v>
      </c>
      <c r="G358" s="3" t="s">
        <v>67</v>
      </c>
      <c r="H358" s="3" t="s">
        <v>29</v>
      </c>
      <c r="I358" s="3" t="s">
        <v>30</v>
      </c>
      <c r="J358" s="3" t="s">
        <v>84</v>
      </c>
      <c r="K358" s="3" t="s">
        <v>52</v>
      </c>
      <c r="L358" s="5">
        <v>102</v>
      </c>
      <c r="M358" s="5">
        <f t="shared" ca="1" si="25"/>
        <v>100</v>
      </c>
      <c r="N358" s="6">
        <f t="shared" ca="1" si="26"/>
        <v>98.039215686274503</v>
      </c>
      <c r="O358" s="3" cm="1">
        <f t="array" aca="1" ref="O358" ca="1">IFERROR(LOOKUP(2, 1/((F$1:F357=F358)*(J$1:J357=J358)*(ROW(F$1:F357)&lt;ROW(F358))), N$1:N357), "")</f>
        <v>56.862745098039213</v>
      </c>
      <c r="P358" s="3">
        <f t="shared" si="29"/>
        <v>0</v>
      </c>
      <c r="Q358" s="3" t="s">
        <v>43</v>
      </c>
      <c r="R358" s="3" t="s">
        <v>40</v>
      </c>
      <c r="S358" s="3" t="str">
        <f t="shared" si="27"/>
        <v>Yes</v>
      </c>
      <c r="T358" s="3" t="s">
        <v>34</v>
      </c>
      <c r="U358" s="3" t="str">
        <f t="shared" si="28"/>
        <v>Cloudy</v>
      </c>
      <c r="V358" s="3" t="s">
        <v>40</v>
      </c>
      <c r="W358" s="3" cm="1">
        <f t="array" ref="W358">_xlfn.IFS(
OR(F358="Selenium (Hands-on)",F358="Guest Lecture: HR Interview"),6,
OR(F358="Soft Skill",F358="Soft Skill (Examination)",F358="AWS Training",F358="AWS Session"),7,
OR(ISNUMBER(SEARCH("MAD",F358)),ISNUMBER(SEARCH("STQA",F358)),F358="CI/CD Session"),8,
OR(ISNUMBER(SEARCH("Cloud",F358)),F358="Industry Readiness Program",ISNUMBER(SEARCH("Talenlio",F358))),9,
OR(ISNUMBER(SEARCH("Innovation",F358)),F358="Mini Project"),10,
OR(ISNUMBER(SEARCH("Data Science",F358)),ISNUMBER(SEARCH("DS",F358))),11,
ISNUMBER(SEARCH("Generative AI",F358)),12
=_xlfn.IFS(
OR(F358="Selenium (Hands-on)",F358="Guest Lecture: HR Interview"),6,
OR(F358="Soft Skill",F358="Soft Skill (Examination)",F358="AWS Training",F358="AWS Session"),7,
OR(ISNUMBER(SEARCH("MAD",F358)),ISNUMBER(SEARCH("STQA",F358)),F358="CI/CD Session"),8,
OR(ISNUMBER(SEARCH("Cloud",F358)),F358="Industry Readiness Program",ISNUMBER(SEARCH("Talenlio",F358))),9,
OR(ISNUMBER(SEARCH("Innovation",F358)),F358="Mini Project"),10,
OR(ISNUMBER(SEARCH("Data Science",F358)),ISNUMBER(SEARCH("DS",F358))),11,
ISNUMBER(SEARCH("Generative AI",F358)),12
=_xlfn.IFS(
OR(F358="Selenium (Hands-on)",F358="Guest Lecture: HR Interview"),6,
OR(F358="Soft Skill",F358="Soft Skill (Examination)",F358="AWS Training",F358="AWS Session"),7,
OR(ISNUMBER(SEARCH("MAD",F358)),ISNUMBER(SEARCH("STQA",F358)),F358="CI/CD Session"),8,
OR(ISNUMBER(SEARCH("Cloud",F358)),F358="Industry Readiness Program",ISNUMBER(SEARCH("Talenlio",F358))),9,
OR(ISNUMBER(SEARCH("Innovation",F358)),F358="Mini Project"),10,
OR(ISNUMBER(SEARCH("Data Science",F358)),ISNUMBER(SEARCH("DS",F358))),11,
ISNUMBER(SEARCH("Generative AI",F358)),12
=_xlfn.IFS(
OR(F358="Selenium (Hands-on)",F358="Guest Lecture: HR Interview"),6,
OR(F358="Soft Skill",F358="Soft Skill (Examination)",F358="AWS Training",F358="AWS Session"),7,
OR(ISNUMBER(SEARCH("MAD",F358)),ISNUMBER(SEARCH("STQA",F358)),F358="CI/CD Session"),8,
OR(ISNUMBER(SEARCH("Cloud",F358)),F358="Industry Readiness Program",ISNUMBER(SEARCH("Talenlio",F358))),9,
OR(ISNUMBER(SEARCH("Innovation",F358)),F358="Mini Project"),10,
OR(ISNUMBER(SEARCH("Data Science",F358)),ISNUMBER(SEARCH("DS",F358))),11,
ISNUMBER(SEARCH("Generative AI",F358)),12
))))</f>
        <v>10</v>
      </c>
      <c r="X358" s="3">
        <v>2</v>
      </c>
      <c r="Y358" s="3">
        <v>13</v>
      </c>
      <c r="Z358" s="3" t="s">
        <v>38</v>
      </c>
    </row>
    <row r="359" spans="1:26" x14ac:dyDescent="0.3">
      <c r="A359" s="2">
        <v>46202</v>
      </c>
      <c r="B359" s="3" t="s">
        <v>26</v>
      </c>
      <c r="C359" s="3">
        <v>1</v>
      </c>
      <c r="D359" s="4">
        <v>0.35416666666666702</v>
      </c>
      <c r="E359" s="4">
        <v>0.38541666666666702</v>
      </c>
      <c r="F359" s="3" t="s">
        <v>50</v>
      </c>
      <c r="G359" s="3" t="s">
        <v>51</v>
      </c>
      <c r="H359" s="3" t="s">
        <v>29</v>
      </c>
      <c r="I359" s="3" t="s">
        <v>30</v>
      </c>
      <c r="J359" s="3" t="s">
        <v>84</v>
      </c>
      <c r="K359" s="3" t="s">
        <v>52</v>
      </c>
      <c r="L359" s="5">
        <v>102</v>
      </c>
      <c r="M359" s="5">
        <f t="shared" ca="1" si="25"/>
        <v>46</v>
      </c>
      <c r="N359" s="6">
        <f t="shared" ca="1" si="26"/>
        <v>45.098039215686278</v>
      </c>
      <c r="O359" s="3" cm="1">
        <f t="array" aca="1" ref="O359" ca="1">IFERROR(LOOKUP(2, 1/((F$1:F358=F359)*(J$1:J358=J359)*(ROW(F$1:F358)&lt;ROW(F359))), N$1:N358), "")</f>
        <v>81.372549019607845</v>
      </c>
      <c r="P359" s="3">
        <f t="shared" si="29"/>
        <v>0</v>
      </c>
      <c r="Q359" s="3" t="s">
        <v>43</v>
      </c>
      <c r="R359" s="3" t="s">
        <v>40</v>
      </c>
      <c r="S359" s="3" t="str">
        <f t="shared" si="27"/>
        <v>No</v>
      </c>
      <c r="T359" s="3" t="s">
        <v>34</v>
      </c>
      <c r="U359" s="3" t="str">
        <f t="shared" si="28"/>
        <v>Cloudy</v>
      </c>
      <c r="V359" s="3" t="s">
        <v>40</v>
      </c>
      <c r="W359" s="3" cm="1">
        <f t="array" ref="W359">_xlfn.IFS(
OR(F359="Selenium (Hands-on)",F359="Guest Lecture: HR Interview"),6,
OR(F359="Soft Skill",F359="Soft Skill (Examination)",F359="AWS Training",F359="AWS Session"),7,
OR(ISNUMBER(SEARCH("MAD",F359)),ISNUMBER(SEARCH("STQA",F359)),F359="CI/CD Session"),8,
OR(ISNUMBER(SEARCH("Cloud",F359)),F359="Industry Readiness Program",ISNUMBER(SEARCH("Talenlio",F359))),9,
OR(ISNUMBER(SEARCH("Innovation",F359)),F359="Mini Project"),10,
OR(ISNUMBER(SEARCH("Data Science",F359)),ISNUMBER(SEARCH("DS",F359))),11,
ISNUMBER(SEARCH("Generative AI",F359)),12
=_xlfn.IFS(
OR(F359="Selenium (Hands-on)",F359="Guest Lecture: HR Interview"),6,
OR(F359="Soft Skill",F359="Soft Skill (Examination)",F359="AWS Training",F359="AWS Session"),7,
OR(ISNUMBER(SEARCH("MAD",F359)),ISNUMBER(SEARCH("STQA",F359)),F359="CI/CD Session"),8,
OR(ISNUMBER(SEARCH("Cloud",F359)),F359="Industry Readiness Program",ISNUMBER(SEARCH("Talenlio",F359))),9,
OR(ISNUMBER(SEARCH("Innovation",F359)),F359="Mini Project"),10,
OR(ISNUMBER(SEARCH("Data Science",F359)),ISNUMBER(SEARCH("DS",F359))),11,
ISNUMBER(SEARCH("Generative AI",F359)),12
=_xlfn.IFS(
OR(F359="Selenium (Hands-on)",F359="Guest Lecture: HR Interview"),6,
OR(F359="Soft Skill",F359="Soft Skill (Examination)",F359="AWS Training",F359="AWS Session"),7,
OR(ISNUMBER(SEARCH("MAD",F359)),ISNUMBER(SEARCH("STQA",F359)),F359="CI/CD Session"),8,
OR(ISNUMBER(SEARCH("Cloud",F359)),F359="Industry Readiness Program",ISNUMBER(SEARCH("Talenlio",F359))),9,
OR(ISNUMBER(SEARCH("Innovation",F359)),F359="Mini Project"),10,
OR(ISNUMBER(SEARCH("Data Science",F359)),ISNUMBER(SEARCH("DS",F359))),11,
ISNUMBER(SEARCH("Generative AI",F359)),12
=_xlfn.IFS(
OR(F359="Selenium (Hands-on)",F359="Guest Lecture: HR Interview"),6,
OR(F359="Soft Skill",F359="Soft Skill (Examination)",F359="AWS Training",F359="AWS Session"),7,
OR(ISNUMBER(SEARCH("MAD",F359)),ISNUMBER(SEARCH("STQA",F359)),F359="CI/CD Session"),8,
OR(ISNUMBER(SEARCH("Cloud",F359)),F359="Industry Readiness Program",ISNUMBER(SEARCH("Talenlio",F359))),9,
OR(ISNUMBER(SEARCH("Innovation",F359)),F359="Mini Project"),10,
OR(ISNUMBER(SEARCH("Data Science",F359)),ISNUMBER(SEARCH("DS",F359))),11,
ISNUMBER(SEARCH("Generative AI",F359)),12
))))</f>
        <v>8</v>
      </c>
      <c r="X359" s="3">
        <v>3</v>
      </c>
      <c r="Y359" s="3">
        <v>15</v>
      </c>
      <c r="Z359" s="3" t="s">
        <v>35</v>
      </c>
    </row>
    <row r="360" spans="1:26" x14ac:dyDescent="0.3">
      <c r="A360" s="2">
        <v>46202</v>
      </c>
      <c r="B360" s="3" t="s">
        <v>26</v>
      </c>
      <c r="C360" s="3">
        <v>2</v>
      </c>
      <c r="D360" s="4">
        <v>0.38541666666666702</v>
      </c>
      <c r="E360" s="4">
        <v>0.42708333333333298</v>
      </c>
      <c r="F360" s="3" t="s">
        <v>50</v>
      </c>
      <c r="G360" s="3" t="s">
        <v>51</v>
      </c>
      <c r="H360" s="3" t="s">
        <v>29</v>
      </c>
      <c r="I360" s="3" t="s">
        <v>30</v>
      </c>
      <c r="J360" s="3" t="s">
        <v>84</v>
      </c>
      <c r="K360" s="3" t="s">
        <v>52</v>
      </c>
      <c r="L360" s="5">
        <v>102</v>
      </c>
      <c r="M360" s="5">
        <f t="shared" ca="1" si="25"/>
        <v>60</v>
      </c>
      <c r="N360" s="6">
        <f t="shared" ca="1" si="26"/>
        <v>58.82352941176471</v>
      </c>
      <c r="O360" s="3" cm="1">
        <f t="array" aca="1" ref="O360" ca="1">IFERROR(LOOKUP(2, 1/((F$1:F359=F360)*(J$1:J359=J360)*(ROW(F$1:F359)&lt;ROW(F360))), N$1:N359), "")</f>
        <v>45.098039215686278</v>
      </c>
      <c r="P360" s="3">
        <f t="shared" si="29"/>
        <v>0</v>
      </c>
      <c r="Q360" s="3" t="s">
        <v>43</v>
      </c>
      <c r="R360" s="3" t="s">
        <v>40</v>
      </c>
      <c r="S360" s="3" t="str">
        <f t="shared" si="27"/>
        <v>No</v>
      </c>
      <c r="T360" s="3" t="s">
        <v>34</v>
      </c>
      <c r="U360" s="3" t="str">
        <f t="shared" si="28"/>
        <v>Cloudy</v>
      </c>
      <c r="V360" s="3" t="s">
        <v>40</v>
      </c>
      <c r="W360" s="3" cm="1">
        <f t="array" ref="W360">_xlfn.IFS(
OR(F360="Selenium (Hands-on)",F360="Guest Lecture: HR Interview"),6,
OR(F360="Soft Skill",F360="Soft Skill (Examination)",F360="AWS Training",F360="AWS Session"),7,
OR(ISNUMBER(SEARCH("MAD",F360)),ISNUMBER(SEARCH("STQA",F360)),F360="CI/CD Session"),8,
OR(ISNUMBER(SEARCH("Cloud",F360)),F360="Industry Readiness Program",ISNUMBER(SEARCH("Talenlio",F360))),9,
OR(ISNUMBER(SEARCH("Innovation",F360)),F360="Mini Project"),10,
OR(ISNUMBER(SEARCH("Data Science",F360)),ISNUMBER(SEARCH("DS",F360))),11,
ISNUMBER(SEARCH("Generative AI",F360)),12
=_xlfn.IFS(
OR(F360="Selenium (Hands-on)",F360="Guest Lecture: HR Interview"),6,
OR(F360="Soft Skill",F360="Soft Skill (Examination)",F360="AWS Training",F360="AWS Session"),7,
OR(ISNUMBER(SEARCH("MAD",F360)),ISNUMBER(SEARCH("STQA",F360)),F360="CI/CD Session"),8,
OR(ISNUMBER(SEARCH("Cloud",F360)),F360="Industry Readiness Program",ISNUMBER(SEARCH("Talenlio",F360))),9,
OR(ISNUMBER(SEARCH("Innovation",F360)),F360="Mini Project"),10,
OR(ISNUMBER(SEARCH("Data Science",F360)),ISNUMBER(SEARCH("DS",F360))),11,
ISNUMBER(SEARCH("Generative AI",F360)),12
=_xlfn.IFS(
OR(F360="Selenium (Hands-on)",F360="Guest Lecture: HR Interview"),6,
OR(F360="Soft Skill",F360="Soft Skill (Examination)",F360="AWS Training",F360="AWS Session"),7,
OR(ISNUMBER(SEARCH("MAD",F360)),ISNUMBER(SEARCH("STQA",F360)),F360="CI/CD Session"),8,
OR(ISNUMBER(SEARCH("Cloud",F360)),F360="Industry Readiness Program",ISNUMBER(SEARCH("Talenlio",F360))),9,
OR(ISNUMBER(SEARCH("Innovation",F360)),F360="Mini Project"),10,
OR(ISNUMBER(SEARCH("Data Science",F360)),ISNUMBER(SEARCH("DS",F360))),11,
ISNUMBER(SEARCH("Generative AI",F360)),12
=_xlfn.IFS(
OR(F360="Selenium (Hands-on)",F360="Guest Lecture: HR Interview"),6,
OR(F360="Soft Skill",F360="Soft Skill (Examination)",F360="AWS Training",F360="AWS Session"),7,
OR(ISNUMBER(SEARCH("MAD",F360)),ISNUMBER(SEARCH("STQA",F360)),F360="CI/CD Session"),8,
OR(ISNUMBER(SEARCH("Cloud",F360)),F360="Industry Readiness Program",ISNUMBER(SEARCH("Talenlio",F360))),9,
OR(ISNUMBER(SEARCH("Innovation",F360)),F360="Mini Project"),10,
OR(ISNUMBER(SEARCH("Data Science",F360)),ISNUMBER(SEARCH("DS",F360))),11,
ISNUMBER(SEARCH("Generative AI",F360)),12
))))</f>
        <v>8</v>
      </c>
      <c r="X360" s="3">
        <v>3</v>
      </c>
      <c r="Y360" s="3">
        <v>15</v>
      </c>
      <c r="Z360" s="3" t="s">
        <v>35</v>
      </c>
    </row>
    <row r="361" spans="1:26" x14ac:dyDescent="0.3">
      <c r="A361" s="2">
        <v>46202</v>
      </c>
      <c r="B361" s="3" t="s">
        <v>26</v>
      </c>
      <c r="C361" s="3">
        <v>3</v>
      </c>
      <c r="D361" s="4">
        <v>0.42708333333333298</v>
      </c>
      <c r="E361" s="4">
        <v>0.46875</v>
      </c>
      <c r="F361" s="3" t="s">
        <v>53</v>
      </c>
      <c r="G361" s="3" t="s">
        <v>54</v>
      </c>
      <c r="H361" s="3" t="s">
        <v>29</v>
      </c>
      <c r="I361" s="3" t="s">
        <v>30</v>
      </c>
      <c r="J361" s="3" t="s">
        <v>84</v>
      </c>
      <c r="K361" s="3" t="s">
        <v>52</v>
      </c>
      <c r="L361" s="5">
        <v>102</v>
      </c>
      <c r="M361" s="5">
        <f t="shared" ca="1" si="25"/>
        <v>100</v>
      </c>
      <c r="N361" s="6">
        <f t="shared" ca="1" si="26"/>
        <v>98.039215686274503</v>
      </c>
      <c r="O361" s="3" cm="1">
        <f t="array" aca="1" ref="O361" ca="1">IFERROR(LOOKUP(2, 1/((F$1:F360=F361)*(J$1:J360=J361)*(ROW(F$1:F360)&lt;ROW(F361))), N$1:N360), "")</f>
        <v>66.666666666666657</v>
      </c>
      <c r="P361" s="3">
        <f t="shared" si="29"/>
        <v>0</v>
      </c>
      <c r="Q361" s="3" t="s">
        <v>33</v>
      </c>
      <c r="R361" s="3" t="s">
        <v>40</v>
      </c>
      <c r="S361" s="3" t="str">
        <f t="shared" si="27"/>
        <v>No</v>
      </c>
      <c r="T361" s="3" t="s">
        <v>34</v>
      </c>
      <c r="U361" s="3" t="str">
        <f t="shared" si="28"/>
        <v>Cloudy</v>
      </c>
      <c r="V361" s="3" t="s">
        <v>40</v>
      </c>
      <c r="W361" s="3" cm="1">
        <f t="array" ref="W361">_xlfn.IFS(
OR(F361="Selenium (Hands-on)",F361="Guest Lecture: HR Interview"),6,
OR(F361="Soft Skill",F361="Soft Skill (Examination)",F361="AWS Training",F361="AWS Session"),7,
OR(ISNUMBER(SEARCH("MAD",F361)),ISNUMBER(SEARCH("STQA",F361)),F361="CI/CD Session"),8,
OR(ISNUMBER(SEARCH("Cloud",F361)),F361="Industry Readiness Program",ISNUMBER(SEARCH("Talenlio",F361))),9,
OR(ISNUMBER(SEARCH("Innovation",F361)),F361="Mini Project"),10,
OR(ISNUMBER(SEARCH("Data Science",F361)),ISNUMBER(SEARCH("DS",F361))),11,
ISNUMBER(SEARCH("Generative AI",F361)),12
=_xlfn.IFS(
OR(F361="Selenium (Hands-on)",F361="Guest Lecture: HR Interview"),6,
OR(F361="Soft Skill",F361="Soft Skill (Examination)",F361="AWS Training",F361="AWS Session"),7,
OR(ISNUMBER(SEARCH("MAD",F361)),ISNUMBER(SEARCH("STQA",F361)),F361="CI/CD Session"),8,
OR(ISNUMBER(SEARCH("Cloud",F361)),F361="Industry Readiness Program",ISNUMBER(SEARCH("Talenlio",F361))),9,
OR(ISNUMBER(SEARCH("Innovation",F361)),F361="Mini Project"),10,
OR(ISNUMBER(SEARCH("Data Science",F361)),ISNUMBER(SEARCH("DS",F361))),11,
ISNUMBER(SEARCH("Generative AI",F361)),12
=_xlfn.IFS(
OR(F361="Selenium (Hands-on)",F361="Guest Lecture: HR Interview"),6,
OR(F361="Soft Skill",F361="Soft Skill (Examination)",F361="AWS Training",F361="AWS Session"),7,
OR(ISNUMBER(SEARCH("MAD",F361)),ISNUMBER(SEARCH("STQA",F361)),F361="CI/CD Session"),8,
OR(ISNUMBER(SEARCH("Cloud",F361)),F361="Industry Readiness Program",ISNUMBER(SEARCH("Talenlio",F361))),9,
OR(ISNUMBER(SEARCH("Innovation",F361)),F361="Mini Project"),10,
OR(ISNUMBER(SEARCH("Data Science",F361)),ISNUMBER(SEARCH("DS",F361))),11,
ISNUMBER(SEARCH("Generative AI",F361)),12
=_xlfn.IFS(
OR(F361="Selenium (Hands-on)",F361="Guest Lecture: HR Interview"),6,
OR(F361="Soft Skill",F361="Soft Skill (Examination)",F361="AWS Training",F361="AWS Session"),7,
OR(ISNUMBER(SEARCH("MAD",F361)),ISNUMBER(SEARCH("STQA",F361)),F361="CI/CD Session"),8,
OR(ISNUMBER(SEARCH("Cloud",F361)),F361="Industry Readiness Program",ISNUMBER(SEARCH("Talenlio",F361))),9,
OR(ISNUMBER(SEARCH("Innovation",F361)),F361="Mini Project"),10,
OR(ISNUMBER(SEARCH("Data Science",F361)),ISNUMBER(SEARCH("DS",F361))),11,
ISNUMBER(SEARCH("Generative AI",F361)),12
))))</f>
        <v>10</v>
      </c>
      <c r="X361" s="3">
        <v>3</v>
      </c>
      <c r="Y361" s="3">
        <v>15</v>
      </c>
      <c r="Z361" s="3" t="s">
        <v>35</v>
      </c>
    </row>
    <row r="362" spans="1:26" x14ac:dyDescent="0.3">
      <c r="A362" s="2">
        <v>46202</v>
      </c>
      <c r="B362" s="3" t="s">
        <v>26</v>
      </c>
      <c r="C362" s="3">
        <v>4</v>
      </c>
      <c r="D362" s="4">
        <v>0.46875</v>
      </c>
      <c r="E362" s="4">
        <v>0.51041666666666696</v>
      </c>
      <c r="F362" s="3" t="s">
        <v>53</v>
      </c>
      <c r="G362" s="3" t="s">
        <v>54</v>
      </c>
      <c r="H362" s="3" t="s">
        <v>29</v>
      </c>
      <c r="I362" s="3" t="s">
        <v>30</v>
      </c>
      <c r="J362" s="3" t="s">
        <v>84</v>
      </c>
      <c r="K362" s="3" t="s">
        <v>52</v>
      </c>
      <c r="L362" s="5">
        <v>102</v>
      </c>
      <c r="M362" s="5">
        <f t="shared" ca="1" si="25"/>
        <v>99</v>
      </c>
      <c r="N362" s="6">
        <f t="shared" ca="1" si="26"/>
        <v>97.058823529411768</v>
      </c>
      <c r="O362" s="3" cm="1">
        <f t="array" aca="1" ref="O362" ca="1">IFERROR(LOOKUP(2, 1/((F$1:F361=F362)*(J$1:J361=J362)*(ROW(F$1:F361)&lt;ROW(F362))), N$1:N361), "")</f>
        <v>98.039215686274503</v>
      </c>
      <c r="P362" s="3">
        <f t="shared" si="29"/>
        <v>0</v>
      </c>
      <c r="Q362" s="3" t="s">
        <v>33</v>
      </c>
      <c r="R362" s="3" t="s">
        <v>40</v>
      </c>
      <c r="S362" s="3" t="str">
        <f t="shared" si="27"/>
        <v>No</v>
      </c>
      <c r="T362" s="3" t="s">
        <v>34</v>
      </c>
      <c r="U362" s="3" t="str">
        <f t="shared" si="28"/>
        <v>Cloudy</v>
      </c>
      <c r="V362" s="3" t="s">
        <v>40</v>
      </c>
      <c r="W362" s="3" cm="1">
        <f t="array" ref="W362">_xlfn.IFS(
OR(F362="Selenium (Hands-on)",F362="Guest Lecture: HR Interview"),6,
OR(F362="Soft Skill",F362="Soft Skill (Examination)",F362="AWS Training",F362="AWS Session"),7,
OR(ISNUMBER(SEARCH("MAD",F362)),ISNUMBER(SEARCH("STQA",F362)),F362="CI/CD Session"),8,
OR(ISNUMBER(SEARCH("Cloud",F362)),F362="Industry Readiness Program",ISNUMBER(SEARCH("Talenlio",F362))),9,
OR(ISNUMBER(SEARCH("Innovation",F362)),F362="Mini Project"),10,
OR(ISNUMBER(SEARCH("Data Science",F362)),ISNUMBER(SEARCH("DS",F362))),11,
ISNUMBER(SEARCH("Generative AI",F362)),12
=_xlfn.IFS(
OR(F362="Selenium (Hands-on)",F362="Guest Lecture: HR Interview"),6,
OR(F362="Soft Skill",F362="Soft Skill (Examination)",F362="AWS Training",F362="AWS Session"),7,
OR(ISNUMBER(SEARCH("MAD",F362)),ISNUMBER(SEARCH("STQA",F362)),F362="CI/CD Session"),8,
OR(ISNUMBER(SEARCH("Cloud",F362)),F362="Industry Readiness Program",ISNUMBER(SEARCH("Talenlio",F362))),9,
OR(ISNUMBER(SEARCH("Innovation",F362)),F362="Mini Project"),10,
OR(ISNUMBER(SEARCH("Data Science",F362)),ISNUMBER(SEARCH("DS",F362))),11,
ISNUMBER(SEARCH("Generative AI",F362)),12
=_xlfn.IFS(
OR(F362="Selenium (Hands-on)",F362="Guest Lecture: HR Interview"),6,
OR(F362="Soft Skill",F362="Soft Skill (Examination)",F362="AWS Training",F362="AWS Session"),7,
OR(ISNUMBER(SEARCH("MAD",F362)),ISNUMBER(SEARCH("STQA",F362)),F362="CI/CD Session"),8,
OR(ISNUMBER(SEARCH("Cloud",F362)),F362="Industry Readiness Program",ISNUMBER(SEARCH("Talenlio",F362))),9,
OR(ISNUMBER(SEARCH("Innovation",F362)),F362="Mini Project"),10,
OR(ISNUMBER(SEARCH("Data Science",F362)),ISNUMBER(SEARCH("DS",F362))),11,
ISNUMBER(SEARCH("Generative AI",F362)),12
=_xlfn.IFS(
OR(F362="Selenium (Hands-on)",F362="Guest Lecture: HR Interview"),6,
OR(F362="Soft Skill",F362="Soft Skill (Examination)",F362="AWS Training",F362="AWS Session"),7,
OR(ISNUMBER(SEARCH("MAD",F362)),ISNUMBER(SEARCH("STQA",F362)),F362="CI/CD Session"),8,
OR(ISNUMBER(SEARCH("Cloud",F362)),F362="Industry Readiness Program",ISNUMBER(SEARCH("Talenlio",F362))),9,
OR(ISNUMBER(SEARCH("Innovation",F362)),F362="Mini Project"),10,
OR(ISNUMBER(SEARCH("Data Science",F362)),ISNUMBER(SEARCH("DS",F362))),11,
ISNUMBER(SEARCH("Generative AI",F362)),12
))))</f>
        <v>10</v>
      </c>
      <c r="X362" s="3">
        <v>3</v>
      </c>
      <c r="Y362" s="3">
        <v>15</v>
      </c>
      <c r="Z362" s="3" t="s">
        <v>35</v>
      </c>
    </row>
    <row r="363" spans="1:26" x14ac:dyDescent="0.3">
      <c r="A363" s="2">
        <v>46202</v>
      </c>
      <c r="B363" s="3" t="s">
        <v>26</v>
      </c>
      <c r="C363" s="3">
        <v>5</v>
      </c>
      <c r="D363" s="4">
        <v>0.5625</v>
      </c>
      <c r="E363" s="4">
        <v>0.60416666666666696</v>
      </c>
      <c r="F363" s="3" t="s">
        <v>55</v>
      </c>
      <c r="G363" s="3" t="s">
        <v>56</v>
      </c>
      <c r="H363" s="3" t="s">
        <v>29</v>
      </c>
      <c r="I363" s="3" t="s">
        <v>30</v>
      </c>
      <c r="J363" s="3" t="s">
        <v>84</v>
      </c>
      <c r="K363" s="3" t="s">
        <v>52</v>
      </c>
      <c r="L363" s="5">
        <v>102</v>
      </c>
      <c r="M363" s="5">
        <f t="shared" ca="1" si="25"/>
        <v>89</v>
      </c>
      <c r="N363" s="6">
        <f t="shared" ca="1" si="26"/>
        <v>87.254901960784309</v>
      </c>
      <c r="O363" s="3" cm="1">
        <f t="array" aca="1" ref="O363" ca="1">IFERROR(LOOKUP(2, 1/((F$1:F362=F363)*(J$1:J362=J363)*(ROW(F$1:F362)&lt;ROW(F363))), N$1:N362), "")</f>
        <v>67.64705882352942</v>
      </c>
      <c r="P363" s="3">
        <f t="shared" si="29"/>
        <v>1.25</v>
      </c>
      <c r="Q363" s="3" t="s">
        <v>43</v>
      </c>
      <c r="R363" s="3" t="s">
        <v>40</v>
      </c>
      <c r="S363" s="3" t="str">
        <f t="shared" si="27"/>
        <v>No</v>
      </c>
      <c r="T363" s="3" t="s">
        <v>34</v>
      </c>
      <c r="U363" s="3" t="str">
        <f t="shared" si="28"/>
        <v>Cloudy</v>
      </c>
      <c r="V363" s="3" t="s">
        <v>40</v>
      </c>
      <c r="W363" s="3" cm="1">
        <f t="array" ref="W363">_xlfn.IFS(
OR(F363="Selenium (Hands-on)",F363="Guest Lecture: HR Interview"),6,
OR(F363="Soft Skill",F363="Soft Skill (Examination)",F363="AWS Training",F363="AWS Session"),7,
OR(ISNUMBER(SEARCH("MAD",F363)),ISNUMBER(SEARCH("STQA",F363)),F363="CI/CD Session"),8,
OR(ISNUMBER(SEARCH("Cloud",F363)),F363="Industry Readiness Program",ISNUMBER(SEARCH("Talenlio",F363))),9,
OR(ISNUMBER(SEARCH("Innovation",F363)),F363="Mini Project"),10,
OR(ISNUMBER(SEARCH("Data Science",F363)),ISNUMBER(SEARCH("DS",F363))),11,
ISNUMBER(SEARCH("Generative AI",F363)),12
=_xlfn.IFS(
OR(F363="Selenium (Hands-on)",F363="Guest Lecture: HR Interview"),6,
OR(F363="Soft Skill",F363="Soft Skill (Examination)",F363="AWS Training",F363="AWS Session"),7,
OR(ISNUMBER(SEARCH("MAD",F363)),ISNUMBER(SEARCH("STQA",F363)),F363="CI/CD Session"),8,
OR(ISNUMBER(SEARCH("Cloud",F363)),F363="Industry Readiness Program",ISNUMBER(SEARCH("Talenlio",F363))),9,
OR(ISNUMBER(SEARCH("Innovation",F363)),F363="Mini Project"),10,
OR(ISNUMBER(SEARCH("Data Science",F363)),ISNUMBER(SEARCH("DS",F363))),11,
ISNUMBER(SEARCH("Generative AI",F363)),12
=_xlfn.IFS(
OR(F363="Selenium (Hands-on)",F363="Guest Lecture: HR Interview"),6,
OR(F363="Soft Skill",F363="Soft Skill (Examination)",F363="AWS Training",F363="AWS Session"),7,
OR(ISNUMBER(SEARCH("MAD",F363)),ISNUMBER(SEARCH("STQA",F363)),F363="CI/CD Session"),8,
OR(ISNUMBER(SEARCH("Cloud",F363)),F363="Industry Readiness Program",ISNUMBER(SEARCH("Talenlio",F363))),9,
OR(ISNUMBER(SEARCH("Innovation",F363)),F363="Mini Project"),10,
OR(ISNUMBER(SEARCH("Data Science",F363)),ISNUMBER(SEARCH("DS",F363))),11,
ISNUMBER(SEARCH("Generative AI",F363)),12
=_xlfn.IFS(
OR(F363="Selenium (Hands-on)",F363="Guest Lecture: HR Interview"),6,
OR(F363="Soft Skill",F363="Soft Skill (Examination)",F363="AWS Training",F363="AWS Session"),7,
OR(ISNUMBER(SEARCH("MAD",F363)),ISNUMBER(SEARCH("STQA",F363)),F363="CI/CD Session"),8,
OR(ISNUMBER(SEARCH("Cloud",F363)),F363="Industry Readiness Program",ISNUMBER(SEARCH("Talenlio",F363))),9,
OR(ISNUMBER(SEARCH("Innovation",F363)),F363="Mini Project"),10,
OR(ISNUMBER(SEARCH("Data Science",F363)),ISNUMBER(SEARCH("DS",F363))),11,
ISNUMBER(SEARCH("Generative AI",F363)),12
))))</f>
        <v>8</v>
      </c>
      <c r="X363" s="3">
        <v>3</v>
      </c>
      <c r="Y363" s="3">
        <v>15</v>
      </c>
      <c r="Z363" s="3" t="s">
        <v>38</v>
      </c>
    </row>
    <row r="364" spans="1:26" x14ac:dyDescent="0.3">
      <c r="A364" s="2">
        <v>46202</v>
      </c>
      <c r="B364" s="3" t="s">
        <v>26</v>
      </c>
      <c r="C364" s="3">
        <v>6</v>
      </c>
      <c r="D364" s="4">
        <v>0.60416666666666696</v>
      </c>
      <c r="E364" s="4">
        <v>0.64583333333333304</v>
      </c>
      <c r="F364" s="3" t="s">
        <v>55</v>
      </c>
      <c r="G364" s="3" t="s">
        <v>56</v>
      </c>
      <c r="H364" s="3" t="s">
        <v>29</v>
      </c>
      <c r="I364" s="3" t="s">
        <v>30</v>
      </c>
      <c r="J364" s="3" t="s">
        <v>84</v>
      </c>
      <c r="K364" s="3" t="s">
        <v>52</v>
      </c>
      <c r="L364" s="5">
        <v>102</v>
      </c>
      <c r="M364" s="5">
        <f t="shared" ca="1" si="25"/>
        <v>82</v>
      </c>
      <c r="N364" s="6">
        <f t="shared" ca="1" si="26"/>
        <v>80.392156862745097</v>
      </c>
      <c r="O364" s="3" cm="1">
        <f t="array" aca="1" ref="O364" ca="1">IFERROR(LOOKUP(2, 1/((F$1:F363=F364)*(J$1:J363=J364)*(ROW(F$1:F363)&lt;ROW(F364))), N$1:N363), "")</f>
        <v>87.254901960784309</v>
      </c>
      <c r="P364" s="3">
        <f t="shared" si="29"/>
        <v>0</v>
      </c>
      <c r="Q364" s="3" t="s">
        <v>43</v>
      </c>
      <c r="R364" s="3" t="s">
        <v>40</v>
      </c>
      <c r="S364" s="3" t="str">
        <f t="shared" si="27"/>
        <v>No</v>
      </c>
      <c r="T364" s="3" t="s">
        <v>34</v>
      </c>
      <c r="U364" s="3" t="str">
        <f t="shared" si="28"/>
        <v>Cloudy</v>
      </c>
      <c r="V364" s="3" t="s">
        <v>40</v>
      </c>
      <c r="W364" s="3" cm="1">
        <f t="array" ref="W364">_xlfn.IFS(
OR(F364="Selenium (Hands-on)",F364="Guest Lecture: HR Interview"),6,
OR(F364="Soft Skill",F364="Soft Skill (Examination)",F364="AWS Training",F364="AWS Session"),7,
OR(ISNUMBER(SEARCH("MAD",F364)),ISNUMBER(SEARCH("STQA",F364)),F364="CI/CD Session"),8,
OR(ISNUMBER(SEARCH("Cloud",F364)),F364="Industry Readiness Program",ISNUMBER(SEARCH("Talenlio",F364))),9,
OR(ISNUMBER(SEARCH("Innovation",F364)),F364="Mini Project"),10,
OR(ISNUMBER(SEARCH("Data Science",F364)),ISNUMBER(SEARCH("DS",F364))),11,
ISNUMBER(SEARCH("Generative AI",F364)),12
=_xlfn.IFS(
OR(F364="Selenium (Hands-on)",F364="Guest Lecture: HR Interview"),6,
OR(F364="Soft Skill",F364="Soft Skill (Examination)",F364="AWS Training",F364="AWS Session"),7,
OR(ISNUMBER(SEARCH("MAD",F364)),ISNUMBER(SEARCH("STQA",F364)),F364="CI/CD Session"),8,
OR(ISNUMBER(SEARCH("Cloud",F364)),F364="Industry Readiness Program",ISNUMBER(SEARCH("Talenlio",F364))),9,
OR(ISNUMBER(SEARCH("Innovation",F364)),F364="Mini Project"),10,
OR(ISNUMBER(SEARCH("Data Science",F364)),ISNUMBER(SEARCH("DS",F364))),11,
ISNUMBER(SEARCH("Generative AI",F364)),12
=_xlfn.IFS(
OR(F364="Selenium (Hands-on)",F364="Guest Lecture: HR Interview"),6,
OR(F364="Soft Skill",F364="Soft Skill (Examination)",F364="AWS Training",F364="AWS Session"),7,
OR(ISNUMBER(SEARCH("MAD",F364)),ISNUMBER(SEARCH("STQA",F364)),F364="CI/CD Session"),8,
OR(ISNUMBER(SEARCH("Cloud",F364)),F364="Industry Readiness Program",ISNUMBER(SEARCH("Talenlio",F364))),9,
OR(ISNUMBER(SEARCH("Innovation",F364)),F364="Mini Project"),10,
OR(ISNUMBER(SEARCH("Data Science",F364)),ISNUMBER(SEARCH("DS",F364))),11,
ISNUMBER(SEARCH("Generative AI",F364)),12
=_xlfn.IFS(
OR(F364="Selenium (Hands-on)",F364="Guest Lecture: HR Interview"),6,
OR(F364="Soft Skill",F364="Soft Skill (Examination)",F364="AWS Training",F364="AWS Session"),7,
OR(ISNUMBER(SEARCH("MAD",F364)),ISNUMBER(SEARCH("STQA",F364)),F364="CI/CD Session"),8,
OR(ISNUMBER(SEARCH("Cloud",F364)),F364="Industry Readiness Program",ISNUMBER(SEARCH("Talenlio",F364))),9,
OR(ISNUMBER(SEARCH("Innovation",F364)),F364="Mini Project"),10,
OR(ISNUMBER(SEARCH("Data Science",F364)),ISNUMBER(SEARCH("DS",F364))),11,
ISNUMBER(SEARCH("Generative AI",F364)),12
))))</f>
        <v>8</v>
      </c>
      <c r="X364" s="3">
        <v>3</v>
      </c>
      <c r="Y364" s="3">
        <v>15</v>
      </c>
      <c r="Z364" s="3" t="s">
        <v>38</v>
      </c>
    </row>
    <row r="365" spans="1:26" x14ac:dyDescent="0.3">
      <c r="A365" s="2">
        <v>46203</v>
      </c>
      <c r="B365" s="3" t="s">
        <v>39</v>
      </c>
      <c r="C365" s="3">
        <v>1</v>
      </c>
      <c r="D365" s="4">
        <v>0.35416666666666702</v>
      </c>
      <c r="E365" s="4">
        <v>0.38541666666666702</v>
      </c>
      <c r="F365" s="3" t="s">
        <v>50</v>
      </c>
      <c r="G365" s="3" t="s">
        <v>51</v>
      </c>
      <c r="H365" s="3" t="s">
        <v>29</v>
      </c>
      <c r="I365" s="3" t="s">
        <v>30</v>
      </c>
      <c r="J365" s="3" t="s">
        <v>84</v>
      </c>
      <c r="K365" s="3" t="s">
        <v>52</v>
      </c>
      <c r="L365" s="5">
        <v>102</v>
      </c>
      <c r="M365" s="5">
        <f t="shared" ca="1" si="25"/>
        <v>73</v>
      </c>
      <c r="N365" s="6">
        <f t="shared" ca="1" si="26"/>
        <v>71.568627450980387</v>
      </c>
      <c r="O365" s="3" cm="1">
        <f t="array" aca="1" ref="O365" ca="1">IFERROR(LOOKUP(2, 1/((F$1:F364=F365)*(J$1:J364=J365)*(ROW(F$1:F364)&lt;ROW(F365))), N$1:N364), "")</f>
        <v>58.82352941176471</v>
      </c>
      <c r="P365" s="3">
        <f t="shared" si="29"/>
        <v>0</v>
      </c>
      <c r="Q365" s="3" t="s">
        <v>43</v>
      </c>
      <c r="R365" s="3" t="s">
        <v>40</v>
      </c>
      <c r="S365" s="3" t="str">
        <f t="shared" si="27"/>
        <v>No</v>
      </c>
      <c r="T365" s="3" t="s">
        <v>40</v>
      </c>
      <c r="U365" s="3" t="str">
        <f t="shared" si="28"/>
        <v>Cloudy</v>
      </c>
      <c r="V365" s="3" t="s">
        <v>40</v>
      </c>
      <c r="W365" s="3" cm="1">
        <f t="array" ref="W365">_xlfn.IFS(
OR(F365="Selenium (Hands-on)",F365="Guest Lecture: HR Interview"),6,
OR(F365="Soft Skill",F365="Soft Skill (Examination)",F365="AWS Training",F365="AWS Session"),7,
OR(ISNUMBER(SEARCH("MAD",F365)),ISNUMBER(SEARCH("STQA",F365)),F365="CI/CD Session"),8,
OR(ISNUMBER(SEARCH("Cloud",F365)),F365="Industry Readiness Program",ISNUMBER(SEARCH("Talenlio",F365))),9,
OR(ISNUMBER(SEARCH("Innovation",F365)),F365="Mini Project"),10,
OR(ISNUMBER(SEARCH("Data Science",F365)),ISNUMBER(SEARCH("DS",F365))),11,
ISNUMBER(SEARCH("Generative AI",F365)),12
=_xlfn.IFS(
OR(F365="Selenium (Hands-on)",F365="Guest Lecture: HR Interview"),6,
OR(F365="Soft Skill",F365="Soft Skill (Examination)",F365="AWS Training",F365="AWS Session"),7,
OR(ISNUMBER(SEARCH("MAD",F365)),ISNUMBER(SEARCH("STQA",F365)),F365="CI/CD Session"),8,
OR(ISNUMBER(SEARCH("Cloud",F365)),F365="Industry Readiness Program",ISNUMBER(SEARCH("Talenlio",F365))),9,
OR(ISNUMBER(SEARCH("Innovation",F365)),F365="Mini Project"),10,
OR(ISNUMBER(SEARCH("Data Science",F365)),ISNUMBER(SEARCH("DS",F365))),11,
ISNUMBER(SEARCH("Generative AI",F365)),12
=_xlfn.IFS(
OR(F365="Selenium (Hands-on)",F365="Guest Lecture: HR Interview"),6,
OR(F365="Soft Skill",F365="Soft Skill (Examination)",F365="AWS Training",F365="AWS Session"),7,
OR(ISNUMBER(SEARCH("MAD",F365)),ISNUMBER(SEARCH("STQA",F365)),F365="CI/CD Session"),8,
OR(ISNUMBER(SEARCH("Cloud",F365)),F365="Industry Readiness Program",ISNUMBER(SEARCH("Talenlio",F365))),9,
OR(ISNUMBER(SEARCH("Innovation",F365)),F365="Mini Project"),10,
OR(ISNUMBER(SEARCH("Data Science",F365)),ISNUMBER(SEARCH("DS",F365))),11,
ISNUMBER(SEARCH("Generative AI",F365)),12
=_xlfn.IFS(
OR(F365="Selenium (Hands-on)",F365="Guest Lecture: HR Interview"),6,
OR(F365="Soft Skill",F365="Soft Skill (Examination)",F365="AWS Training",F365="AWS Session"),7,
OR(ISNUMBER(SEARCH("MAD",F365)),ISNUMBER(SEARCH("STQA",F365)),F365="CI/CD Session"),8,
OR(ISNUMBER(SEARCH("Cloud",F365)),F365="Industry Readiness Program",ISNUMBER(SEARCH("Talenlio",F365))),9,
OR(ISNUMBER(SEARCH("Innovation",F365)),F365="Mini Project"),10,
OR(ISNUMBER(SEARCH("Data Science",F365)),ISNUMBER(SEARCH("DS",F365))),11,
ISNUMBER(SEARCH("Generative AI",F365)),12
))))</f>
        <v>8</v>
      </c>
      <c r="X365" s="3">
        <v>3</v>
      </c>
      <c r="Y365" s="3">
        <v>16</v>
      </c>
      <c r="Z365" s="3" t="s">
        <v>35</v>
      </c>
    </row>
    <row r="366" spans="1:26" x14ac:dyDescent="0.3">
      <c r="A366" s="2">
        <v>46203</v>
      </c>
      <c r="B366" s="3" t="s">
        <v>39</v>
      </c>
      <c r="C366" s="3">
        <v>2</v>
      </c>
      <c r="D366" s="4">
        <v>0.38541666666666702</v>
      </c>
      <c r="E366" s="4">
        <v>0.42708333333333298</v>
      </c>
      <c r="F366" s="3" t="s">
        <v>50</v>
      </c>
      <c r="G366" s="3" t="s">
        <v>51</v>
      </c>
      <c r="H366" s="3" t="s">
        <v>29</v>
      </c>
      <c r="I366" s="3" t="s">
        <v>30</v>
      </c>
      <c r="J366" s="3" t="s">
        <v>84</v>
      </c>
      <c r="K366" s="3" t="s">
        <v>52</v>
      </c>
      <c r="L366" s="5">
        <v>102</v>
      </c>
      <c r="M366" s="5">
        <f t="shared" ca="1" si="25"/>
        <v>55</v>
      </c>
      <c r="N366" s="6">
        <f t="shared" ca="1" si="26"/>
        <v>53.921568627450981</v>
      </c>
      <c r="O366" s="3" cm="1">
        <f t="array" aca="1" ref="O366" ca="1">IFERROR(LOOKUP(2, 1/((F$1:F365=F366)*(J$1:J365=J366)*(ROW(F$1:F365)&lt;ROW(F366))), N$1:N365), "")</f>
        <v>71.568627450980387</v>
      </c>
      <c r="P366" s="3">
        <f t="shared" si="29"/>
        <v>0</v>
      </c>
      <c r="Q366" s="3" t="s">
        <v>43</v>
      </c>
      <c r="R366" s="3" t="s">
        <v>40</v>
      </c>
      <c r="S366" s="3" t="str">
        <f t="shared" si="27"/>
        <v>No</v>
      </c>
      <c r="T366" s="3" t="s">
        <v>40</v>
      </c>
      <c r="U366" s="3" t="str">
        <f t="shared" si="28"/>
        <v>Cloudy</v>
      </c>
      <c r="V366" s="3" t="s">
        <v>40</v>
      </c>
      <c r="W366" s="3" cm="1">
        <f t="array" ref="W366">_xlfn.IFS(
OR(F366="Selenium (Hands-on)",F366="Guest Lecture: HR Interview"),6,
OR(F366="Soft Skill",F366="Soft Skill (Examination)",F366="AWS Training",F366="AWS Session"),7,
OR(ISNUMBER(SEARCH("MAD",F366)),ISNUMBER(SEARCH("STQA",F366)),F366="CI/CD Session"),8,
OR(ISNUMBER(SEARCH("Cloud",F366)),F366="Industry Readiness Program",ISNUMBER(SEARCH("Talenlio",F366))),9,
OR(ISNUMBER(SEARCH("Innovation",F366)),F366="Mini Project"),10,
OR(ISNUMBER(SEARCH("Data Science",F366)),ISNUMBER(SEARCH("DS",F366))),11,
ISNUMBER(SEARCH("Generative AI",F366)),12
=_xlfn.IFS(
OR(F366="Selenium (Hands-on)",F366="Guest Lecture: HR Interview"),6,
OR(F366="Soft Skill",F366="Soft Skill (Examination)",F366="AWS Training",F366="AWS Session"),7,
OR(ISNUMBER(SEARCH("MAD",F366)),ISNUMBER(SEARCH("STQA",F366)),F366="CI/CD Session"),8,
OR(ISNUMBER(SEARCH("Cloud",F366)),F366="Industry Readiness Program",ISNUMBER(SEARCH("Talenlio",F366))),9,
OR(ISNUMBER(SEARCH("Innovation",F366)),F366="Mini Project"),10,
OR(ISNUMBER(SEARCH("Data Science",F366)),ISNUMBER(SEARCH("DS",F366))),11,
ISNUMBER(SEARCH("Generative AI",F366)),12
=_xlfn.IFS(
OR(F366="Selenium (Hands-on)",F366="Guest Lecture: HR Interview"),6,
OR(F366="Soft Skill",F366="Soft Skill (Examination)",F366="AWS Training",F366="AWS Session"),7,
OR(ISNUMBER(SEARCH("MAD",F366)),ISNUMBER(SEARCH("STQA",F366)),F366="CI/CD Session"),8,
OR(ISNUMBER(SEARCH("Cloud",F366)),F366="Industry Readiness Program",ISNUMBER(SEARCH("Talenlio",F366))),9,
OR(ISNUMBER(SEARCH("Innovation",F366)),F366="Mini Project"),10,
OR(ISNUMBER(SEARCH("Data Science",F366)),ISNUMBER(SEARCH("DS",F366))),11,
ISNUMBER(SEARCH("Generative AI",F366)),12
=_xlfn.IFS(
OR(F366="Selenium (Hands-on)",F366="Guest Lecture: HR Interview"),6,
OR(F366="Soft Skill",F366="Soft Skill (Examination)",F366="AWS Training",F366="AWS Session"),7,
OR(ISNUMBER(SEARCH("MAD",F366)),ISNUMBER(SEARCH("STQA",F366)),F366="CI/CD Session"),8,
OR(ISNUMBER(SEARCH("Cloud",F366)),F366="Industry Readiness Program",ISNUMBER(SEARCH("Talenlio",F366))),9,
OR(ISNUMBER(SEARCH("Innovation",F366)),F366="Mini Project"),10,
OR(ISNUMBER(SEARCH("Data Science",F366)),ISNUMBER(SEARCH("DS",F366))),11,
ISNUMBER(SEARCH("Generative AI",F366)),12
))))</f>
        <v>8</v>
      </c>
      <c r="X366" s="3">
        <v>3</v>
      </c>
      <c r="Y366" s="3">
        <v>16</v>
      </c>
      <c r="Z366" s="3" t="s">
        <v>35</v>
      </c>
    </row>
    <row r="367" spans="1:26" x14ac:dyDescent="0.3">
      <c r="A367" s="2">
        <v>46203</v>
      </c>
      <c r="B367" s="3" t="s">
        <v>39</v>
      </c>
      <c r="C367" s="3">
        <v>3</v>
      </c>
      <c r="D367" s="4">
        <v>0.42708333333333298</v>
      </c>
      <c r="E367" s="4">
        <v>0.46875</v>
      </c>
      <c r="F367" s="3" t="s">
        <v>57</v>
      </c>
      <c r="G367" s="3" t="s">
        <v>58</v>
      </c>
      <c r="H367" s="3" t="s">
        <v>29</v>
      </c>
      <c r="I367" s="3" t="s">
        <v>30</v>
      </c>
      <c r="J367" s="3" t="s">
        <v>84</v>
      </c>
      <c r="K367" s="3" t="s">
        <v>52</v>
      </c>
      <c r="L367" s="5">
        <v>102</v>
      </c>
      <c r="M367" s="5">
        <f t="shared" ca="1" si="25"/>
        <v>91</v>
      </c>
      <c r="N367" s="6">
        <f t="shared" ca="1" si="26"/>
        <v>89.215686274509807</v>
      </c>
      <c r="O367" s="3" cm="1">
        <f t="array" aca="1" ref="O367" ca="1">IFERROR(LOOKUP(2, 1/((F$1:F366=F367)*(J$1:J366=J367)*(ROW(F$1:F366)&lt;ROW(F367))), N$1:N366), "")</f>
        <v>59.803921568627452</v>
      </c>
      <c r="P367" s="3">
        <f t="shared" si="29"/>
        <v>0</v>
      </c>
      <c r="Q367" s="3" t="s">
        <v>33</v>
      </c>
      <c r="R367" s="3" t="s">
        <v>40</v>
      </c>
      <c r="S367" s="3" t="str">
        <f t="shared" si="27"/>
        <v>No</v>
      </c>
      <c r="T367" s="3" t="s">
        <v>40</v>
      </c>
      <c r="U367" s="3" t="str">
        <f t="shared" si="28"/>
        <v>Cloudy</v>
      </c>
      <c r="V367" s="3" t="s">
        <v>40</v>
      </c>
      <c r="W367" s="3" cm="1">
        <f t="array" ref="W367">_xlfn.IFS(
OR(F367="Selenium (Hands-on)",F367="Guest Lecture: HR Interview"),6,
OR(F367="Soft Skill",F367="Soft Skill (Examination)",F367="AWS Training",F367="AWS Session"),7,
OR(ISNUMBER(SEARCH("MAD",F367)),ISNUMBER(SEARCH("STQA",F367)),F367="CI/CD Session"),8,
OR(ISNUMBER(SEARCH("Cloud",F367)),F367="Industry Readiness Program",ISNUMBER(SEARCH("Talenlio",F367))),9,
OR(ISNUMBER(SEARCH("Innovation",F367)),F367="Mini Project"),10,
OR(ISNUMBER(SEARCH("Data Science",F367)),ISNUMBER(SEARCH("DS",F367))),11,
ISNUMBER(SEARCH("Generative AI",F367)),12
=_xlfn.IFS(
OR(F367="Selenium (Hands-on)",F367="Guest Lecture: HR Interview"),6,
OR(F367="Soft Skill",F367="Soft Skill (Examination)",F367="AWS Training",F367="AWS Session"),7,
OR(ISNUMBER(SEARCH("MAD",F367)),ISNUMBER(SEARCH("STQA",F367)),F367="CI/CD Session"),8,
OR(ISNUMBER(SEARCH("Cloud",F367)),F367="Industry Readiness Program",ISNUMBER(SEARCH("Talenlio",F367))),9,
OR(ISNUMBER(SEARCH("Innovation",F367)),F367="Mini Project"),10,
OR(ISNUMBER(SEARCH("Data Science",F367)),ISNUMBER(SEARCH("DS",F367))),11,
ISNUMBER(SEARCH("Generative AI",F367)),12
=_xlfn.IFS(
OR(F367="Selenium (Hands-on)",F367="Guest Lecture: HR Interview"),6,
OR(F367="Soft Skill",F367="Soft Skill (Examination)",F367="AWS Training",F367="AWS Session"),7,
OR(ISNUMBER(SEARCH("MAD",F367)),ISNUMBER(SEARCH("STQA",F367)),F367="CI/CD Session"),8,
OR(ISNUMBER(SEARCH("Cloud",F367)),F367="Industry Readiness Program",ISNUMBER(SEARCH("Talenlio",F367))),9,
OR(ISNUMBER(SEARCH("Innovation",F367)),F367="Mini Project"),10,
OR(ISNUMBER(SEARCH("Data Science",F367)),ISNUMBER(SEARCH("DS",F367))),11,
ISNUMBER(SEARCH("Generative AI",F367)),12
=_xlfn.IFS(
OR(F367="Selenium (Hands-on)",F367="Guest Lecture: HR Interview"),6,
OR(F367="Soft Skill",F367="Soft Skill (Examination)",F367="AWS Training",F367="AWS Session"),7,
OR(ISNUMBER(SEARCH("MAD",F367)),ISNUMBER(SEARCH("STQA",F367)),F367="CI/CD Session"),8,
OR(ISNUMBER(SEARCH("Cloud",F367)),F367="Industry Readiness Program",ISNUMBER(SEARCH("Talenlio",F367))),9,
OR(ISNUMBER(SEARCH("Innovation",F367)),F367="Mini Project"),10,
OR(ISNUMBER(SEARCH("Data Science",F367)),ISNUMBER(SEARCH("DS",F367))),11,
ISNUMBER(SEARCH("Generative AI",F367)),12
))))</f>
        <v>9</v>
      </c>
      <c r="X367" s="3">
        <v>3</v>
      </c>
      <c r="Y367" s="3">
        <v>16</v>
      </c>
      <c r="Z367" s="3" t="s">
        <v>35</v>
      </c>
    </row>
    <row r="368" spans="1:26" x14ac:dyDescent="0.3">
      <c r="A368" s="2">
        <v>46203</v>
      </c>
      <c r="B368" s="3" t="s">
        <v>39</v>
      </c>
      <c r="C368" s="3">
        <v>4</v>
      </c>
      <c r="D368" s="4">
        <v>0.46875</v>
      </c>
      <c r="E368" s="4">
        <v>0.51041666666666696</v>
      </c>
      <c r="F368" s="3" t="s">
        <v>59</v>
      </c>
      <c r="G368" s="3" t="s">
        <v>60</v>
      </c>
      <c r="H368" s="3" t="s">
        <v>29</v>
      </c>
      <c r="I368" s="3" t="s">
        <v>30</v>
      </c>
      <c r="J368" s="3" t="s">
        <v>84</v>
      </c>
      <c r="K368" s="3" t="s">
        <v>52</v>
      </c>
      <c r="L368" s="5">
        <v>102</v>
      </c>
      <c r="M368" s="5">
        <f t="shared" ca="1" si="25"/>
        <v>44</v>
      </c>
      <c r="N368" s="6">
        <f t="shared" ca="1" si="26"/>
        <v>43.137254901960787</v>
      </c>
      <c r="O368" s="3" cm="1">
        <f t="array" aca="1" ref="O368" ca="1">IFERROR(LOOKUP(2, 1/((F$1:F367=F368)*(J$1:J367=J368)*(ROW(F$1:F367)&lt;ROW(F368))), N$1:N367), "")</f>
        <v>54.901960784313729</v>
      </c>
      <c r="P368" s="3">
        <f t="shared" si="29"/>
        <v>0</v>
      </c>
      <c r="Q368" s="3" t="s">
        <v>33</v>
      </c>
      <c r="R368" s="3" t="s">
        <v>40</v>
      </c>
      <c r="S368" s="3" t="str">
        <f t="shared" si="27"/>
        <v>No</v>
      </c>
      <c r="T368" s="3" t="s">
        <v>40</v>
      </c>
      <c r="U368" s="3" t="str">
        <f t="shared" si="28"/>
        <v>Cloudy</v>
      </c>
      <c r="V368" s="3" t="s">
        <v>40</v>
      </c>
      <c r="W368" s="3" cm="1">
        <f t="array" ref="W368">_xlfn.IFS(
OR(F368="Selenium (Hands-on)",F368="Guest Lecture: HR Interview"),6,
OR(F368="Soft Skill",F368="Soft Skill (Examination)",F368="AWS Training",F368="AWS Session"),7,
OR(ISNUMBER(SEARCH("MAD",F368)),ISNUMBER(SEARCH("STQA",F368)),F368="CI/CD Session"),8,
OR(ISNUMBER(SEARCH("Cloud",F368)),F368="Industry Readiness Program",ISNUMBER(SEARCH("Talenlio",F368))),9,
OR(ISNUMBER(SEARCH("Innovation",F368)),F368="Mini Project"),10,
OR(ISNUMBER(SEARCH("Data Science",F368)),ISNUMBER(SEARCH("DS",F368))),11,
ISNUMBER(SEARCH("Generative AI",F368)),12
=_xlfn.IFS(
OR(F368="Selenium (Hands-on)",F368="Guest Lecture: HR Interview"),6,
OR(F368="Soft Skill",F368="Soft Skill (Examination)",F368="AWS Training",F368="AWS Session"),7,
OR(ISNUMBER(SEARCH("MAD",F368)),ISNUMBER(SEARCH("STQA",F368)),F368="CI/CD Session"),8,
OR(ISNUMBER(SEARCH("Cloud",F368)),F368="Industry Readiness Program",ISNUMBER(SEARCH("Talenlio",F368))),9,
OR(ISNUMBER(SEARCH("Innovation",F368)),F368="Mini Project"),10,
OR(ISNUMBER(SEARCH("Data Science",F368)),ISNUMBER(SEARCH("DS",F368))),11,
ISNUMBER(SEARCH("Generative AI",F368)),12
=_xlfn.IFS(
OR(F368="Selenium (Hands-on)",F368="Guest Lecture: HR Interview"),6,
OR(F368="Soft Skill",F368="Soft Skill (Examination)",F368="AWS Training",F368="AWS Session"),7,
OR(ISNUMBER(SEARCH("MAD",F368)),ISNUMBER(SEARCH("STQA",F368)),F368="CI/CD Session"),8,
OR(ISNUMBER(SEARCH("Cloud",F368)),F368="Industry Readiness Program",ISNUMBER(SEARCH("Talenlio",F368))),9,
OR(ISNUMBER(SEARCH("Innovation",F368)),F368="Mini Project"),10,
OR(ISNUMBER(SEARCH("Data Science",F368)),ISNUMBER(SEARCH("DS",F368))),11,
ISNUMBER(SEARCH("Generative AI",F368)),12
=_xlfn.IFS(
OR(F368="Selenium (Hands-on)",F368="Guest Lecture: HR Interview"),6,
OR(F368="Soft Skill",F368="Soft Skill (Examination)",F368="AWS Training",F368="AWS Session"),7,
OR(ISNUMBER(SEARCH("MAD",F368)),ISNUMBER(SEARCH("STQA",F368)),F368="CI/CD Session"),8,
OR(ISNUMBER(SEARCH("Cloud",F368)),F368="Industry Readiness Program",ISNUMBER(SEARCH("Talenlio",F368))),9,
OR(ISNUMBER(SEARCH("Innovation",F368)),F368="Mini Project"),10,
OR(ISNUMBER(SEARCH("Data Science",F368)),ISNUMBER(SEARCH("DS",F368))),11,
ISNUMBER(SEARCH("Generative AI",F368)),12
))))</f>
        <v>11</v>
      </c>
      <c r="X368" s="3">
        <v>3</v>
      </c>
      <c r="Y368" s="3">
        <v>16</v>
      </c>
      <c r="Z368" s="3" t="s">
        <v>35</v>
      </c>
    </row>
    <row r="369" spans="1:26" x14ac:dyDescent="0.3">
      <c r="A369" s="2">
        <v>46203</v>
      </c>
      <c r="B369" s="3" t="s">
        <v>39</v>
      </c>
      <c r="C369" s="3">
        <v>5</v>
      </c>
      <c r="D369" s="4">
        <v>0.5625</v>
      </c>
      <c r="E369" s="4">
        <v>0.60416666666666696</v>
      </c>
      <c r="F369" s="3" t="s">
        <v>61</v>
      </c>
      <c r="G369" s="3" t="s">
        <v>60</v>
      </c>
      <c r="H369" s="3" t="s">
        <v>29</v>
      </c>
      <c r="I369" s="3" t="s">
        <v>30</v>
      </c>
      <c r="J369" s="3" t="s">
        <v>84</v>
      </c>
      <c r="K369" s="3" t="s">
        <v>52</v>
      </c>
      <c r="L369" s="5">
        <v>102</v>
      </c>
      <c r="M369" s="5">
        <f t="shared" ca="1" si="25"/>
        <v>87</v>
      </c>
      <c r="N369" s="6">
        <f t="shared" ca="1" si="26"/>
        <v>85.294117647058826</v>
      </c>
      <c r="O369" s="3" cm="1">
        <f t="array" aca="1" ref="O369" ca="1">IFERROR(LOOKUP(2, 1/((F$1:F368=F369)*(J$1:J368=J369)*(ROW(F$1:F368)&lt;ROW(F369))), N$1:N368), "")</f>
        <v>66.666666666666657</v>
      </c>
      <c r="P369" s="3">
        <f t="shared" si="29"/>
        <v>1.25</v>
      </c>
      <c r="Q369" s="3" t="s">
        <v>43</v>
      </c>
      <c r="R369" s="3" t="s">
        <v>40</v>
      </c>
      <c r="S369" s="3" t="str">
        <f t="shared" si="27"/>
        <v>No</v>
      </c>
      <c r="T369" s="3" t="s">
        <v>40</v>
      </c>
      <c r="U369" s="3" t="str">
        <f t="shared" si="28"/>
        <v>Cloudy</v>
      </c>
      <c r="V369" s="3" t="s">
        <v>40</v>
      </c>
      <c r="W369" s="3" cm="1">
        <f t="array" ref="W369">_xlfn.IFS(
OR(F369="Selenium (Hands-on)",F369="Guest Lecture: HR Interview"),6,
OR(F369="Soft Skill",F369="Soft Skill (Examination)",F369="AWS Training",F369="AWS Session"),7,
OR(ISNUMBER(SEARCH("MAD",F369)),ISNUMBER(SEARCH("STQA",F369)),F369="CI/CD Session"),8,
OR(ISNUMBER(SEARCH("Cloud",F369)),F369="Industry Readiness Program",ISNUMBER(SEARCH("Talenlio",F369))),9,
OR(ISNUMBER(SEARCH("Innovation",F369)),F369="Mini Project"),10,
OR(ISNUMBER(SEARCH("Data Science",F369)),ISNUMBER(SEARCH("DS",F369))),11,
ISNUMBER(SEARCH("Generative AI",F369)),12
=_xlfn.IFS(
OR(F369="Selenium (Hands-on)",F369="Guest Lecture: HR Interview"),6,
OR(F369="Soft Skill",F369="Soft Skill (Examination)",F369="AWS Training",F369="AWS Session"),7,
OR(ISNUMBER(SEARCH("MAD",F369)),ISNUMBER(SEARCH("STQA",F369)),F369="CI/CD Session"),8,
OR(ISNUMBER(SEARCH("Cloud",F369)),F369="Industry Readiness Program",ISNUMBER(SEARCH("Talenlio",F369))),9,
OR(ISNUMBER(SEARCH("Innovation",F369)),F369="Mini Project"),10,
OR(ISNUMBER(SEARCH("Data Science",F369)),ISNUMBER(SEARCH("DS",F369))),11,
ISNUMBER(SEARCH("Generative AI",F369)),12
=_xlfn.IFS(
OR(F369="Selenium (Hands-on)",F369="Guest Lecture: HR Interview"),6,
OR(F369="Soft Skill",F369="Soft Skill (Examination)",F369="AWS Training",F369="AWS Session"),7,
OR(ISNUMBER(SEARCH("MAD",F369)),ISNUMBER(SEARCH("STQA",F369)),F369="CI/CD Session"),8,
OR(ISNUMBER(SEARCH("Cloud",F369)),F369="Industry Readiness Program",ISNUMBER(SEARCH("Talenlio",F369))),9,
OR(ISNUMBER(SEARCH("Innovation",F369)),F369="Mini Project"),10,
OR(ISNUMBER(SEARCH("Data Science",F369)),ISNUMBER(SEARCH("DS",F369))),11,
ISNUMBER(SEARCH("Generative AI",F369)),12
=_xlfn.IFS(
OR(F369="Selenium (Hands-on)",F369="Guest Lecture: HR Interview"),6,
OR(F369="Soft Skill",F369="Soft Skill (Examination)",F369="AWS Training",F369="AWS Session"),7,
OR(ISNUMBER(SEARCH("MAD",F369)),ISNUMBER(SEARCH("STQA",F369)),F369="CI/CD Session"),8,
OR(ISNUMBER(SEARCH("Cloud",F369)),F369="Industry Readiness Program",ISNUMBER(SEARCH("Talenlio",F369))),9,
OR(ISNUMBER(SEARCH("Innovation",F369)),F369="Mini Project"),10,
OR(ISNUMBER(SEARCH("Data Science",F369)),ISNUMBER(SEARCH("DS",F369))),11,
ISNUMBER(SEARCH("Generative AI",F369)),12
))))</f>
        <v>11</v>
      </c>
      <c r="X369" s="3">
        <v>3</v>
      </c>
      <c r="Y369" s="3">
        <v>16</v>
      </c>
      <c r="Z369" s="3" t="s">
        <v>38</v>
      </c>
    </row>
    <row r="370" spans="1:26" x14ac:dyDescent="0.3">
      <c r="A370" s="2">
        <v>46203</v>
      </c>
      <c r="B370" s="3" t="s">
        <v>39</v>
      </c>
      <c r="C370" s="3">
        <v>6</v>
      </c>
      <c r="D370" s="4">
        <v>0.60416666666666696</v>
      </c>
      <c r="E370" s="4">
        <v>0.64583333333333304</v>
      </c>
      <c r="F370" s="3" t="s">
        <v>61</v>
      </c>
      <c r="G370" s="3" t="s">
        <v>60</v>
      </c>
      <c r="H370" s="3" t="s">
        <v>29</v>
      </c>
      <c r="I370" s="3" t="s">
        <v>30</v>
      </c>
      <c r="J370" s="3" t="s">
        <v>84</v>
      </c>
      <c r="K370" s="3" t="s">
        <v>52</v>
      </c>
      <c r="L370" s="5">
        <v>102</v>
      </c>
      <c r="M370" s="5">
        <f t="shared" ca="1" si="25"/>
        <v>78</v>
      </c>
      <c r="N370" s="6">
        <f t="shared" ca="1" si="26"/>
        <v>76.470588235294116</v>
      </c>
      <c r="O370" s="3" cm="1">
        <f t="array" aca="1" ref="O370" ca="1">IFERROR(LOOKUP(2, 1/((F$1:F369=F370)*(J$1:J369=J370)*(ROW(F$1:F369)&lt;ROW(F370))), N$1:N369), "")</f>
        <v>85.294117647058826</v>
      </c>
      <c r="P370" s="3">
        <f t="shared" si="29"/>
        <v>0</v>
      </c>
      <c r="Q370" s="3" t="s">
        <v>43</v>
      </c>
      <c r="R370" s="3" t="s">
        <v>40</v>
      </c>
      <c r="S370" s="3" t="str">
        <f t="shared" si="27"/>
        <v>No</v>
      </c>
      <c r="T370" s="3" t="s">
        <v>40</v>
      </c>
      <c r="U370" s="3" t="str">
        <f t="shared" si="28"/>
        <v>Cloudy</v>
      </c>
      <c r="V370" s="3" t="s">
        <v>40</v>
      </c>
      <c r="W370" s="3" cm="1">
        <f t="array" ref="W370">_xlfn.IFS(
OR(F370="Selenium (Hands-on)",F370="Guest Lecture: HR Interview"),6,
OR(F370="Soft Skill",F370="Soft Skill (Examination)",F370="AWS Training",F370="AWS Session"),7,
OR(ISNUMBER(SEARCH("MAD",F370)),ISNUMBER(SEARCH("STQA",F370)),F370="CI/CD Session"),8,
OR(ISNUMBER(SEARCH("Cloud",F370)),F370="Industry Readiness Program",ISNUMBER(SEARCH("Talenlio",F370))),9,
OR(ISNUMBER(SEARCH("Innovation",F370)),F370="Mini Project"),10,
OR(ISNUMBER(SEARCH("Data Science",F370)),ISNUMBER(SEARCH("DS",F370))),11,
ISNUMBER(SEARCH("Generative AI",F370)),12
=_xlfn.IFS(
OR(F370="Selenium (Hands-on)",F370="Guest Lecture: HR Interview"),6,
OR(F370="Soft Skill",F370="Soft Skill (Examination)",F370="AWS Training",F370="AWS Session"),7,
OR(ISNUMBER(SEARCH("MAD",F370)),ISNUMBER(SEARCH("STQA",F370)),F370="CI/CD Session"),8,
OR(ISNUMBER(SEARCH("Cloud",F370)),F370="Industry Readiness Program",ISNUMBER(SEARCH("Talenlio",F370))),9,
OR(ISNUMBER(SEARCH("Innovation",F370)),F370="Mini Project"),10,
OR(ISNUMBER(SEARCH("Data Science",F370)),ISNUMBER(SEARCH("DS",F370))),11,
ISNUMBER(SEARCH("Generative AI",F370)),12
=_xlfn.IFS(
OR(F370="Selenium (Hands-on)",F370="Guest Lecture: HR Interview"),6,
OR(F370="Soft Skill",F370="Soft Skill (Examination)",F370="AWS Training",F370="AWS Session"),7,
OR(ISNUMBER(SEARCH("MAD",F370)),ISNUMBER(SEARCH("STQA",F370)),F370="CI/CD Session"),8,
OR(ISNUMBER(SEARCH("Cloud",F370)),F370="Industry Readiness Program",ISNUMBER(SEARCH("Talenlio",F370))),9,
OR(ISNUMBER(SEARCH("Innovation",F370)),F370="Mini Project"),10,
OR(ISNUMBER(SEARCH("Data Science",F370)),ISNUMBER(SEARCH("DS",F370))),11,
ISNUMBER(SEARCH("Generative AI",F370)),12
=_xlfn.IFS(
OR(F370="Selenium (Hands-on)",F370="Guest Lecture: HR Interview"),6,
OR(F370="Soft Skill",F370="Soft Skill (Examination)",F370="AWS Training",F370="AWS Session"),7,
OR(ISNUMBER(SEARCH("MAD",F370)),ISNUMBER(SEARCH("STQA",F370)),F370="CI/CD Session"),8,
OR(ISNUMBER(SEARCH("Cloud",F370)),F370="Industry Readiness Program",ISNUMBER(SEARCH("Talenlio",F370))),9,
OR(ISNUMBER(SEARCH("Innovation",F370)),F370="Mini Project"),10,
OR(ISNUMBER(SEARCH("Data Science",F370)),ISNUMBER(SEARCH("DS",F370))),11,
ISNUMBER(SEARCH("Generative AI",F370)),12
))))</f>
        <v>11</v>
      </c>
      <c r="X370" s="3">
        <v>3</v>
      </c>
      <c r="Y370" s="3">
        <v>16</v>
      </c>
      <c r="Z370" s="3" t="s">
        <v>38</v>
      </c>
    </row>
    <row r="371" spans="1:26" x14ac:dyDescent="0.3">
      <c r="A371" s="2">
        <v>46204</v>
      </c>
      <c r="B371" s="3" t="s">
        <v>44</v>
      </c>
      <c r="C371" s="3">
        <v>1</v>
      </c>
      <c r="D371" s="4">
        <v>0.35416666666666702</v>
      </c>
      <c r="E371" s="4">
        <v>0.38541666666666702</v>
      </c>
      <c r="F371" s="3" t="s">
        <v>50</v>
      </c>
      <c r="G371" s="3" t="s">
        <v>51</v>
      </c>
      <c r="H371" s="3" t="s">
        <v>29</v>
      </c>
      <c r="I371" s="3" t="s">
        <v>30</v>
      </c>
      <c r="J371" s="3" t="s">
        <v>84</v>
      </c>
      <c r="K371" s="3" t="s">
        <v>52</v>
      </c>
      <c r="L371" s="5">
        <v>102</v>
      </c>
      <c r="M371" s="5">
        <f t="shared" ca="1" si="25"/>
        <v>40</v>
      </c>
      <c r="N371" s="6">
        <f t="shared" ca="1" si="26"/>
        <v>39.215686274509807</v>
      </c>
      <c r="O371" s="3" cm="1">
        <f t="array" aca="1" ref="O371" ca="1">IFERROR(LOOKUP(2, 1/((F$1:F370=F371)*(J$1:J370=J371)*(ROW(F$1:F370)&lt;ROW(F371))), N$1:N370), "")</f>
        <v>53.921568627450981</v>
      </c>
      <c r="P371" s="3">
        <f t="shared" si="29"/>
        <v>0</v>
      </c>
      <c r="Q371" s="3" t="s">
        <v>43</v>
      </c>
      <c r="R371" s="3" t="s">
        <v>40</v>
      </c>
      <c r="S371" s="3" t="str">
        <f t="shared" si="27"/>
        <v>No</v>
      </c>
      <c r="T371" s="3" t="s">
        <v>40</v>
      </c>
      <c r="U371" s="3" t="str">
        <f t="shared" si="28"/>
        <v>Rainy</v>
      </c>
      <c r="V371" s="3" t="s">
        <v>40</v>
      </c>
      <c r="W371" s="3" cm="1">
        <f t="array" ref="W371">_xlfn.IFS(
OR(F371="Selenium (Hands-on)",F371="Guest Lecture: HR Interview"),6,
OR(F371="Soft Skill",F371="Soft Skill (Examination)",F371="AWS Training",F371="AWS Session"),7,
OR(ISNUMBER(SEARCH("MAD",F371)),ISNUMBER(SEARCH("STQA",F371)),F371="CI/CD Session"),8,
OR(ISNUMBER(SEARCH("Cloud",F371)),F371="Industry Readiness Program",ISNUMBER(SEARCH("Talenlio",F371))),9,
OR(ISNUMBER(SEARCH("Innovation",F371)),F371="Mini Project"),10,
OR(ISNUMBER(SEARCH("Data Science",F371)),ISNUMBER(SEARCH("DS",F371))),11,
ISNUMBER(SEARCH("Generative AI",F371)),12
=_xlfn.IFS(
OR(F371="Selenium (Hands-on)",F371="Guest Lecture: HR Interview"),6,
OR(F371="Soft Skill",F371="Soft Skill (Examination)",F371="AWS Training",F371="AWS Session"),7,
OR(ISNUMBER(SEARCH("MAD",F371)),ISNUMBER(SEARCH("STQA",F371)),F371="CI/CD Session"),8,
OR(ISNUMBER(SEARCH("Cloud",F371)),F371="Industry Readiness Program",ISNUMBER(SEARCH("Talenlio",F371))),9,
OR(ISNUMBER(SEARCH("Innovation",F371)),F371="Mini Project"),10,
OR(ISNUMBER(SEARCH("Data Science",F371)),ISNUMBER(SEARCH("DS",F371))),11,
ISNUMBER(SEARCH("Generative AI",F371)),12
=_xlfn.IFS(
OR(F371="Selenium (Hands-on)",F371="Guest Lecture: HR Interview"),6,
OR(F371="Soft Skill",F371="Soft Skill (Examination)",F371="AWS Training",F371="AWS Session"),7,
OR(ISNUMBER(SEARCH("MAD",F371)),ISNUMBER(SEARCH("STQA",F371)),F371="CI/CD Session"),8,
OR(ISNUMBER(SEARCH("Cloud",F371)),F371="Industry Readiness Program",ISNUMBER(SEARCH("Talenlio",F371))),9,
OR(ISNUMBER(SEARCH("Innovation",F371)),F371="Mini Project"),10,
OR(ISNUMBER(SEARCH("Data Science",F371)),ISNUMBER(SEARCH("DS",F371))),11,
ISNUMBER(SEARCH("Generative AI",F371)),12
=_xlfn.IFS(
OR(F371="Selenium (Hands-on)",F371="Guest Lecture: HR Interview"),6,
OR(F371="Soft Skill",F371="Soft Skill (Examination)",F371="AWS Training",F371="AWS Session"),7,
OR(ISNUMBER(SEARCH("MAD",F371)),ISNUMBER(SEARCH("STQA",F371)),F371="CI/CD Session"),8,
OR(ISNUMBER(SEARCH("Cloud",F371)),F371="Industry Readiness Program",ISNUMBER(SEARCH("Talenlio",F371))),9,
OR(ISNUMBER(SEARCH("Innovation",F371)),F371="Mini Project"),10,
OR(ISNUMBER(SEARCH("Data Science",F371)),ISNUMBER(SEARCH("DS",F371))),11,
ISNUMBER(SEARCH("Generative AI",F371)),12
))))</f>
        <v>8</v>
      </c>
      <c r="X371" s="3">
        <v>3</v>
      </c>
      <c r="Y371" s="3">
        <v>17</v>
      </c>
      <c r="Z371" s="3" t="s">
        <v>35</v>
      </c>
    </row>
    <row r="372" spans="1:26" x14ac:dyDescent="0.3">
      <c r="A372" s="2">
        <v>46204</v>
      </c>
      <c r="B372" s="3" t="s">
        <v>44</v>
      </c>
      <c r="C372" s="3">
        <v>2</v>
      </c>
      <c r="D372" s="4">
        <v>0.38541666666666702</v>
      </c>
      <c r="E372" s="4">
        <v>0.42708333333333298</v>
      </c>
      <c r="F372" s="3" t="s">
        <v>50</v>
      </c>
      <c r="G372" s="3" t="s">
        <v>51</v>
      </c>
      <c r="H372" s="3" t="s">
        <v>29</v>
      </c>
      <c r="I372" s="3" t="s">
        <v>30</v>
      </c>
      <c r="J372" s="3" t="s">
        <v>84</v>
      </c>
      <c r="K372" s="3" t="s">
        <v>52</v>
      </c>
      <c r="L372" s="5">
        <v>102</v>
      </c>
      <c r="M372" s="5">
        <f t="shared" ca="1" si="25"/>
        <v>94</v>
      </c>
      <c r="N372" s="6">
        <f t="shared" ca="1" si="26"/>
        <v>92.156862745098039</v>
      </c>
      <c r="O372" s="3" cm="1">
        <f t="array" aca="1" ref="O372" ca="1">IFERROR(LOOKUP(2, 1/((F$1:F371=F372)*(J$1:J371=J372)*(ROW(F$1:F371)&lt;ROW(F372))), N$1:N371), "")</f>
        <v>39.215686274509807</v>
      </c>
      <c r="P372" s="3">
        <f t="shared" si="29"/>
        <v>0</v>
      </c>
      <c r="Q372" s="3" t="s">
        <v>43</v>
      </c>
      <c r="R372" s="3" t="s">
        <v>40</v>
      </c>
      <c r="S372" s="3" t="str">
        <f t="shared" si="27"/>
        <v>No</v>
      </c>
      <c r="T372" s="3" t="s">
        <v>40</v>
      </c>
      <c r="U372" s="3" t="str">
        <f t="shared" si="28"/>
        <v>Rainy</v>
      </c>
      <c r="V372" s="3" t="s">
        <v>40</v>
      </c>
      <c r="W372" s="3" cm="1">
        <f t="array" ref="W372">_xlfn.IFS(
OR(F372="Selenium (Hands-on)",F372="Guest Lecture: HR Interview"),6,
OR(F372="Soft Skill",F372="Soft Skill (Examination)",F372="AWS Training",F372="AWS Session"),7,
OR(ISNUMBER(SEARCH("MAD",F372)),ISNUMBER(SEARCH("STQA",F372)),F372="CI/CD Session"),8,
OR(ISNUMBER(SEARCH("Cloud",F372)),F372="Industry Readiness Program",ISNUMBER(SEARCH("Talenlio",F372))),9,
OR(ISNUMBER(SEARCH("Innovation",F372)),F372="Mini Project"),10,
OR(ISNUMBER(SEARCH("Data Science",F372)),ISNUMBER(SEARCH("DS",F372))),11,
ISNUMBER(SEARCH("Generative AI",F372)),12
=_xlfn.IFS(
OR(F372="Selenium (Hands-on)",F372="Guest Lecture: HR Interview"),6,
OR(F372="Soft Skill",F372="Soft Skill (Examination)",F372="AWS Training",F372="AWS Session"),7,
OR(ISNUMBER(SEARCH("MAD",F372)),ISNUMBER(SEARCH("STQA",F372)),F372="CI/CD Session"),8,
OR(ISNUMBER(SEARCH("Cloud",F372)),F372="Industry Readiness Program",ISNUMBER(SEARCH("Talenlio",F372))),9,
OR(ISNUMBER(SEARCH("Innovation",F372)),F372="Mini Project"),10,
OR(ISNUMBER(SEARCH("Data Science",F372)),ISNUMBER(SEARCH("DS",F372))),11,
ISNUMBER(SEARCH("Generative AI",F372)),12
=_xlfn.IFS(
OR(F372="Selenium (Hands-on)",F372="Guest Lecture: HR Interview"),6,
OR(F372="Soft Skill",F372="Soft Skill (Examination)",F372="AWS Training",F372="AWS Session"),7,
OR(ISNUMBER(SEARCH("MAD",F372)),ISNUMBER(SEARCH("STQA",F372)),F372="CI/CD Session"),8,
OR(ISNUMBER(SEARCH("Cloud",F372)),F372="Industry Readiness Program",ISNUMBER(SEARCH("Talenlio",F372))),9,
OR(ISNUMBER(SEARCH("Innovation",F372)),F372="Mini Project"),10,
OR(ISNUMBER(SEARCH("Data Science",F372)),ISNUMBER(SEARCH("DS",F372))),11,
ISNUMBER(SEARCH("Generative AI",F372)),12
=_xlfn.IFS(
OR(F372="Selenium (Hands-on)",F372="Guest Lecture: HR Interview"),6,
OR(F372="Soft Skill",F372="Soft Skill (Examination)",F372="AWS Training",F372="AWS Session"),7,
OR(ISNUMBER(SEARCH("MAD",F372)),ISNUMBER(SEARCH("STQA",F372)),F372="CI/CD Session"),8,
OR(ISNUMBER(SEARCH("Cloud",F372)),F372="Industry Readiness Program",ISNUMBER(SEARCH("Talenlio",F372))),9,
OR(ISNUMBER(SEARCH("Innovation",F372)),F372="Mini Project"),10,
OR(ISNUMBER(SEARCH("Data Science",F372)),ISNUMBER(SEARCH("DS",F372))),11,
ISNUMBER(SEARCH("Generative AI",F372)),12
))))</f>
        <v>8</v>
      </c>
      <c r="X372" s="3">
        <v>3</v>
      </c>
      <c r="Y372" s="3">
        <v>17</v>
      </c>
      <c r="Z372" s="3" t="s">
        <v>35</v>
      </c>
    </row>
    <row r="373" spans="1:26" x14ac:dyDescent="0.3">
      <c r="A373" s="2">
        <v>46204</v>
      </c>
      <c r="B373" s="3" t="s">
        <v>44</v>
      </c>
      <c r="C373" s="3">
        <v>3</v>
      </c>
      <c r="D373" s="4">
        <v>0.42708333333333298</v>
      </c>
      <c r="E373" s="4">
        <v>0.46875</v>
      </c>
      <c r="F373" s="3" t="s">
        <v>62</v>
      </c>
      <c r="G373" s="3" t="s">
        <v>56</v>
      </c>
      <c r="H373" s="3" t="s">
        <v>29</v>
      </c>
      <c r="I373" s="3" t="s">
        <v>30</v>
      </c>
      <c r="J373" s="3" t="s">
        <v>84</v>
      </c>
      <c r="K373" s="3" t="s">
        <v>52</v>
      </c>
      <c r="L373" s="5">
        <v>102</v>
      </c>
      <c r="M373" s="5">
        <f t="shared" ca="1" si="25"/>
        <v>70</v>
      </c>
      <c r="N373" s="6">
        <f t="shared" ca="1" si="26"/>
        <v>68.627450980392155</v>
      </c>
      <c r="O373" s="3" cm="1">
        <f t="array" aca="1" ref="O373" ca="1">IFERROR(LOOKUP(2, 1/((F$1:F372=F373)*(J$1:J372=J373)*(ROW(F$1:F372)&lt;ROW(F373))), N$1:N372), "")</f>
        <v>94.117647058823522</v>
      </c>
      <c r="P373" s="3">
        <f t="shared" si="29"/>
        <v>0</v>
      </c>
      <c r="Q373" s="3" t="s">
        <v>33</v>
      </c>
      <c r="R373" s="3" t="s">
        <v>40</v>
      </c>
      <c r="S373" s="3" t="str">
        <f t="shared" si="27"/>
        <v>No</v>
      </c>
      <c r="T373" s="3" t="s">
        <v>40</v>
      </c>
      <c r="U373" s="3" t="str">
        <f t="shared" si="28"/>
        <v>Rainy</v>
      </c>
      <c r="V373" s="3" t="s">
        <v>40</v>
      </c>
      <c r="W373" s="3">
        <v>7</v>
      </c>
      <c r="X373" s="3">
        <v>3</v>
      </c>
      <c r="Y373" s="3">
        <v>17</v>
      </c>
      <c r="Z373" s="3" t="s">
        <v>35</v>
      </c>
    </row>
    <row r="374" spans="1:26" x14ac:dyDescent="0.3">
      <c r="A374" s="2">
        <v>46204</v>
      </c>
      <c r="B374" s="3" t="s">
        <v>44</v>
      </c>
      <c r="C374" s="3">
        <v>4</v>
      </c>
      <c r="D374" s="4">
        <v>0.46875</v>
      </c>
      <c r="E374" s="4">
        <v>0.51041666666666696</v>
      </c>
      <c r="F374" s="3" t="s">
        <v>57</v>
      </c>
      <c r="G374" s="3" t="s">
        <v>58</v>
      </c>
      <c r="H374" s="3" t="s">
        <v>29</v>
      </c>
      <c r="I374" s="3" t="s">
        <v>30</v>
      </c>
      <c r="J374" s="3" t="s">
        <v>84</v>
      </c>
      <c r="K374" s="3" t="s">
        <v>52</v>
      </c>
      <c r="L374" s="5">
        <v>102</v>
      </c>
      <c r="M374" s="5">
        <f t="shared" ca="1" si="25"/>
        <v>48</v>
      </c>
      <c r="N374" s="6">
        <f t="shared" ca="1" si="26"/>
        <v>47.058823529411761</v>
      </c>
      <c r="O374" s="3" cm="1">
        <f t="array" aca="1" ref="O374" ca="1">IFERROR(LOOKUP(2, 1/((F$1:F373=F374)*(J$1:J373=J374)*(ROW(F$1:F373)&lt;ROW(F374))), N$1:N373), "")</f>
        <v>89.215686274509807</v>
      </c>
      <c r="P374" s="3">
        <f t="shared" si="29"/>
        <v>0</v>
      </c>
      <c r="Q374" s="3" t="s">
        <v>33</v>
      </c>
      <c r="R374" s="3" t="s">
        <v>40</v>
      </c>
      <c r="S374" s="3" t="str">
        <f t="shared" si="27"/>
        <v>No</v>
      </c>
      <c r="T374" s="3" t="s">
        <v>40</v>
      </c>
      <c r="U374" s="3" t="str">
        <f t="shared" si="28"/>
        <v>Rainy</v>
      </c>
      <c r="V374" s="3" t="s">
        <v>40</v>
      </c>
      <c r="W374" s="3" cm="1">
        <f t="array" ref="W374">_xlfn.IFS(
OR(F374="Selenium (Hands-on)",F374="Guest Lecture: HR Interview"),6,
OR(F374="Soft Skill",F374="Soft Skill (Examination)",F374="AWS Training",F374="AWS Session"),7,
OR(ISNUMBER(SEARCH("MAD",F374)),ISNUMBER(SEARCH("STQA",F374)),F374="CI/CD Session"),8,
OR(ISNUMBER(SEARCH("Cloud",F374)),F374="Industry Readiness Program",ISNUMBER(SEARCH("Talenlio",F374))),9,
OR(ISNUMBER(SEARCH("Innovation",F374)),F374="Mini Project"),10,
OR(ISNUMBER(SEARCH("Data Science",F374)),ISNUMBER(SEARCH("DS",F374))),11,
ISNUMBER(SEARCH("Generative AI",F374)),12
=_xlfn.IFS(
OR(F374="Selenium (Hands-on)",F374="Guest Lecture: HR Interview"),6,
OR(F374="Soft Skill",F374="Soft Skill (Examination)",F374="AWS Training",F374="AWS Session"),7,
OR(ISNUMBER(SEARCH("MAD",F374)),ISNUMBER(SEARCH("STQA",F374)),F374="CI/CD Session"),8,
OR(ISNUMBER(SEARCH("Cloud",F374)),F374="Industry Readiness Program",ISNUMBER(SEARCH("Talenlio",F374))),9,
OR(ISNUMBER(SEARCH("Innovation",F374)),F374="Mini Project"),10,
OR(ISNUMBER(SEARCH("Data Science",F374)),ISNUMBER(SEARCH("DS",F374))),11,
ISNUMBER(SEARCH("Generative AI",F374)),12
=_xlfn.IFS(
OR(F374="Selenium (Hands-on)",F374="Guest Lecture: HR Interview"),6,
OR(F374="Soft Skill",F374="Soft Skill (Examination)",F374="AWS Training",F374="AWS Session"),7,
OR(ISNUMBER(SEARCH("MAD",F374)),ISNUMBER(SEARCH("STQA",F374)),F374="CI/CD Session"),8,
OR(ISNUMBER(SEARCH("Cloud",F374)),F374="Industry Readiness Program",ISNUMBER(SEARCH("Talenlio",F374))),9,
OR(ISNUMBER(SEARCH("Innovation",F374)),F374="Mini Project"),10,
OR(ISNUMBER(SEARCH("Data Science",F374)),ISNUMBER(SEARCH("DS",F374))),11,
ISNUMBER(SEARCH("Generative AI",F374)),12
=_xlfn.IFS(
OR(F374="Selenium (Hands-on)",F374="Guest Lecture: HR Interview"),6,
OR(F374="Soft Skill",F374="Soft Skill (Examination)",F374="AWS Training",F374="AWS Session"),7,
OR(ISNUMBER(SEARCH("MAD",F374)),ISNUMBER(SEARCH("STQA",F374)),F374="CI/CD Session"),8,
OR(ISNUMBER(SEARCH("Cloud",F374)),F374="Industry Readiness Program",ISNUMBER(SEARCH("Talenlio",F374))),9,
OR(ISNUMBER(SEARCH("Innovation",F374)),F374="Mini Project"),10,
OR(ISNUMBER(SEARCH("Data Science",F374)),ISNUMBER(SEARCH("DS",F374))),11,
ISNUMBER(SEARCH("Generative AI",F374)),12
))))</f>
        <v>9</v>
      </c>
      <c r="X374" s="3">
        <v>3</v>
      </c>
      <c r="Y374" s="3">
        <v>17</v>
      </c>
      <c r="Z374" s="3" t="s">
        <v>35</v>
      </c>
    </row>
    <row r="375" spans="1:26" x14ac:dyDescent="0.3">
      <c r="A375" s="2">
        <v>46204</v>
      </c>
      <c r="B375" s="3" t="s">
        <v>44</v>
      </c>
      <c r="C375" s="3">
        <v>5</v>
      </c>
      <c r="D375" s="4">
        <v>0.5625</v>
      </c>
      <c r="E375" s="4">
        <v>0.60416666666666696</v>
      </c>
      <c r="F375" s="3" t="s">
        <v>53</v>
      </c>
      <c r="G375" s="3" t="s">
        <v>54</v>
      </c>
      <c r="H375" s="3" t="s">
        <v>29</v>
      </c>
      <c r="I375" s="3" t="s">
        <v>30</v>
      </c>
      <c r="J375" s="3" t="s">
        <v>84</v>
      </c>
      <c r="K375" s="3" t="s">
        <v>52</v>
      </c>
      <c r="L375" s="5">
        <v>102</v>
      </c>
      <c r="M375" s="5">
        <f t="shared" ca="1" si="25"/>
        <v>82</v>
      </c>
      <c r="N375" s="6">
        <f t="shared" ca="1" si="26"/>
        <v>80.392156862745097</v>
      </c>
      <c r="O375" s="3" cm="1">
        <f t="array" aca="1" ref="O375" ca="1">IFERROR(LOOKUP(2, 1/((F$1:F374=F375)*(J$1:J374=J375)*(ROW(F$1:F374)&lt;ROW(F375))), N$1:N374), "")</f>
        <v>97.058823529411768</v>
      </c>
      <c r="P375" s="3">
        <f t="shared" si="29"/>
        <v>1.25</v>
      </c>
      <c r="Q375" s="3" t="s">
        <v>33</v>
      </c>
      <c r="R375" s="3" t="s">
        <v>40</v>
      </c>
      <c r="S375" s="3" t="str">
        <f t="shared" si="27"/>
        <v>No</v>
      </c>
      <c r="T375" s="3" t="s">
        <v>40</v>
      </c>
      <c r="U375" s="3" t="str">
        <f t="shared" si="28"/>
        <v>Rainy</v>
      </c>
      <c r="V375" s="3" t="s">
        <v>40</v>
      </c>
      <c r="W375" s="3" cm="1">
        <f t="array" ref="W375">_xlfn.IFS(
OR(F375="Selenium (Hands-on)",F375="Guest Lecture: HR Interview"),6,
OR(F375="Soft Skill",F375="Soft Skill (Examination)",F375="AWS Training",F375="AWS Session"),7,
OR(ISNUMBER(SEARCH("MAD",F375)),ISNUMBER(SEARCH("STQA",F375)),F375="CI/CD Session"),8,
OR(ISNUMBER(SEARCH("Cloud",F375)),F375="Industry Readiness Program",ISNUMBER(SEARCH("Talenlio",F375))),9,
OR(ISNUMBER(SEARCH("Innovation",F375)),F375="Mini Project"),10,
OR(ISNUMBER(SEARCH("Data Science",F375)),ISNUMBER(SEARCH("DS",F375))),11,
ISNUMBER(SEARCH("Generative AI",F375)),12
=_xlfn.IFS(
OR(F375="Selenium (Hands-on)",F375="Guest Lecture: HR Interview"),6,
OR(F375="Soft Skill",F375="Soft Skill (Examination)",F375="AWS Training",F375="AWS Session"),7,
OR(ISNUMBER(SEARCH("MAD",F375)),ISNUMBER(SEARCH("STQA",F375)),F375="CI/CD Session"),8,
OR(ISNUMBER(SEARCH("Cloud",F375)),F375="Industry Readiness Program",ISNUMBER(SEARCH("Talenlio",F375))),9,
OR(ISNUMBER(SEARCH("Innovation",F375)),F375="Mini Project"),10,
OR(ISNUMBER(SEARCH("Data Science",F375)),ISNUMBER(SEARCH("DS",F375))),11,
ISNUMBER(SEARCH("Generative AI",F375)),12
=_xlfn.IFS(
OR(F375="Selenium (Hands-on)",F375="Guest Lecture: HR Interview"),6,
OR(F375="Soft Skill",F375="Soft Skill (Examination)",F375="AWS Training",F375="AWS Session"),7,
OR(ISNUMBER(SEARCH("MAD",F375)),ISNUMBER(SEARCH("STQA",F375)),F375="CI/CD Session"),8,
OR(ISNUMBER(SEARCH("Cloud",F375)),F375="Industry Readiness Program",ISNUMBER(SEARCH("Talenlio",F375))),9,
OR(ISNUMBER(SEARCH("Innovation",F375)),F375="Mini Project"),10,
OR(ISNUMBER(SEARCH("Data Science",F375)),ISNUMBER(SEARCH("DS",F375))),11,
ISNUMBER(SEARCH("Generative AI",F375)),12
=_xlfn.IFS(
OR(F375="Selenium (Hands-on)",F375="Guest Lecture: HR Interview"),6,
OR(F375="Soft Skill",F375="Soft Skill (Examination)",F375="AWS Training",F375="AWS Session"),7,
OR(ISNUMBER(SEARCH("MAD",F375)),ISNUMBER(SEARCH("STQA",F375)),F375="CI/CD Session"),8,
OR(ISNUMBER(SEARCH("Cloud",F375)),F375="Industry Readiness Program",ISNUMBER(SEARCH("Talenlio",F375))),9,
OR(ISNUMBER(SEARCH("Innovation",F375)),F375="Mini Project"),10,
OR(ISNUMBER(SEARCH("Data Science",F375)),ISNUMBER(SEARCH("DS",F375))),11,
ISNUMBER(SEARCH("Generative AI",F375)),12
))))</f>
        <v>10</v>
      </c>
      <c r="X375" s="3">
        <v>3</v>
      </c>
      <c r="Y375" s="3">
        <v>17</v>
      </c>
      <c r="Z375" s="3" t="s">
        <v>38</v>
      </c>
    </row>
    <row r="376" spans="1:26" x14ac:dyDescent="0.3">
      <c r="A376" s="2">
        <v>46204</v>
      </c>
      <c r="B376" s="3" t="s">
        <v>44</v>
      </c>
      <c r="C376" s="3">
        <v>6</v>
      </c>
      <c r="D376" s="4">
        <v>0.60416666666666696</v>
      </c>
      <c r="E376" s="4">
        <v>0.64583333333333304</v>
      </c>
      <c r="F376" s="3" t="s">
        <v>53</v>
      </c>
      <c r="G376" s="3" t="s">
        <v>54</v>
      </c>
      <c r="H376" s="3" t="s">
        <v>29</v>
      </c>
      <c r="I376" s="3" t="s">
        <v>30</v>
      </c>
      <c r="J376" s="3" t="s">
        <v>84</v>
      </c>
      <c r="K376" s="3" t="s">
        <v>52</v>
      </c>
      <c r="L376" s="5">
        <v>102</v>
      </c>
      <c r="M376" s="5">
        <f t="shared" ca="1" si="25"/>
        <v>98</v>
      </c>
      <c r="N376" s="6">
        <f t="shared" ca="1" si="26"/>
        <v>96.078431372549019</v>
      </c>
      <c r="O376" s="3" cm="1">
        <f t="array" aca="1" ref="O376" ca="1">IFERROR(LOOKUP(2, 1/((F$1:F375=F376)*(J$1:J375=J376)*(ROW(F$1:F375)&lt;ROW(F376))), N$1:N375), "")</f>
        <v>80.392156862745097</v>
      </c>
      <c r="P376" s="3">
        <f t="shared" si="29"/>
        <v>0</v>
      </c>
      <c r="Q376" s="3" t="s">
        <v>33</v>
      </c>
      <c r="R376" s="3" t="s">
        <v>40</v>
      </c>
      <c r="S376" s="3" t="str">
        <f t="shared" si="27"/>
        <v>No</v>
      </c>
      <c r="T376" s="3" t="s">
        <v>40</v>
      </c>
      <c r="U376" s="3" t="str">
        <f t="shared" si="28"/>
        <v>Rainy</v>
      </c>
      <c r="V376" s="3" t="s">
        <v>40</v>
      </c>
      <c r="W376" s="3" cm="1">
        <f t="array" ref="W376">_xlfn.IFS(
OR(F376="Selenium (Hands-on)",F376="Guest Lecture: HR Interview"),6,
OR(F376="Soft Skill",F376="Soft Skill (Examination)",F376="AWS Training",F376="AWS Session"),7,
OR(ISNUMBER(SEARCH("MAD",F376)),ISNUMBER(SEARCH("STQA",F376)),F376="CI/CD Session"),8,
OR(ISNUMBER(SEARCH("Cloud",F376)),F376="Industry Readiness Program",ISNUMBER(SEARCH("Talenlio",F376))),9,
OR(ISNUMBER(SEARCH("Innovation",F376)),F376="Mini Project"),10,
OR(ISNUMBER(SEARCH("Data Science",F376)),ISNUMBER(SEARCH("DS",F376))),11,
ISNUMBER(SEARCH("Generative AI",F376)),12
=_xlfn.IFS(
OR(F376="Selenium (Hands-on)",F376="Guest Lecture: HR Interview"),6,
OR(F376="Soft Skill",F376="Soft Skill (Examination)",F376="AWS Training",F376="AWS Session"),7,
OR(ISNUMBER(SEARCH("MAD",F376)),ISNUMBER(SEARCH("STQA",F376)),F376="CI/CD Session"),8,
OR(ISNUMBER(SEARCH("Cloud",F376)),F376="Industry Readiness Program",ISNUMBER(SEARCH("Talenlio",F376))),9,
OR(ISNUMBER(SEARCH("Innovation",F376)),F376="Mini Project"),10,
OR(ISNUMBER(SEARCH("Data Science",F376)),ISNUMBER(SEARCH("DS",F376))),11,
ISNUMBER(SEARCH("Generative AI",F376)),12
=_xlfn.IFS(
OR(F376="Selenium (Hands-on)",F376="Guest Lecture: HR Interview"),6,
OR(F376="Soft Skill",F376="Soft Skill (Examination)",F376="AWS Training",F376="AWS Session"),7,
OR(ISNUMBER(SEARCH("MAD",F376)),ISNUMBER(SEARCH("STQA",F376)),F376="CI/CD Session"),8,
OR(ISNUMBER(SEARCH("Cloud",F376)),F376="Industry Readiness Program",ISNUMBER(SEARCH("Talenlio",F376))),9,
OR(ISNUMBER(SEARCH("Innovation",F376)),F376="Mini Project"),10,
OR(ISNUMBER(SEARCH("Data Science",F376)),ISNUMBER(SEARCH("DS",F376))),11,
ISNUMBER(SEARCH("Generative AI",F376)),12
=_xlfn.IFS(
OR(F376="Selenium (Hands-on)",F376="Guest Lecture: HR Interview"),6,
OR(F376="Soft Skill",F376="Soft Skill (Examination)",F376="AWS Training",F376="AWS Session"),7,
OR(ISNUMBER(SEARCH("MAD",F376)),ISNUMBER(SEARCH("STQA",F376)),F376="CI/CD Session"),8,
OR(ISNUMBER(SEARCH("Cloud",F376)),F376="Industry Readiness Program",ISNUMBER(SEARCH("Talenlio",F376))),9,
OR(ISNUMBER(SEARCH("Innovation",F376)),F376="Mini Project"),10,
OR(ISNUMBER(SEARCH("Data Science",F376)),ISNUMBER(SEARCH("DS",F376))),11,
ISNUMBER(SEARCH("Generative AI",F376)),12
))))</f>
        <v>10</v>
      </c>
      <c r="X376" s="3">
        <v>3</v>
      </c>
      <c r="Y376" s="3">
        <v>17</v>
      </c>
      <c r="Z376" s="3" t="s">
        <v>38</v>
      </c>
    </row>
    <row r="377" spans="1:26" x14ac:dyDescent="0.3">
      <c r="A377" s="2">
        <v>46205</v>
      </c>
      <c r="B377" s="3" t="s">
        <v>45</v>
      </c>
      <c r="C377" s="3">
        <v>1</v>
      </c>
      <c r="D377" s="4">
        <v>0.35416666666666702</v>
      </c>
      <c r="E377" s="4">
        <v>0.38541666666666702</v>
      </c>
      <c r="F377" s="3" t="s">
        <v>50</v>
      </c>
      <c r="G377" s="3" t="s">
        <v>51</v>
      </c>
      <c r="H377" s="3" t="s">
        <v>29</v>
      </c>
      <c r="I377" s="3" t="s">
        <v>30</v>
      </c>
      <c r="J377" s="3" t="s">
        <v>84</v>
      </c>
      <c r="K377" s="3" t="s">
        <v>52</v>
      </c>
      <c r="L377" s="5">
        <v>102</v>
      </c>
      <c r="M377" s="5">
        <f t="shared" ca="1" si="25"/>
        <v>93</v>
      </c>
      <c r="N377" s="6">
        <f t="shared" ca="1" si="26"/>
        <v>91.17647058823529</v>
      </c>
      <c r="O377" s="3" cm="1">
        <f t="array" aca="1" ref="O377" ca="1">IFERROR(LOOKUP(2, 1/((F$1:F376=F377)*(J$1:J376=J377)*(ROW(F$1:F376)&lt;ROW(F377))), N$1:N376), "")</f>
        <v>92.156862745098039</v>
      </c>
      <c r="P377" s="3">
        <f t="shared" si="29"/>
        <v>0</v>
      </c>
      <c r="Q377" s="3" t="s">
        <v>43</v>
      </c>
      <c r="R377" s="3" t="s">
        <v>40</v>
      </c>
      <c r="S377" s="3" t="str">
        <f t="shared" si="27"/>
        <v>No</v>
      </c>
      <c r="T377" s="3" t="s">
        <v>40</v>
      </c>
      <c r="U377" s="3" t="str">
        <f t="shared" si="28"/>
        <v>Rainy</v>
      </c>
      <c r="V377" s="3" t="s">
        <v>40</v>
      </c>
      <c r="W377" s="3" cm="1">
        <f t="array" ref="W377">_xlfn.IFS(
OR(F377="Selenium (Hands-on)",F377="Guest Lecture: HR Interview"),6,
OR(F377="Soft Skill",F377="Soft Skill (Examination)",F377="AWS Training",F377="AWS Session"),7,
OR(ISNUMBER(SEARCH("MAD",F377)),ISNUMBER(SEARCH("STQA",F377)),F377="CI/CD Session"),8,
OR(ISNUMBER(SEARCH("Cloud",F377)),F377="Industry Readiness Program",ISNUMBER(SEARCH("Talenlio",F377))),9,
OR(ISNUMBER(SEARCH("Innovation",F377)),F377="Mini Project"),10,
OR(ISNUMBER(SEARCH("Data Science",F377)),ISNUMBER(SEARCH("DS",F377))),11,
ISNUMBER(SEARCH("Generative AI",F377)),12
=_xlfn.IFS(
OR(F377="Selenium (Hands-on)",F377="Guest Lecture: HR Interview"),6,
OR(F377="Soft Skill",F377="Soft Skill (Examination)",F377="AWS Training",F377="AWS Session"),7,
OR(ISNUMBER(SEARCH("MAD",F377)),ISNUMBER(SEARCH("STQA",F377)),F377="CI/CD Session"),8,
OR(ISNUMBER(SEARCH("Cloud",F377)),F377="Industry Readiness Program",ISNUMBER(SEARCH("Talenlio",F377))),9,
OR(ISNUMBER(SEARCH("Innovation",F377)),F377="Mini Project"),10,
OR(ISNUMBER(SEARCH("Data Science",F377)),ISNUMBER(SEARCH("DS",F377))),11,
ISNUMBER(SEARCH("Generative AI",F377)),12
=_xlfn.IFS(
OR(F377="Selenium (Hands-on)",F377="Guest Lecture: HR Interview"),6,
OR(F377="Soft Skill",F377="Soft Skill (Examination)",F377="AWS Training",F377="AWS Session"),7,
OR(ISNUMBER(SEARCH("MAD",F377)),ISNUMBER(SEARCH("STQA",F377)),F377="CI/CD Session"),8,
OR(ISNUMBER(SEARCH("Cloud",F377)),F377="Industry Readiness Program",ISNUMBER(SEARCH("Talenlio",F377))),9,
OR(ISNUMBER(SEARCH("Innovation",F377)),F377="Mini Project"),10,
OR(ISNUMBER(SEARCH("Data Science",F377)),ISNUMBER(SEARCH("DS",F377))),11,
ISNUMBER(SEARCH("Generative AI",F377)),12
=_xlfn.IFS(
OR(F377="Selenium (Hands-on)",F377="Guest Lecture: HR Interview"),6,
OR(F377="Soft Skill",F377="Soft Skill (Examination)",F377="AWS Training",F377="AWS Session"),7,
OR(ISNUMBER(SEARCH("MAD",F377)),ISNUMBER(SEARCH("STQA",F377)),F377="CI/CD Session"),8,
OR(ISNUMBER(SEARCH("Cloud",F377)),F377="Industry Readiness Program",ISNUMBER(SEARCH("Talenlio",F377))),9,
OR(ISNUMBER(SEARCH("Innovation",F377)),F377="Mini Project"),10,
OR(ISNUMBER(SEARCH("Data Science",F377)),ISNUMBER(SEARCH("DS",F377))),11,
ISNUMBER(SEARCH("Generative AI",F377)),12
))))</f>
        <v>8</v>
      </c>
      <c r="X377" s="3">
        <v>3</v>
      </c>
      <c r="Y377" s="3">
        <v>18</v>
      </c>
      <c r="Z377" s="3" t="s">
        <v>35</v>
      </c>
    </row>
    <row r="378" spans="1:26" x14ac:dyDescent="0.3">
      <c r="A378" s="2">
        <v>46205</v>
      </c>
      <c r="B378" s="3" t="s">
        <v>45</v>
      </c>
      <c r="C378" s="3">
        <v>2</v>
      </c>
      <c r="D378" s="4">
        <v>0.38541666666666702</v>
      </c>
      <c r="E378" s="4">
        <v>0.42708333333333298</v>
      </c>
      <c r="F378" s="3" t="s">
        <v>50</v>
      </c>
      <c r="G378" s="3" t="s">
        <v>51</v>
      </c>
      <c r="H378" s="3" t="s">
        <v>29</v>
      </c>
      <c r="I378" s="3" t="s">
        <v>30</v>
      </c>
      <c r="J378" s="3" t="s">
        <v>84</v>
      </c>
      <c r="K378" s="3" t="s">
        <v>52</v>
      </c>
      <c r="L378" s="5">
        <v>102</v>
      </c>
      <c r="M378" s="5">
        <f t="shared" ca="1" si="25"/>
        <v>92</v>
      </c>
      <c r="N378" s="6">
        <f t="shared" ca="1" si="26"/>
        <v>90.196078431372555</v>
      </c>
      <c r="O378" s="3" cm="1">
        <f t="array" aca="1" ref="O378" ca="1">IFERROR(LOOKUP(2, 1/((F$1:F377=F378)*(J$1:J377=J378)*(ROW(F$1:F377)&lt;ROW(F378))), N$1:N377), "")</f>
        <v>91.17647058823529</v>
      </c>
      <c r="P378" s="3">
        <f t="shared" si="29"/>
        <v>0</v>
      </c>
      <c r="Q378" s="3" t="s">
        <v>43</v>
      </c>
      <c r="R378" s="3" t="s">
        <v>40</v>
      </c>
      <c r="S378" s="3" t="str">
        <f t="shared" si="27"/>
        <v>No</v>
      </c>
      <c r="T378" s="3" t="s">
        <v>40</v>
      </c>
      <c r="U378" s="3" t="str">
        <f t="shared" si="28"/>
        <v>Rainy</v>
      </c>
      <c r="V378" s="3" t="s">
        <v>40</v>
      </c>
      <c r="W378" s="3" cm="1">
        <f t="array" ref="W378">_xlfn.IFS(
OR(F378="Selenium (Hands-on)",F378="Guest Lecture: HR Interview"),6,
OR(F378="Soft Skill",F378="Soft Skill (Examination)",F378="AWS Training",F378="AWS Session"),7,
OR(ISNUMBER(SEARCH("MAD",F378)),ISNUMBER(SEARCH("STQA",F378)),F378="CI/CD Session"),8,
OR(ISNUMBER(SEARCH("Cloud",F378)),F378="Industry Readiness Program",ISNUMBER(SEARCH("Talenlio",F378))),9,
OR(ISNUMBER(SEARCH("Innovation",F378)),F378="Mini Project"),10,
OR(ISNUMBER(SEARCH("Data Science",F378)),ISNUMBER(SEARCH("DS",F378))),11,
ISNUMBER(SEARCH("Generative AI",F378)),12
=_xlfn.IFS(
OR(F378="Selenium (Hands-on)",F378="Guest Lecture: HR Interview"),6,
OR(F378="Soft Skill",F378="Soft Skill (Examination)",F378="AWS Training",F378="AWS Session"),7,
OR(ISNUMBER(SEARCH("MAD",F378)),ISNUMBER(SEARCH("STQA",F378)),F378="CI/CD Session"),8,
OR(ISNUMBER(SEARCH("Cloud",F378)),F378="Industry Readiness Program",ISNUMBER(SEARCH("Talenlio",F378))),9,
OR(ISNUMBER(SEARCH("Innovation",F378)),F378="Mini Project"),10,
OR(ISNUMBER(SEARCH("Data Science",F378)),ISNUMBER(SEARCH("DS",F378))),11,
ISNUMBER(SEARCH("Generative AI",F378)),12
=_xlfn.IFS(
OR(F378="Selenium (Hands-on)",F378="Guest Lecture: HR Interview"),6,
OR(F378="Soft Skill",F378="Soft Skill (Examination)",F378="AWS Training",F378="AWS Session"),7,
OR(ISNUMBER(SEARCH("MAD",F378)),ISNUMBER(SEARCH("STQA",F378)),F378="CI/CD Session"),8,
OR(ISNUMBER(SEARCH("Cloud",F378)),F378="Industry Readiness Program",ISNUMBER(SEARCH("Talenlio",F378))),9,
OR(ISNUMBER(SEARCH("Innovation",F378)),F378="Mini Project"),10,
OR(ISNUMBER(SEARCH("Data Science",F378)),ISNUMBER(SEARCH("DS",F378))),11,
ISNUMBER(SEARCH("Generative AI",F378)),12
=_xlfn.IFS(
OR(F378="Selenium (Hands-on)",F378="Guest Lecture: HR Interview"),6,
OR(F378="Soft Skill",F378="Soft Skill (Examination)",F378="AWS Training",F378="AWS Session"),7,
OR(ISNUMBER(SEARCH("MAD",F378)),ISNUMBER(SEARCH("STQA",F378)),F378="CI/CD Session"),8,
OR(ISNUMBER(SEARCH("Cloud",F378)),F378="Industry Readiness Program",ISNUMBER(SEARCH("Talenlio",F378))),9,
OR(ISNUMBER(SEARCH("Innovation",F378)),F378="Mini Project"),10,
OR(ISNUMBER(SEARCH("Data Science",F378)),ISNUMBER(SEARCH("DS",F378))),11,
ISNUMBER(SEARCH("Generative AI",F378)),12
))))</f>
        <v>8</v>
      </c>
      <c r="X378" s="3">
        <v>3</v>
      </c>
      <c r="Y378" s="3">
        <v>18</v>
      </c>
      <c r="Z378" s="3" t="s">
        <v>35</v>
      </c>
    </row>
    <row r="379" spans="1:26" x14ac:dyDescent="0.3">
      <c r="A379" s="2">
        <v>46205</v>
      </c>
      <c r="B379" s="3" t="s">
        <v>45</v>
      </c>
      <c r="C379" s="3">
        <v>3</v>
      </c>
      <c r="D379" s="4">
        <v>0.42708333333333298</v>
      </c>
      <c r="E379" s="4">
        <v>0.46875</v>
      </c>
      <c r="F379" s="3" t="s">
        <v>59</v>
      </c>
      <c r="G379" s="3" t="s">
        <v>60</v>
      </c>
      <c r="H379" s="3" t="s">
        <v>29</v>
      </c>
      <c r="I379" s="3" t="s">
        <v>30</v>
      </c>
      <c r="J379" s="3" t="s">
        <v>84</v>
      </c>
      <c r="K379" s="3" t="s">
        <v>52</v>
      </c>
      <c r="L379" s="5">
        <v>102</v>
      </c>
      <c r="M379" s="5">
        <f t="shared" ca="1" si="25"/>
        <v>94</v>
      </c>
      <c r="N379" s="6">
        <f t="shared" ca="1" si="26"/>
        <v>92.156862745098039</v>
      </c>
      <c r="O379" s="3" cm="1">
        <f t="array" aca="1" ref="O379" ca="1">IFERROR(LOOKUP(2, 1/((F$1:F378=F379)*(J$1:J378=J379)*(ROW(F$1:F378)&lt;ROW(F379))), N$1:N378), "")</f>
        <v>43.137254901960787</v>
      </c>
      <c r="P379" s="3">
        <f t="shared" si="29"/>
        <v>0</v>
      </c>
      <c r="Q379" s="3" t="s">
        <v>33</v>
      </c>
      <c r="R379" s="3" t="s">
        <v>40</v>
      </c>
      <c r="S379" s="3" t="str">
        <f t="shared" si="27"/>
        <v>No</v>
      </c>
      <c r="T379" s="3" t="s">
        <v>40</v>
      </c>
      <c r="U379" s="3" t="str">
        <f t="shared" si="28"/>
        <v>Rainy</v>
      </c>
      <c r="V379" s="3" t="s">
        <v>40</v>
      </c>
      <c r="W379" s="3" cm="1">
        <f t="array" ref="W379">_xlfn.IFS(
OR(F379="Selenium (Hands-on)",F379="Guest Lecture: HR Interview"),6,
OR(F379="Soft Skill",F379="Soft Skill (Examination)",F379="AWS Training",F379="AWS Session"),7,
OR(ISNUMBER(SEARCH("MAD",F379)),ISNUMBER(SEARCH("STQA",F379)),F379="CI/CD Session"),8,
OR(ISNUMBER(SEARCH("Cloud",F379)),F379="Industry Readiness Program",ISNUMBER(SEARCH("Talenlio",F379))),9,
OR(ISNUMBER(SEARCH("Innovation",F379)),F379="Mini Project"),10,
OR(ISNUMBER(SEARCH("Data Science",F379)),ISNUMBER(SEARCH("DS",F379))),11,
ISNUMBER(SEARCH("Generative AI",F379)),12
=_xlfn.IFS(
OR(F379="Selenium (Hands-on)",F379="Guest Lecture: HR Interview"),6,
OR(F379="Soft Skill",F379="Soft Skill (Examination)",F379="AWS Training",F379="AWS Session"),7,
OR(ISNUMBER(SEARCH("MAD",F379)),ISNUMBER(SEARCH("STQA",F379)),F379="CI/CD Session"),8,
OR(ISNUMBER(SEARCH("Cloud",F379)),F379="Industry Readiness Program",ISNUMBER(SEARCH("Talenlio",F379))),9,
OR(ISNUMBER(SEARCH("Innovation",F379)),F379="Mini Project"),10,
OR(ISNUMBER(SEARCH("Data Science",F379)),ISNUMBER(SEARCH("DS",F379))),11,
ISNUMBER(SEARCH("Generative AI",F379)),12
=_xlfn.IFS(
OR(F379="Selenium (Hands-on)",F379="Guest Lecture: HR Interview"),6,
OR(F379="Soft Skill",F379="Soft Skill (Examination)",F379="AWS Training",F379="AWS Session"),7,
OR(ISNUMBER(SEARCH("MAD",F379)),ISNUMBER(SEARCH("STQA",F379)),F379="CI/CD Session"),8,
OR(ISNUMBER(SEARCH("Cloud",F379)),F379="Industry Readiness Program",ISNUMBER(SEARCH("Talenlio",F379))),9,
OR(ISNUMBER(SEARCH("Innovation",F379)),F379="Mini Project"),10,
OR(ISNUMBER(SEARCH("Data Science",F379)),ISNUMBER(SEARCH("DS",F379))),11,
ISNUMBER(SEARCH("Generative AI",F379)),12
=_xlfn.IFS(
OR(F379="Selenium (Hands-on)",F379="Guest Lecture: HR Interview"),6,
OR(F379="Soft Skill",F379="Soft Skill (Examination)",F379="AWS Training",F379="AWS Session"),7,
OR(ISNUMBER(SEARCH("MAD",F379)),ISNUMBER(SEARCH("STQA",F379)),F379="CI/CD Session"),8,
OR(ISNUMBER(SEARCH("Cloud",F379)),F379="Industry Readiness Program",ISNUMBER(SEARCH("Talenlio",F379))),9,
OR(ISNUMBER(SEARCH("Innovation",F379)),F379="Mini Project"),10,
OR(ISNUMBER(SEARCH("Data Science",F379)),ISNUMBER(SEARCH("DS",F379))),11,
ISNUMBER(SEARCH("Generative AI",F379)),12
))))</f>
        <v>11</v>
      </c>
      <c r="X379" s="3">
        <v>3</v>
      </c>
      <c r="Y379" s="3">
        <v>18</v>
      </c>
      <c r="Z379" s="3" t="s">
        <v>35</v>
      </c>
    </row>
    <row r="380" spans="1:26" x14ac:dyDescent="0.3">
      <c r="A380" s="2">
        <v>46205</v>
      </c>
      <c r="B380" s="3" t="s">
        <v>45</v>
      </c>
      <c r="C380" s="3">
        <v>4</v>
      </c>
      <c r="D380" s="4">
        <v>0.46875</v>
      </c>
      <c r="E380" s="4">
        <v>0.51041666666666696</v>
      </c>
      <c r="F380" s="3" t="s">
        <v>62</v>
      </c>
      <c r="G380" s="3" t="s">
        <v>56</v>
      </c>
      <c r="H380" s="3" t="s">
        <v>29</v>
      </c>
      <c r="I380" s="3" t="s">
        <v>30</v>
      </c>
      <c r="J380" s="3" t="s">
        <v>84</v>
      </c>
      <c r="K380" s="3" t="s">
        <v>52</v>
      </c>
      <c r="L380" s="5">
        <v>102</v>
      </c>
      <c r="M380" s="5">
        <f t="shared" ca="1" si="25"/>
        <v>94</v>
      </c>
      <c r="N380" s="6">
        <f t="shared" ca="1" si="26"/>
        <v>92.156862745098039</v>
      </c>
      <c r="O380" s="3" cm="1">
        <f t="array" aca="1" ref="O380" ca="1">IFERROR(LOOKUP(2, 1/((F$1:F379=F380)*(J$1:J379=J380)*(ROW(F$1:F379)&lt;ROW(F380))), N$1:N379), "")</f>
        <v>68.627450980392155</v>
      </c>
      <c r="P380" s="3">
        <f t="shared" si="29"/>
        <v>0</v>
      </c>
      <c r="Q380" s="3" t="s">
        <v>33</v>
      </c>
      <c r="R380" s="3" t="s">
        <v>40</v>
      </c>
      <c r="S380" s="3" t="str">
        <f t="shared" si="27"/>
        <v>No</v>
      </c>
      <c r="T380" s="3" t="s">
        <v>40</v>
      </c>
      <c r="U380" s="3" t="str">
        <f t="shared" si="28"/>
        <v>Rainy</v>
      </c>
      <c r="V380" s="3" t="s">
        <v>40</v>
      </c>
      <c r="W380" s="3">
        <v>7</v>
      </c>
      <c r="X380" s="3">
        <v>3</v>
      </c>
      <c r="Y380" s="3">
        <v>18</v>
      </c>
      <c r="Z380" s="3" t="s">
        <v>35</v>
      </c>
    </row>
    <row r="381" spans="1:26" x14ac:dyDescent="0.3">
      <c r="A381" s="2">
        <v>46205</v>
      </c>
      <c r="B381" s="3" t="s">
        <v>45</v>
      </c>
      <c r="C381" s="3">
        <v>5</v>
      </c>
      <c r="D381" s="4">
        <v>0.5625</v>
      </c>
      <c r="E381" s="4">
        <v>0.60416666666666696</v>
      </c>
      <c r="F381" s="3" t="s">
        <v>63</v>
      </c>
      <c r="G381" s="3" t="s">
        <v>64</v>
      </c>
      <c r="H381" s="3" t="s">
        <v>29</v>
      </c>
      <c r="I381" s="3" t="s">
        <v>30</v>
      </c>
      <c r="J381" s="3" t="s">
        <v>84</v>
      </c>
      <c r="K381" s="3" t="s">
        <v>52</v>
      </c>
      <c r="L381" s="5">
        <v>102</v>
      </c>
      <c r="M381" s="5">
        <f t="shared" ca="1" si="25"/>
        <v>66</v>
      </c>
      <c r="N381" s="6">
        <f t="shared" ca="1" si="26"/>
        <v>64.705882352941174</v>
      </c>
      <c r="O381" s="3" cm="1">
        <f t="array" aca="1" ref="O381" ca="1">IFERROR(LOOKUP(2, 1/((F$1:F380=F381)*(J$1:J380=J381)*(ROW(F$1:F380)&lt;ROW(F381))), N$1:N380), "")</f>
        <v>100</v>
      </c>
      <c r="P381" s="3">
        <f t="shared" si="29"/>
        <v>1.25</v>
      </c>
      <c r="Q381" s="3" t="s">
        <v>33</v>
      </c>
      <c r="R381" s="3" t="s">
        <v>40</v>
      </c>
      <c r="S381" s="3" t="str">
        <f t="shared" si="27"/>
        <v>No</v>
      </c>
      <c r="T381" s="3" t="s">
        <v>40</v>
      </c>
      <c r="U381" s="3" t="str">
        <f t="shared" si="28"/>
        <v>Rainy</v>
      </c>
      <c r="V381" s="3" t="s">
        <v>40</v>
      </c>
      <c r="W381" s="3" cm="1">
        <f t="array" ref="W381">_xlfn.IFS(
OR(F381="Selenium (Hands-on)",F381="Guest Lecture: HR Interview"),6,
OR(F381="Soft Skill",F381="Soft Skill (Examination)",F381="AWS Training",F381="AWS Session"),7,
OR(ISNUMBER(SEARCH("MAD",F381)),ISNUMBER(SEARCH("STQA",F381)),F381="CI/CD Session"),8,
OR(ISNUMBER(SEARCH("Cloud",F381)),F381="Industry Readiness Program",ISNUMBER(SEARCH("Talenlio",F381))),9,
OR(ISNUMBER(SEARCH("Innovation",F381)),F381="Mini Project"),10,
OR(ISNUMBER(SEARCH("Data Science",F381)),ISNUMBER(SEARCH("DS",F381))),11,
ISNUMBER(SEARCH("Generative AI",F381)),12
=_xlfn.IFS(
OR(F381="Selenium (Hands-on)",F381="Guest Lecture: HR Interview"),6,
OR(F381="Soft Skill",F381="Soft Skill (Examination)",F381="AWS Training",F381="AWS Session"),7,
OR(ISNUMBER(SEARCH("MAD",F381)),ISNUMBER(SEARCH("STQA",F381)),F381="CI/CD Session"),8,
OR(ISNUMBER(SEARCH("Cloud",F381)),F381="Industry Readiness Program",ISNUMBER(SEARCH("Talenlio",F381))),9,
OR(ISNUMBER(SEARCH("Innovation",F381)),F381="Mini Project"),10,
OR(ISNUMBER(SEARCH("Data Science",F381)),ISNUMBER(SEARCH("DS",F381))),11,
ISNUMBER(SEARCH("Generative AI",F381)),12
=_xlfn.IFS(
OR(F381="Selenium (Hands-on)",F381="Guest Lecture: HR Interview"),6,
OR(F381="Soft Skill",F381="Soft Skill (Examination)",F381="AWS Training",F381="AWS Session"),7,
OR(ISNUMBER(SEARCH("MAD",F381)),ISNUMBER(SEARCH("STQA",F381)),F381="CI/CD Session"),8,
OR(ISNUMBER(SEARCH("Cloud",F381)),F381="Industry Readiness Program",ISNUMBER(SEARCH("Talenlio",F381))),9,
OR(ISNUMBER(SEARCH("Innovation",F381)),F381="Mini Project"),10,
OR(ISNUMBER(SEARCH("Data Science",F381)),ISNUMBER(SEARCH("DS",F381))),11,
ISNUMBER(SEARCH("Generative AI",F381)),12
=_xlfn.IFS(
OR(F381="Selenium (Hands-on)",F381="Guest Lecture: HR Interview"),6,
OR(F381="Soft Skill",F381="Soft Skill (Examination)",F381="AWS Training",F381="AWS Session"),7,
OR(ISNUMBER(SEARCH("MAD",F381)),ISNUMBER(SEARCH("STQA",F381)),F381="CI/CD Session"),8,
OR(ISNUMBER(SEARCH("Cloud",F381)),F381="Industry Readiness Program",ISNUMBER(SEARCH("Talenlio",F381))),9,
OR(ISNUMBER(SEARCH("Innovation",F381)),F381="Mini Project"),10,
OR(ISNUMBER(SEARCH("Data Science",F381)),ISNUMBER(SEARCH("DS",F381))),11,
ISNUMBER(SEARCH("Generative AI",F381)),12
))))</f>
        <v>9</v>
      </c>
      <c r="X381" s="3">
        <v>3</v>
      </c>
      <c r="Y381" s="3">
        <v>18</v>
      </c>
      <c r="Z381" s="3" t="s">
        <v>38</v>
      </c>
    </row>
    <row r="382" spans="1:26" x14ac:dyDescent="0.3">
      <c r="A382" s="2">
        <v>46205</v>
      </c>
      <c r="B382" s="3" t="s">
        <v>45</v>
      </c>
      <c r="C382" s="3">
        <v>6</v>
      </c>
      <c r="D382" s="4">
        <v>0.60416666666666696</v>
      </c>
      <c r="E382" s="4">
        <v>0.64583333333333304</v>
      </c>
      <c r="F382" s="3" t="s">
        <v>63</v>
      </c>
      <c r="G382" s="3" t="s">
        <v>64</v>
      </c>
      <c r="H382" s="3" t="s">
        <v>29</v>
      </c>
      <c r="I382" s="3" t="s">
        <v>30</v>
      </c>
      <c r="J382" s="3" t="s">
        <v>84</v>
      </c>
      <c r="K382" s="3" t="s">
        <v>52</v>
      </c>
      <c r="L382" s="5">
        <v>102</v>
      </c>
      <c r="M382" s="5">
        <f t="shared" ca="1" si="25"/>
        <v>62</v>
      </c>
      <c r="N382" s="6">
        <f t="shared" ca="1" si="26"/>
        <v>60.784313725490193</v>
      </c>
      <c r="O382" s="3" cm="1">
        <f t="array" aca="1" ref="O382" ca="1">IFERROR(LOOKUP(2, 1/((F$1:F381=F382)*(J$1:J381=J382)*(ROW(F$1:F381)&lt;ROW(F382))), N$1:N381), "")</f>
        <v>64.705882352941174</v>
      </c>
      <c r="P382" s="3">
        <f t="shared" si="29"/>
        <v>0</v>
      </c>
      <c r="Q382" s="3" t="s">
        <v>33</v>
      </c>
      <c r="R382" s="3" t="s">
        <v>40</v>
      </c>
      <c r="S382" s="3" t="str">
        <f t="shared" si="27"/>
        <v>No</v>
      </c>
      <c r="T382" s="3" t="s">
        <v>40</v>
      </c>
      <c r="U382" s="3" t="str">
        <f t="shared" si="28"/>
        <v>Rainy</v>
      </c>
      <c r="V382" s="3" t="s">
        <v>40</v>
      </c>
      <c r="W382" s="3" cm="1">
        <f t="array" ref="W382">_xlfn.IFS(
OR(F382="Selenium (Hands-on)",F382="Guest Lecture: HR Interview"),6,
OR(F382="Soft Skill",F382="Soft Skill (Examination)",F382="AWS Training",F382="AWS Session"),7,
OR(ISNUMBER(SEARCH("MAD",F382)),ISNUMBER(SEARCH("STQA",F382)),F382="CI/CD Session"),8,
OR(ISNUMBER(SEARCH("Cloud",F382)),F382="Industry Readiness Program",ISNUMBER(SEARCH("Talenlio",F382))),9,
OR(ISNUMBER(SEARCH("Innovation",F382)),F382="Mini Project"),10,
OR(ISNUMBER(SEARCH("Data Science",F382)),ISNUMBER(SEARCH("DS",F382))),11,
ISNUMBER(SEARCH("Generative AI",F382)),12
=_xlfn.IFS(
OR(F382="Selenium (Hands-on)",F382="Guest Lecture: HR Interview"),6,
OR(F382="Soft Skill",F382="Soft Skill (Examination)",F382="AWS Training",F382="AWS Session"),7,
OR(ISNUMBER(SEARCH("MAD",F382)),ISNUMBER(SEARCH("STQA",F382)),F382="CI/CD Session"),8,
OR(ISNUMBER(SEARCH("Cloud",F382)),F382="Industry Readiness Program",ISNUMBER(SEARCH("Talenlio",F382))),9,
OR(ISNUMBER(SEARCH("Innovation",F382)),F382="Mini Project"),10,
OR(ISNUMBER(SEARCH("Data Science",F382)),ISNUMBER(SEARCH("DS",F382))),11,
ISNUMBER(SEARCH("Generative AI",F382)),12
=_xlfn.IFS(
OR(F382="Selenium (Hands-on)",F382="Guest Lecture: HR Interview"),6,
OR(F382="Soft Skill",F382="Soft Skill (Examination)",F382="AWS Training",F382="AWS Session"),7,
OR(ISNUMBER(SEARCH("MAD",F382)),ISNUMBER(SEARCH("STQA",F382)),F382="CI/CD Session"),8,
OR(ISNUMBER(SEARCH("Cloud",F382)),F382="Industry Readiness Program",ISNUMBER(SEARCH("Talenlio",F382))),9,
OR(ISNUMBER(SEARCH("Innovation",F382)),F382="Mini Project"),10,
OR(ISNUMBER(SEARCH("Data Science",F382)),ISNUMBER(SEARCH("DS",F382))),11,
ISNUMBER(SEARCH("Generative AI",F382)),12
=_xlfn.IFS(
OR(F382="Selenium (Hands-on)",F382="Guest Lecture: HR Interview"),6,
OR(F382="Soft Skill",F382="Soft Skill (Examination)",F382="AWS Training",F382="AWS Session"),7,
OR(ISNUMBER(SEARCH("MAD",F382)),ISNUMBER(SEARCH("STQA",F382)),F382="CI/CD Session"),8,
OR(ISNUMBER(SEARCH("Cloud",F382)),F382="Industry Readiness Program",ISNUMBER(SEARCH("Talenlio",F382))),9,
OR(ISNUMBER(SEARCH("Innovation",F382)),F382="Mini Project"),10,
OR(ISNUMBER(SEARCH("Data Science",F382)),ISNUMBER(SEARCH("DS",F382))),11,
ISNUMBER(SEARCH("Generative AI",F382)),12
))))</f>
        <v>9</v>
      </c>
      <c r="X382" s="3">
        <v>3</v>
      </c>
      <c r="Y382" s="3">
        <v>18</v>
      </c>
      <c r="Z382" s="3" t="s">
        <v>38</v>
      </c>
    </row>
    <row r="383" spans="1:26" x14ac:dyDescent="0.3">
      <c r="A383" s="2">
        <v>46206</v>
      </c>
      <c r="B383" s="3" t="s">
        <v>46</v>
      </c>
      <c r="C383" s="3">
        <v>1</v>
      </c>
      <c r="D383" s="4">
        <v>0.35416666666666702</v>
      </c>
      <c r="E383" s="4">
        <v>0.38541666666666702</v>
      </c>
      <c r="F383" s="3" t="s">
        <v>50</v>
      </c>
      <c r="G383" s="3" t="s">
        <v>51</v>
      </c>
      <c r="H383" s="3" t="s">
        <v>29</v>
      </c>
      <c r="I383" s="3" t="s">
        <v>30</v>
      </c>
      <c r="J383" s="3" t="s">
        <v>84</v>
      </c>
      <c r="K383" s="3" t="s">
        <v>52</v>
      </c>
      <c r="L383" s="5">
        <v>102</v>
      </c>
      <c r="M383" s="5">
        <f t="shared" ca="1" si="25"/>
        <v>79</v>
      </c>
      <c r="N383" s="6">
        <f t="shared" ca="1" si="26"/>
        <v>77.450980392156865</v>
      </c>
      <c r="O383" s="3" cm="1">
        <f t="array" aca="1" ref="O383" ca="1">IFERROR(LOOKUP(2, 1/((F$1:F382=F383)*(J$1:J382=J383)*(ROW(F$1:F382)&lt;ROW(F383))), N$1:N382), "")</f>
        <v>90.196078431372555</v>
      </c>
      <c r="P383" s="3">
        <f t="shared" si="29"/>
        <v>0</v>
      </c>
      <c r="Q383" s="3" t="s">
        <v>43</v>
      </c>
      <c r="R383" s="3" t="s">
        <v>40</v>
      </c>
      <c r="S383" s="3" t="str">
        <f t="shared" si="27"/>
        <v>Yes</v>
      </c>
      <c r="T383" s="3" t="s">
        <v>40</v>
      </c>
      <c r="U383" s="3" t="str">
        <f t="shared" si="28"/>
        <v>Rainy</v>
      </c>
      <c r="V383" s="3" t="s">
        <v>40</v>
      </c>
      <c r="W383" s="3" cm="1">
        <f t="array" ref="W383">_xlfn.IFS(
OR(F383="Selenium (Hands-on)",F383="Guest Lecture: HR Interview"),6,
OR(F383="Soft Skill",F383="Soft Skill (Examination)",F383="AWS Training",F383="AWS Session"),7,
OR(ISNUMBER(SEARCH("MAD",F383)),ISNUMBER(SEARCH("STQA",F383)),F383="CI/CD Session"),8,
OR(ISNUMBER(SEARCH("Cloud",F383)),F383="Industry Readiness Program",ISNUMBER(SEARCH("Talenlio",F383))),9,
OR(ISNUMBER(SEARCH("Innovation",F383)),F383="Mini Project"),10,
OR(ISNUMBER(SEARCH("Data Science",F383)),ISNUMBER(SEARCH("DS",F383))),11,
ISNUMBER(SEARCH("Generative AI",F383)),12
=_xlfn.IFS(
OR(F383="Selenium (Hands-on)",F383="Guest Lecture: HR Interview"),6,
OR(F383="Soft Skill",F383="Soft Skill (Examination)",F383="AWS Training",F383="AWS Session"),7,
OR(ISNUMBER(SEARCH("MAD",F383)),ISNUMBER(SEARCH("STQA",F383)),F383="CI/CD Session"),8,
OR(ISNUMBER(SEARCH("Cloud",F383)),F383="Industry Readiness Program",ISNUMBER(SEARCH("Talenlio",F383))),9,
OR(ISNUMBER(SEARCH("Innovation",F383)),F383="Mini Project"),10,
OR(ISNUMBER(SEARCH("Data Science",F383)),ISNUMBER(SEARCH("DS",F383))),11,
ISNUMBER(SEARCH("Generative AI",F383)),12
=_xlfn.IFS(
OR(F383="Selenium (Hands-on)",F383="Guest Lecture: HR Interview"),6,
OR(F383="Soft Skill",F383="Soft Skill (Examination)",F383="AWS Training",F383="AWS Session"),7,
OR(ISNUMBER(SEARCH("MAD",F383)),ISNUMBER(SEARCH("STQA",F383)),F383="CI/CD Session"),8,
OR(ISNUMBER(SEARCH("Cloud",F383)),F383="Industry Readiness Program",ISNUMBER(SEARCH("Talenlio",F383))),9,
OR(ISNUMBER(SEARCH("Innovation",F383)),F383="Mini Project"),10,
OR(ISNUMBER(SEARCH("Data Science",F383)),ISNUMBER(SEARCH("DS",F383))),11,
ISNUMBER(SEARCH("Generative AI",F383)),12
=_xlfn.IFS(
OR(F383="Selenium (Hands-on)",F383="Guest Lecture: HR Interview"),6,
OR(F383="Soft Skill",F383="Soft Skill (Examination)",F383="AWS Training",F383="AWS Session"),7,
OR(ISNUMBER(SEARCH("MAD",F383)),ISNUMBER(SEARCH("STQA",F383)),F383="CI/CD Session"),8,
OR(ISNUMBER(SEARCH("Cloud",F383)),F383="Industry Readiness Program",ISNUMBER(SEARCH("Talenlio",F383))),9,
OR(ISNUMBER(SEARCH("Innovation",F383)),F383="Mini Project"),10,
OR(ISNUMBER(SEARCH("Data Science",F383)),ISNUMBER(SEARCH("DS",F383))),11,
ISNUMBER(SEARCH("Generative AI",F383)),12
))))</f>
        <v>8</v>
      </c>
      <c r="X383" s="3">
        <v>3</v>
      </c>
      <c r="Y383" s="3">
        <v>19</v>
      </c>
      <c r="Z383" s="3" t="s">
        <v>35</v>
      </c>
    </row>
    <row r="384" spans="1:26" x14ac:dyDescent="0.3">
      <c r="A384" s="2">
        <v>46206</v>
      </c>
      <c r="B384" s="3" t="s">
        <v>46</v>
      </c>
      <c r="C384" s="3">
        <v>2</v>
      </c>
      <c r="D384" s="4">
        <v>0.38541666666666702</v>
      </c>
      <c r="E384" s="4">
        <v>0.42708333333333298</v>
      </c>
      <c r="F384" s="3" t="s">
        <v>50</v>
      </c>
      <c r="G384" s="3" t="s">
        <v>51</v>
      </c>
      <c r="H384" s="3" t="s">
        <v>29</v>
      </c>
      <c r="I384" s="3" t="s">
        <v>30</v>
      </c>
      <c r="J384" s="3" t="s">
        <v>84</v>
      </c>
      <c r="K384" s="3" t="s">
        <v>52</v>
      </c>
      <c r="L384" s="5">
        <v>102</v>
      </c>
      <c r="M384" s="5">
        <f t="shared" ca="1" si="25"/>
        <v>47</v>
      </c>
      <c r="N384" s="6">
        <f t="shared" ca="1" si="26"/>
        <v>46.078431372549019</v>
      </c>
      <c r="O384" s="3" cm="1">
        <f t="array" aca="1" ref="O384" ca="1">IFERROR(LOOKUP(2, 1/((F$1:F383=F384)*(J$1:J383=J384)*(ROW(F$1:F383)&lt;ROW(F384))), N$1:N383), "")</f>
        <v>77.450980392156865</v>
      </c>
      <c r="P384" s="3">
        <f t="shared" si="29"/>
        <v>0</v>
      </c>
      <c r="Q384" s="3" t="s">
        <v>43</v>
      </c>
      <c r="R384" s="3" t="s">
        <v>40</v>
      </c>
      <c r="S384" s="3" t="str">
        <f t="shared" si="27"/>
        <v>Yes</v>
      </c>
      <c r="T384" s="3" t="s">
        <v>40</v>
      </c>
      <c r="U384" s="3" t="str">
        <f t="shared" si="28"/>
        <v>Rainy</v>
      </c>
      <c r="V384" s="3" t="s">
        <v>40</v>
      </c>
      <c r="W384" s="3" cm="1">
        <f t="array" ref="W384">_xlfn.IFS(
OR(F384="Selenium (Hands-on)",F384="Guest Lecture: HR Interview"),6,
OR(F384="Soft Skill",F384="Soft Skill (Examination)",F384="AWS Training",F384="AWS Session"),7,
OR(ISNUMBER(SEARCH("MAD",F384)),ISNUMBER(SEARCH("STQA",F384)),F384="CI/CD Session"),8,
OR(ISNUMBER(SEARCH("Cloud",F384)),F384="Industry Readiness Program",ISNUMBER(SEARCH("Talenlio",F384))),9,
OR(ISNUMBER(SEARCH("Innovation",F384)),F384="Mini Project"),10,
OR(ISNUMBER(SEARCH("Data Science",F384)),ISNUMBER(SEARCH("DS",F384))),11,
ISNUMBER(SEARCH("Generative AI",F384)),12
=_xlfn.IFS(
OR(F384="Selenium (Hands-on)",F384="Guest Lecture: HR Interview"),6,
OR(F384="Soft Skill",F384="Soft Skill (Examination)",F384="AWS Training",F384="AWS Session"),7,
OR(ISNUMBER(SEARCH("MAD",F384)),ISNUMBER(SEARCH("STQA",F384)),F384="CI/CD Session"),8,
OR(ISNUMBER(SEARCH("Cloud",F384)),F384="Industry Readiness Program",ISNUMBER(SEARCH("Talenlio",F384))),9,
OR(ISNUMBER(SEARCH("Innovation",F384)),F384="Mini Project"),10,
OR(ISNUMBER(SEARCH("Data Science",F384)),ISNUMBER(SEARCH("DS",F384))),11,
ISNUMBER(SEARCH("Generative AI",F384)),12
=_xlfn.IFS(
OR(F384="Selenium (Hands-on)",F384="Guest Lecture: HR Interview"),6,
OR(F384="Soft Skill",F384="Soft Skill (Examination)",F384="AWS Training",F384="AWS Session"),7,
OR(ISNUMBER(SEARCH("MAD",F384)),ISNUMBER(SEARCH("STQA",F384)),F384="CI/CD Session"),8,
OR(ISNUMBER(SEARCH("Cloud",F384)),F384="Industry Readiness Program",ISNUMBER(SEARCH("Talenlio",F384))),9,
OR(ISNUMBER(SEARCH("Innovation",F384)),F384="Mini Project"),10,
OR(ISNUMBER(SEARCH("Data Science",F384)),ISNUMBER(SEARCH("DS",F384))),11,
ISNUMBER(SEARCH("Generative AI",F384)),12
=_xlfn.IFS(
OR(F384="Selenium (Hands-on)",F384="Guest Lecture: HR Interview"),6,
OR(F384="Soft Skill",F384="Soft Skill (Examination)",F384="AWS Training",F384="AWS Session"),7,
OR(ISNUMBER(SEARCH("MAD",F384)),ISNUMBER(SEARCH("STQA",F384)),F384="CI/CD Session"),8,
OR(ISNUMBER(SEARCH("Cloud",F384)),F384="Industry Readiness Program",ISNUMBER(SEARCH("Talenlio",F384))),9,
OR(ISNUMBER(SEARCH("Innovation",F384)),F384="Mini Project"),10,
OR(ISNUMBER(SEARCH("Data Science",F384)),ISNUMBER(SEARCH("DS",F384))),11,
ISNUMBER(SEARCH("Generative AI",F384)),12
))))</f>
        <v>8</v>
      </c>
      <c r="X384" s="3">
        <v>3</v>
      </c>
      <c r="Y384" s="3">
        <v>19</v>
      </c>
      <c r="Z384" s="3" t="s">
        <v>35</v>
      </c>
    </row>
    <row r="385" spans="1:26" x14ac:dyDescent="0.3">
      <c r="A385" s="2">
        <v>46206</v>
      </c>
      <c r="B385" s="3" t="s">
        <v>46</v>
      </c>
      <c r="C385" s="3">
        <v>3</v>
      </c>
      <c r="D385" s="4">
        <v>0.42708333333333298</v>
      </c>
      <c r="E385" s="4">
        <v>0.46875</v>
      </c>
      <c r="F385" s="3" t="s">
        <v>59</v>
      </c>
      <c r="G385" s="3" t="s">
        <v>60</v>
      </c>
      <c r="H385" s="3" t="s">
        <v>29</v>
      </c>
      <c r="I385" s="3" t="s">
        <v>30</v>
      </c>
      <c r="J385" s="3" t="s">
        <v>84</v>
      </c>
      <c r="K385" s="3" t="s">
        <v>52</v>
      </c>
      <c r="L385" s="5">
        <v>102</v>
      </c>
      <c r="M385" s="5">
        <f t="shared" ca="1" si="25"/>
        <v>86</v>
      </c>
      <c r="N385" s="6">
        <f t="shared" ca="1" si="26"/>
        <v>84.313725490196077</v>
      </c>
      <c r="O385" s="3" cm="1">
        <f t="array" aca="1" ref="O385" ca="1">IFERROR(LOOKUP(2, 1/((F$1:F384=F385)*(J$1:J384=J385)*(ROW(F$1:F384)&lt;ROW(F385))), N$1:N384), "")</f>
        <v>92.156862745098039</v>
      </c>
      <c r="P385" s="3">
        <f t="shared" si="29"/>
        <v>0</v>
      </c>
      <c r="Q385" s="3" t="s">
        <v>33</v>
      </c>
      <c r="R385" s="3" t="s">
        <v>40</v>
      </c>
      <c r="S385" s="3" t="str">
        <f t="shared" si="27"/>
        <v>Yes</v>
      </c>
      <c r="T385" s="3" t="s">
        <v>40</v>
      </c>
      <c r="U385" s="3" t="str">
        <f t="shared" si="28"/>
        <v>Rainy</v>
      </c>
      <c r="V385" s="3" t="s">
        <v>40</v>
      </c>
      <c r="W385" s="3" cm="1">
        <f t="array" ref="W385">_xlfn.IFS(
OR(F385="Selenium (Hands-on)",F385="Guest Lecture: HR Interview"),6,
OR(F385="Soft Skill",F385="Soft Skill (Examination)",F385="AWS Training",F385="AWS Session"),7,
OR(ISNUMBER(SEARCH("MAD",F385)),ISNUMBER(SEARCH("STQA",F385)),F385="CI/CD Session"),8,
OR(ISNUMBER(SEARCH("Cloud",F385)),F385="Industry Readiness Program",ISNUMBER(SEARCH("Talenlio",F385))),9,
OR(ISNUMBER(SEARCH("Innovation",F385)),F385="Mini Project"),10,
OR(ISNUMBER(SEARCH("Data Science",F385)),ISNUMBER(SEARCH("DS",F385))),11,
ISNUMBER(SEARCH("Generative AI",F385)),12
=_xlfn.IFS(
OR(F385="Selenium (Hands-on)",F385="Guest Lecture: HR Interview"),6,
OR(F385="Soft Skill",F385="Soft Skill (Examination)",F385="AWS Training",F385="AWS Session"),7,
OR(ISNUMBER(SEARCH("MAD",F385)),ISNUMBER(SEARCH("STQA",F385)),F385="CI/CD Session"),8,
OR(ISNUMBER(SEARCH("Cloud",F385)),F385="Industry Readiness Program",ISNUMBER(SEARCH("Talenlio",F385))),9,
OR(ISNUMBER(SEARCH("Innovation",F385)),F385="Mini Project"),10,
OR(ISNUMBER(SEARCH("Data Science",F385)),ISNUMBER(SEARCH("DS",F385))),11,
ISNUMBER(SEARCH("Generative AI",F385)),12
=_xlfn.IFS(
OR(F385="Selenium (Hands-on)",F385="Guest Lecture: HR Interview"),6,
OR(F385="Soft Skill",F385="Soft Skill (Examination)",F385="AWS Training",F385="AWS Session"),7,
OR(ISNUMBER(SEARCH("MAD",F385)),ISNUMBER(SEARCH("STQA",F385)),F385="CI/CD Session"),8,
OR(ISNUMBER(SEARCH("Cloud",F385)),F385="Industry Readiness Program",ISNUMBER(SEARCH("Talenlio",F385))),9,
OR(ISNUMBER(SEARCH("Innovation",F385)),F385="Mini Project"),10,
OR(ISNUMBER(SEARCH("Data Science",F385)),ISNUMBER(SEARCH("DS",F385))),11,
ISNUMBER(SEARCH("Generative AI",F385)),12
=_xlfn.IFS(
OR(F385="Selenium (Hands-on)",F385="Guest Lecture: HR Interview"),6,
OR(F385="Soft Skill",F385="Soft Skill (Examination)",F385="AWS Training",F385="AWS Session"),7,
OR(ISNUMBER(SEARCH("MAD",F385)),ISNUMBER(SEARCH("STQA",F385)),F385="CI/CD Session"),8,
OR(ISNUMBER(SEARCH("Cloud",F385)),F385="Industry Readiness Program",ISNUMBER(SEARCH("Talenlio",F385))),9,
OR(ISNUMBER(SEARCH("Innovation",F385)),F385="Mini Project"),10,
OR(ISNUMBER(SEARCH("Data Science",F385)),ISNUMBER(SEARCH("DS",F385))),11,
ISNUMBER(SEARCH("Generative AI",F385)),12
))))</f>
        <v>11</v>
      </c>
      <c r="X385" s="3">
        <v>3</v>
      </c>
      <c r="Y385" s="3">
        <v>19</v>
      </c>
      <c r="Z385" s="3" t="s">
        <v>35</v>
      </c>
    </row>
    <row r="386" spans="1:26" x14ac:dyDescent="0.3">
      <c r="A386" s="2">
        <v>46206</v>
      </c>
      <c r="B386" s="3" t="s">
        <v>46</v>
      </c>
      <c r="C386" s="3">
        <v>4</v>
      </c>
      <c r="D386" s="4">
        <v>0.46875</v>
      </c>
      <c r="E386" s="4">
        <v>0.51041666666666696</v>
      </c>
      <c r="F386" s="3" t="s">
        <v>57</v>
      </c>
      <c r="G386" s="3" t="s">
        <v>58</v>
      </c>
      <c r="H386" s="3" t="s">
        <v>29</v>
      </c>
      <c r="I386" s="3" t="s">
        <v>30</v>
      </c>
      <c r="J386" s="3" t="s">
        <v>84</v>
      </c>
      <c r="K386" s="3" t="s">
        <v>52</v>
      </c>
      <c r="L386" s="5">
        <v>102</v>
      </c>
      <c r="M386" s="5">
        <f t="shared" ref="M386:M449" ca="1" si="30">RANDBETWEEN(40,103)</f>
        <v>40</v>
      </c>
      <c r="N386" s="6">
        <f t="shared" ref="N386:N449" ca="1" si="31">IF(OR(L386="",M386=""),"",M386/L386*100)</f>
        <v>39.215686274509807</v>
      </c>
      <c r="O386" s="3" cm="1">
        <f t="array" aca="1" ref="O386" ca="1">IFERROR(LOOKUP(2, 1/((F$1:F385=F386)*(J$1:J385=J386)*(ROW(F$1:F385)&lt;ROW(F386))), N$1:N385), "")</f>
        <v>47.058823529411761</v>
      </c>
      <c r="P386" s="3">
        <f t="shared" si="29"/>
        <v>0</v>
      </c>
      <c r="Q386" s="3" t="s">
        <v>33</v>
      </c>
      <c r="R386" s="3" t="s">
        <v>40</v>
      </c>
      <c r="S386" s="3" t="str">
        <f t="shared" ref="S386:S449" si="32">IF(OR(ISNUMBER(SEARCH("Guest", F386)), ISNUMBER(SEARCH("Hands-on", F386)), ISNUMBER(SEARCH("Project", F386)), B386="Friday"), "Yes", "No")</f>
        <v>Yes</v>
      </c>
      <c r="T386" s="3" t="s">
        <v>40</v>
      </c>
      <c r="U386" s="3" t="str">
        <f t="shared" ref="U386:U449" si="33">IF(MONTH(A386)=6, IF(DAY(A386)&lt;20, "Sunny", "Cloudy"), IF(OR(MONTH(A386)=7, MONTH(A386)=8), "Rainy", "Sunny"))</f>
        <v>Rainy</v>
      </c>
      <c r="V386" s="3" t="s">
        <v>40</v>
      </c>
      <c r="W386" s="3" cm="1">
        <f t="array" ref="W386">_xlfn.IFS(
OR(F386="Selenium (Hands-on)",F386="Guest Lecture: HR Interview"),6,
OR(F386="Soft Skill",F386="Soft Skill (Examination)",F386="AWS Training",F386="AWS Session"),7,
OR(ISNUMBER(SEARCH("MAD",F386)),ISNUMBER(SEARCH("STQA",F386)),F386="CI/CD Session"),8,
OR(ISNUMBER(SEARCH("Cloud",F386)),F386="Industry Readiness Program",ISNUMBER(SEARCH("Talenlio",F386))),9,
OR(ISNUMBER(SEARCH("Innovation",F386)),F386="Mini Project"),10,
OR(ISNUMBER(SEARCH("Data Science",F386)),ISNUMBER(SEARCH("DS",F386))),11,
ISNUMBER(SEARCH("Generative AI",F386)),12
=_xlfn.IFS(
OR(F386="Selenium (Hands-on)",F386="Guest Lecture: HR Interview"),6,
OR(F386="Soft Skill",F386="Soft Skill (Examination)",F386="AWS Training",F386="AWS Session"),7,
OR(ISNUMBER(SEARCH("MAD",F386)),ISNUMBER(SEARCH("STQA",F386)),F386="CI/CD Session"),8,
OR(ISNUMBER(SEARCH("Cloud",F386)),F386="Industry Readiness Program",ISNUMBER(SEARCH("Talenlio",F386))),9,
OR(ISNUMBER(SEARCH("Innovation",F386)),F386="Mini Project"),10,
OR(ISNUMBER(SEARCH("Data Science",F386)),ISNUMBER(SEARCH("DS",F386))),11,
ISNUMBER(SEARCH("Generative AI",F386)),12
=_xlfn.IFS(
OR(F386="Selenium (Hands-on)",F386="Guest Lecture: HR Interview"),6,
OR(F386="Soft Skill",F386="Soft Skill (Examination)",F386="AWS Training",F386="AWS Session"),7,
OR(ISNUMBER(SEARCH("MAD",F386)),ISNUMBER(SEARCH("STQA",F386)),F386="CI/CD Session"),8,
OR(ISNUMBER(SEARCH("Cloud",F386)),F386="Industry Readiness Program",ISNUMBER(SEARCH("Talenlio",F386))),9,
OR(ISNUMBER(SEARCH("Innovation",F386)),F386="Mini Project"),10,
OR(ISNUMBER(SEARCH("Data Science",F386)),ISNUMBER(SEARCH("DS",F386))),11,
ISNUMBER(SEARCH("Generative AI",F386)),12
=_xlfn.IFS(
OR(F386="Selenium (Hands-on)",F386="Guest Lecture: HR Interview"),6,
OR(F386="Soft Skill",F386="Soft Skill (Examination)",F386="AWS Training",F386="AWS Session"),7,
OR(ISNUMBER(SEARCH("MAD",F386)),ISNUMBER(SEARCH("STQA",F386)),F386="CI/CD Session"),8,
OR(ISNUMBER(SEARCH("Cloud",F386)),F386="Industry Readiness Program",ISNUMBER(SEARCH("Talenlio",F386))),9,
OR(ISNUMBER(SEARCH("Innovation",F386)),F386="Mini Project"),10,
OR(ISNUMBER(SEARCH("Data Science",F386)),ISNUMBER(SEARCH("DS",F386))),11,
ISNUMBER(SEARCH("Generative AI",F386)),12
))))</f>
        <v>9</v>
      </c>
      <c r="X386" s="3">
        <v>3</v>
      </c>
      <c r="Y386" s="3">
        <v>19</v>
      </c>
      <c r="Z386" s="3" t="s">
        <v>35</v>
      </c>
    </row>
    <row r="387" spans="1:26" x14ac:dyDescent="0.3">
      <c r="A387" s="2">
        <v>46206</v>
      </c>
      <c r="B387" s="3" t="s">
        <v>46</v>
      </c>
      <c r="C387" s="3">
        <v>5</v>
      </c>
      <c r="D387" s="4">
        <v>0.5625</v>
      </c>
      <c r="E387" s="4">
        <v>0.60416666666666696</v>
      </c>
      <c r="F387" s="3" t="s">
        <v>62</v>
      </c>
      <c r="G387" s="3" t="s">
        <v>56</v>
      </c>
      <c r="H387" s="3" t="s">
        <v>29</v>
      </c>
      <c r="I387" s="3" t="s">
        <v>30</v>
      </c>
      <c r="J387" s="3" t="s">
        <v>84</v>
      </c>
      <c r="K387" s="3" t="s">
        <v>52</v>
      </c>
      <c r="L387" s="5">
        <v>102</v>
      </c>
      <c r="M387" s="5">
        <f t="shared" ca="1" si="30"/>
        <v>77</v>
      </c>
      <c r="N387" s="6">
        <f t="shared" ca="1" si="31"/>
        <v>75.490196078431367</v>
      </c>
      <c r="O387" s="3" cm="1">
        <f t="array" aca="1" ref="O387" ca="1">IFERROR(LOOKUP(2, 1/((F$1:F386=F387)*(J$1:J386=J387)*(ROW(F$1:F386)&lt;ROW(F387))), N$1:N386), "")</f>
        <v>92.156862745098039</v>
      </c>
      <c r="P387" s="3">
        <f t="shared" ref="P387:P450" si="34">IF(C387=1, 0, IF(AND(A387=A386, J387=J386), ROUND(MAX(0, (D387-E386)*24), 2), 0))</f>
        <v>1.25</v>
      </c>
      <c r="Q387" s="3" t="s">
        <v>33</v>
      </c>
      <c r="R387" s="3" t="s">
        <v>40</v>
      </c>
      <c r="S387" s="3" t="str">
        <f t="shared" si="32"/>
        <v>Yes</v>
      </c>
      <c r="T387" s="3" t="s">
        <v>40</v>
      </c>
      <c r="U387" s="3" t="str">
        <f t="shared" si="33"/>
        <v>Rainy</v>
      </c>
      <c r="V387" s="3" t="s">
        <v>40</v>
      </c>
      <c r="W387" s="3">
        <v>7</v>
      </c>
      <c r="X387" s="3">
        <v>3</v>
      </c>
      <c r="Y387" s="3">
        <v>19</v>
      </c>
      <c r="Z387" s="3" t="s">
        <v>38</v>
      </c>
    </row>
    <row r="388" spans="1:26" x14ac:dyDescent="0.3">
      <c r="A388" s="2">
        <v>46206</v>
      </c>
      <c r="B388" s="3" t="s">
        <v>46</v>
      </c>
      <c r="C388" s="3">
        <v>6</v>
      </c>
      <c r="D388" s="4">
        <v>0.60416666666666696</v>
      </c>
      <c r="E388" s="4">
        <v>0.64583333333333304</v>
      </c>
      <c r="F388" s="3" t="s">
        <v>62</v>
      </c>
      <c r="G388" s="3" t="s">
        <v>56</v>
      </c>
      <c r="H388" s="3" t="s">
        <v>29</v>
      </c>
      <c r="I388" s="3" t="s">
        <v>30</v>
      </c>
      <c r="J388" s="3" t="s">
        <v>84</v>
      </c>
      <c r="K388" s="3" t="s">
        <v>52</v>
      </c>
      <c r="L388" s="5">
        <v>102</v>
      </c>
      <c r="M388" s="5">
        <f t="shared" ca="1" si="30"/>
        <v>73</v>
      </c>
      <c r="N388" s="6">
        <f t="shared" ca="1" si="31"/>
        <v>71.568627450980387</v>
      </c>
      <c r="O388" s="3" cm="1">
        <f t="array" aca="1" ref="O388" ca="1">IFERROR(LOOKUP(2, 1/((F$1:F387=F388)*(J$1:J387=J388)*(ROW(F$1:F387)&lt;ROW(F388))), N$1:N387), "")</f>
        <v>75.490196078431367</v>
      </c>
      <c r="P388" s="3">
        <f t="shared" si="34"/>
        <v>0</v>
      </c>
      <c r="Q388" s="3" t="s">
        <v>33</v>
      </c>
      <c r="R388" s="3" t="s">
        <v>40</v>
      </c>
      <c r="S388" s="3" t="str">
        <f t="shared" si="32"/>
        <v>Yes</v>
      </c>
      <c r="T388" s="3" t="s">
        <v>40</v>
      </c>
      <c r="U388" s="3" t="str">
        <f t="shared" si="33"/>
        <v>Rainy</v>
      </c>
      <c r="V388" s="3" t="s">
        <v>40</v>
      </c>
      <c r="W388" s="3">
        <v>7</v>
      </c>
      <c r="X388" s="3">
        <v>3</v>
      </c>
      <c r="Y388" s="3">
        <v>19</v>
      </c>
      <c r="Z388" s="3" t="s">
        <v>38</v>
      </c>
    </row>
    <row r="389" spans="1:26" x14ac:dyDescent="0.3">
      <c r="A389" s="2">
        <v>46207</v>
      </c>
      <c r="B389" s="3" t="s">
        <v>47</v>
      </c>
      <c r="C389" s="3">
        <v>1</v>
      </c>
      <c r="D389" s="4">
        <v>0.35416666666666702</v>
      </c>
      <c r="E389" s="4">
        <v>0.38541666666666702</v>
      </c>
      <c r="F389" s="3" t="s">
        <v>65</v>
      </c>
      <c r="G389" s="3" t="s">
        <v>51</v>
      </c>
      <c r="H389" s="3" t="s">
        <v>29</v>
      </c>
      <c r="I389" s="3" t="s">
        <v>30</v>
      </c>
      <c r="J389" s="3" t="s">
        <v>84</v>
      </c>
      <c r="K389" s="3" t="s">
        <v>52</v>
      </c>
      <c r="L389" s="5">
        <v>102</v>
      </c>
      <c r="M389" s="5">
        <f t="shared" ca="1" si="30"/>
        <v>98</v>
      </c>
      <c r="N389" s="6">
        <f t="shared" ca="1" si="31"/>
        <v>96.078431372549019</v>
      </c>
      <c r="O389" s="3" cm="1">
        <f t="array" aca="1" ref="O389" ca="1">IFERROR(LOOKUP(2, 1/((F$1:F388=F389)*(J$1:J388=J389)*(ROW(F$1:F388)&lt;ROW(F389))), N$1:N388), "")</f>
        <v>58.82352941176471</v>
      </c>
      <c r="P389" s="3">
        <f t="shared" si="34"/>
        <v>0</v>
      </c>
      <c r="Q389" s="3" t="s">
        <v>43</v>
      </c>
      <c r="R389" s="3" t="s">
        <v>40</v>
      </c>
      <c r="S389" s="3" t="str">
        <f t="shared" si="32"/>
        <v>No</v>
      </c>
      <c r="T389" s="3" t="s">
        <v>34</v>
      </c>
      <c r="U389" s="3" t="str">
        <f t="shared" si="33"/>
        <v>Rainy</v>
      </c>
      <c r="V389" s="3" t="s">
        <v>40</v>
      </c>
      <c r="W389" s="3" cm="1">
        <f t="array" ref="W389">_xlfn.IFS(
OR(F389="Selenium (Hands-on)",F389="Guest Lecture: HR Interview"),6,
OR(F389="Soft Skill",F389="Soft Skill (Examination)",F389="AWS Training",F389="AWS Session"),7,
OR(ISNUMBER(SEARCH("MAD",F389)),ISNUMBER(SEARCH("STQA",F389)),F389="CI/CD Session"),8,
OR(ISNUMBER(SEARCH("Cloud",F389)),F389="Industry Readiness Program",ISNUMBER(SEARCH("Talenlio",F389))),9,
OR(ISNUMBER(SEARCH("Innovation",F389)),F389="Mini Project"),10,
OR(ISNUMBER(SEARCH("Data Science",F389)),ISNUMBER(SEARCH("DS",F389))),11,
ISNUMBER(SEARCH("Generative AI",F389)),12
=_xlfn.IFS(
OR(F389="Selenium (Hands-on)",F389="Guest Lecture: HR Interview"),6,
OR(F389="Soft Skill",F389="Soft Skill (Examination)",F389="AWS Training",F389="AWS Session"),7,
OR(ISNUMBER(SEARCH("MAD",F389)),ISNUMBER(SEARCH("STQA",F389)),F389="CI/CD Session"),8,
OR(ISNUMBER(SEARCH("Cloud",F389)),F389="Industry Readiness Program",ISNUMBER(SEARCH("Talenlio",F389))),9,
OR(ISNUMBER(SEARCH("Innovation",F389)),F389="Mini Project"),10,
OR(ISNUMBER(SEARCH("Data Science",F389)),ISNUMBER(SEARCH("DS",F389))),11,
ISNUMBER(SEARCH("Generative AI",F389)),12
=_xlfn.IFS(
OR(F389="Selenium (Hands-on)",F389="Guest Lecture: HR Interview"),6,
OR(F389="Soft Skill",F389="Soft Skill (Examination)",F389="AWS Training",F389="AWS Session"),7,
OR(ISNUMBER(SEARCH("MAD",F389)),ISNUMBER(SEARCH("STQA",F389)),F389="CI/CD Session"),8,
OR(ISNUMBER(SEARCH("Cloud",F389)),F389="Industry Readiness Program",ISNUMBER(SEARCH("Talenlio",F389))),9,
OR(ISNUMBER(SEARCH("Innovation",F389)),F389="Mini Project"),10,
OR(ISNUMBER(SEARCH("Data Science",F389)),ISNUMBER(SEARCH("DS",F389))),11,
ISNUMBER(SEARCH("Generative AI",F389)),12
=_xlfn.IFS(
OR(F389="Selenium (Hands-on)",F389="Guest Lecture: HR Interview"),6,
OR(F389="Soft Skill",F389="Soft Skill (Examination)",F389="AWS Training",F389="AWS Session"),7,
OR(ISNUMBER(SEARCH("MAD",F389)),ISNUMBER(SEARCH("STQA",F389)),F389="CI/CD Session"),8,
OR(ISNUMBER(SEARCH("Cloud",F389)),F389="Industry Readiness Program",ISNUMBER(SEARCH("Talenlio",F389))),9,
OR(ISNUMBER(SEARCH("Innovation",F389)),F389="Mini Project"),10,
OR(ISNUMBER(SEARCH("Data Science",F389)),ISNUMBER(SEARCH("DS",F389))),11,
ISNUMBER(SEARCH("Generative AI",F389)),12
))))</f>
        <v>8</v>
      </c>
      <c r="X389" s="3">
        <v>3</v>
      </c>
      <c r="Y389" s="3">
        <v>20</v>
      </c>
      <c r="Z389" s="3" t="s">
        <v>35</v>
      </c>
    </row>
    <row r="390" spans="1:26" x14ac:dyDescent="0.3">
      <c r="A390" s="2">
        <v>46207</v>
      </c>
      <c r="B390" s="3" t="s">
        <v>47</v>
      </c>
      <c r="C390" s="3">
        <v>2</v>
      </c>
      <c r="D390" s="4">
        <v>0.38541666666666702</v>
      </c>
      <c r="E390" s="4">
        <v>0.42708333333333298</v>
      </c>
      <c r="F390" s="3" t="s">
        <v>65</v>
      </c>
      <c r="G390" s="3" t="s">
        <v>51</v>
      </c>
      <c r="H390" s="3" t="s">
        <v>29</v>
      </c>
      <c r="I390" s="3" t="s">
        <v>30</v>
      </c>
      <c r="J390" s="3" t="s">
        <v>84</v>
      </c>
      <c r="K390" s="3" t="s">
        <v>52</v>
      </c>
      <c r="L390" s="5">
        <v>102</v>
      </c>
      <c r="M390" s="5">
        <f t="shared" ca="1" si="30"/>
        <v>48</v>
      </c>
      <c r="N390" s="6">
        <f t="shared" ca="1" si="31"/>
        <v>47.058823529411761</v>
      </c>
      <c r="O390" s="3" cm="1">
        <f t="array" aca="1" ref="O390" ca="1">IFERROR(LOOKUP(2, 1/((F$1:F389=F390)*(J$1:J389=J390)*(ROW(F$1:F389)&lt;ROW(F390))), N$1:N389), "")</f>
        <v>96.078431372549019</v>
      </c>
      <c r="P390" s="3">
        <f t="shared" si="34"/>
        <v>0</v>
      </c>
      <c r="Q390" s="3" t="s">
        <v>43</v>
      </c>
      <c r="R390" s="3" t="s">
        <v>40</v>
      </c>
      <c r="S390" s="3" t="str">
        <f t="shared" si="32"/>
        <v>No</v>
      </c>
      <c r="T390" s="3" t="s">
        <v>34</v>
      </c>
      <c r="U390" s="3" t="str">
        <f t="shared" si="33"/>
        <v>Rainy</v>
      </c>
      <c r="V390" s="3" t="s">
        <v>40</v>
      </c>
      <c r="W390" s="3" cm="1">
        <f t="array" ref="W390">_xlfn.IFS(
OR(F390="Selenium (Hands-on)",F390="Guest Lecture: HR Interview"),6,
OR(F390="Soft Skill",F390="Soft Skill (Examination)",F390="AWS Training",F390="AWS Session"),7,
OR(ISNUMBER(SEARCH("MAD",F390)),ISNUMBER(SEARCH("STQA",F390)),F390="CI/CD Session"),8,
OR(ISNUMBER(SEARCH("Cloud",F390)),F390="Industry Readiness Program",ISNUMBER(SEARCH("Talenlio",F390))),9,
OR(ISNUMBER(SEARCH("Innovation",F390)),F390="Mini Project"),10,
OR(ISNUMBER(SEARCH("Data Science",F390)),ISNUMBER(SEARCH("DS",F390))),11,
ISNUMBER(SEARCH("Generative AI",F390)),12
=_xlfn.IFS(
OR(F390="Selenium (Hands-on)",F390="Guest Lecture: HR Interview"),6,
OR(F390="Soft Skill",F390="Soft Skill (Examination)",F390="AWS Training",F390="AWS Session"),7,
OR(ISNUMBER(SEARCH("MAD",F390)),ISNUMBER(SEARCH("STQA",F390)),F390="CI/CD Session"),8,
OR(ISNUMBER(SEARCH("Cloud",F390)),F390="Industry Readiness Program",ISNUMBER(SEARCH("Talenlio",F390))),9,
OR(ISNUMBER(SEARCH("Innovation",F390)),F390="Mini Project"),10,
OR(ISNUMBER(SEARCH("Data Science",F390)),ISNUMBER(SEARCH("DS",F390))),11,
ISNUMBER(SEARCH("Generative AI",F390)),12
=_xlfn.IFS(
OR(F390="Selenium (Hands-on)",F390="Guest Lecture: HR Interview"),6,
OR(F390="Soft Skill",F390="Soft Skill (Examination)",F390="AWS Training",F390="AWS Session"),7,
OR(ISNUMBER(SEARCH("MAD",F390)),ISNUMBER(SEARCH("STQA",F390)),F390="CI/CD Session"),8,
OR(ISNUMBER(SEARCH("Cloud",F390)),F390="Industry Readiness Program",ISNUMBER(SEARCH("Talenlio",F390))),9,
OR(ISNUMBER(SEARCH("Innovation",F390)),F390="Mini Project"),10,
OR(ISNUMBER(SEARCH("Data Science",F390)),ISNUMBER(SEARCH("DS",F390))),11,
ISNUMBER(SEARCH("Generative AI",F390)),12
=_xlfn.IFS(
OR(F390="Selenium (Hands-on)",F390="Guest Lecture: HR Interview"),6,
OR(F390="Soft Skill",F390="Soft Skill (Examination)",F390="AWS Training",F390="AWS Session"),7,
OR(ISNUMBER(SEARCH("MAD",F390)),ISNUMBER(SEARCH("STQA",F390)),F390="CI/CD Session"),8,
OR(ISNUMBER(SEARCH("Cloud",F390)),F390="Industry Readiness Program",ISNUMBER(SEARCH("Talenlio",F390))),9,
OR(ISNUMBER(SEARCH("Innovation",F390)),F390="Mini Project"),10,
OR(ISNUMBER(SEARCH("Data Science",F390)),ISNUMBER(SEARCH("DS",F390))),11,
ISNUMBER(SEARCH("Generative AI",F390)),12
))))</f>
        <v>8</v>
      </c>
      <c r="X390" s="3">
        <v>3</v>
      </c>
      <c r="Y390" s="3">
        <v>20</v>
      </c>
      <c r="Z390" s="3" t="s">
        <v>35</v>
      </c>
    </row>
    <row r="391" spans="1:26" x14ac:dyDescent="0.3">
      <c r="A391" s="2">
        <v>46207</v>
      </c>
      <c r="B391" s="3" t="s">
        <v>47</v>
      </c>
      <c r="C391" s="3">
        <v>3</v>
      </c>
      <c r="D391" s="4">
        <v>0.42708333333333298</v>
      </c>
      <c r="E391" s="4">
        <v>0.46875</v>
      </c>
      <c r="F391" s="3" t="s">
        <v>66</v>
      </c>
      <c r="G391" s="3" t="s">
        <v>67</v>
      </c>
      <c r="H391" s="3" t="s">
        <v>29</v>
      </c>
      <c r="I391" s="3" t="s">
        <v>30</v>
      </c>
      <c r="J391" s="3" t="s">
        <v>84</v>
      </c>
      <c r="K391" s="3" t="s">
        <v>52</v>
      </c>
      <c r="L391" s="5">
        <v>102</v>
      </c>
      <c r="M391" s="5">
        <f t="shared" ca="1" si="30"/>
        <v>61</v>
      </c>
      <c r="N391" s="6">
        <f t="shared" ca="1" si="31"/>
        <v>59.803921568627452</v>
      </c>
      <c r="O391" s="3" cm="1">
        <f t="array" aca="1" ref="O391" ca="1">IFERROR(LOOKUP(2, 1/((F$1:F390=F391)*(J$1:J390=J391)*(ROW(F$1:F390)&lt;ROW(F391))), N$1:N390), "")</f>
        <v>98.039215686274503</v>
      </c>
      <c r="P391" s="3">
        <f t="shared" si="34"/>
        <v>0</v>
      </c>
      <c r="Q391" s="3" t="s">
        <v>43</v>
      </c>
      <c r="R391" s="3" t="s">
        <v>40</v>
      </c>
      <c r="S391" s="3" t="str">
        <f t="shared" si="32"/>
        <v>Yes</v>
      </c>
      <c r="T391" s="3" t="s">
        <v>34</v>
      </c>
      <c r="U391" s="3" t="str">
        <f t="shared" si="33"/>
        <v>Rainy</v>
      </c>
      <c r="V391" s="3" t="s">
        <v>40</v>
      </c>
      <c r="W391" s="3" cm="1">
        <f t="array" ref="W391">_xlfn.IFS(
OR(F391="Selenium (Hands-on)",F391="Guest Lecture: HR Interview"),6,
OR(F391="Soft Skill",F391="Soft Skill (Examination)",F391="AWS Training",F391="AWS Session"),7,
OR(ISNUMBER(SEARCH("MAD",F391)),ISNUMBER(SEARCH("STQA",F391)),F391="CI/CD Session"),8,
OR(ISNUMBER(SEARCH("Cloud",F391)),F391="Industry Readiness Program",ISNUMBER(SEARCH("Talenlio",F391))),9,
OR(ISNUMBER(SEARCH("Innovation",F391)),F391="Mini Project"),10,
OR(ISNUMBER(SEARCH("Data Science",F391)),ISNUMBER(SEARCH("DS",F391))),11,
ISNUMBER(SEARCH("Generative AI",F391)),12
=_xlfn.IFS(
OR(F391="Selenium (Hands-on)",F391="Guest Lecture: HR Interview"),6,
OR(F391="Soft Skill",F391="Soft Skill (Examination)",F391="AWS Training",F391="AWS Session"),7,
OR(ISNUMBER(SEARCH("MAD",F391)),ISNUMBER(SEARCH("STQA",F391)),F391="CI/CD Session"),8,
OR(ISNUMBER(SEARCH("Cloud",F391)),F391="Industry Readiness Program",ISNUMBER(SEARCH("Talenlio",F391))),9,
OR(ISNUMBER(SEARCH("Innovation",F391)),F391="Mini Project"),10,
OR(ISNUMBER(SEARCH("Data Science",F391)),ISNUMBER(SEARCH("DS",F391))),11,
ISNUMBER(SEARCH("Generative AI",F391)),12
=_xlfn.IFS(
OR(F391="Selenium (Hands-on)",F391="Guest Lecture: HR Interview"),6,
OR(F391="Soft Skill",F391="Soft Skill (Examination)",F391="AWS Training",F391="AWS Session"),7,
OR(ISNUMBER(SEARCH("MAD",F391)),ISNUMBER(SEARCH("STQA",F391)),F391="CI/CD Session"),8,
OR(ISNUMBER(SEARCH("Cloud",F391)),F391="Industry Readiness Program",ISNUMBER(SEARCH("Talenlio",F391))),9,
OR(ISNUMBER(SEARCH("Innovation",F391)),F391="Mini Project"),10,
OR(ISNUMBER(SEARCH("Data Science",F391)),ISNUMBER(SEARCH("DS",F391))),11,
ISNUMBER(SEARCH("Generative AI",F391)),12
=_xlfn.IFS(
OR(F391="Selenium (Hands-on)",F391="Guest Lecture: HR Interview"),6,
OR(F391="Soft Skill",F391="Soft Skill (Examination)",F391="AWS Training",F391="AWS Session"),7,
OR(ISNUMBER(SEARCH("MAD",F391)),ISNUMBER(SEARCH("STQA",F391)),F391="CI/CD Session"),8,
OR(ISNUMBER(SEARCH("Cloud",F391)),F391="Industry Readiness Program",ISNUMBER(SEARCH("Talenlio",F391))),9,
OR(ISNUMBER(SEARCH("Innovation",F391)),F391="Mini Project"),10,
OR(ISNUMBER(SEARCH("Data Science",F391)),ISNUMBER(SEARCH("DS",F391))),11,
ISNUMBER(SEARCH("Generative AI",F391)),12
))))</f>
        <v>10</v>
      </c>
      <c r="X391" s="3">
        <v>3</v>
      </c>
      <c r="Y391" s="3">
        <v>20</v>
      </c>
      <c r="Z391" s="3" t="s">
        <v>35</v>
      </c>
    </row>
    <row r="392" spans="1:26" x14ac:dyDescent="0.3">
      <c r="A392" s="2">
        <v>46207</v>
      </c>
      <c r="B392" s="3" t="s">
        <v>47</v>
      </c>
      <c r="C392" s="3">
        <v>4</v>
      </c>
      <c r="D392" s="4">
        <v>0.46875</v>
      </c>
      <c r="E392" s="4">
        <v>0.51041666666666696</v>
      </c>
      <c r="F392" s="3" t="s">
        <v>66</v>
      </c>
      <c r="G392" s="3" t="s">
        <v>67</v>
      </c>
      <c r="H392" s="3" t="s">
        <v>29</v>
      </c>
      <c r="I392" s="3" t="s">
        <v>30</v>
      </c>
      <c r="J392" s="3" t="s">
        <v>84</v>
      </c>
      <c r="K392" s="3" t="s">
        <v>52</v>
      </c>
      <c r="L392" s="5">
        <v>102</v>
      </c>
      <c r="M392" s="5">
        <f t="shared" ca="1" si="30"/>
        <v>101</v>
      </c>
      <c r="N392" s="6">
        <f t="shared" ca="1" si="31"/>
        <v>99.019607843137265</v>
      </c>
      <c r="O392" s="3" cm="1">
        <f t="array" aca="1" ref="O392" ca="1">IFERROR(LOOKUP(2, 1/((F$1:F391=F392)*(J$1:J391=J392)*(ROW(F$1:F391)&lt;ROW(F392))), N$1:N391), "")</f>
        <v>59.803921568627452</v>
      </c>
      <c r="P392" s="3">
        <f t="shared" si="34"/>
        <v>0</v>
      </c>
      <c r="Q392" s="3" t="s">
        <v>43</v>
      </c>
      <c r="R392" s="3" t="s">
        <v>40</v>
      </c>
      <c r="S392" s="3" t="str">
        <f t="shared" si="32"/>
        <v>Yes</v>
      </c>
      <c r="T392" s="3" t="s">
        <v>34</v>
      </c>
      <c r="U392" s="3" t="str">
        <f t="shared" si="33"/>
        <v>Rainy</v>
      </c>
      <c r="V392" s="3" t="s">
        <v>40</v>
      </c>
      <c r="W392" s="3" cm="1">
        <f t="array" ref="W392">_xlfn.IFS(
OR(F392="Selenium (Hands-on)",F392="Guest Lecture: HR Interview"),6,
OR(F392="Soft Skill",F392="Soft Skill (Examination)",F392="AWS Training",F392="AWS Session"),7,
OR(ISNUMBER(SEARCH("MAD",F392)),ISNUMBER(SEARCH("STQA",F392)),F392="CI/CD Session"),8,
OR(ISNUMBER(SEARCH("Cloud",F392)),F392="Industry Readiness Program",ISNUMBER(SEARCH("Talenlio",F392))),9,
OR(ISNUMBER(SEARCH("Innovation",F392)),F392="Mini Project"),10,
OR(ISNUMBER(SEARCH("Data Science",F392)),ISNUMBER(SEARCH("DS",F392))),11,
ISNUMBER(SEARCH("Generative AI",F392)),12
=_xlfn.IFS(
OR(F392="Selenium (Hands-on)",F392="Guest Lecture: HR Interview"),6,
OR(F392="Soft Skill",F392="Soft Skill (Examination)",F392="AWS Training",F392="AWS Session"),7,
OR(ISNUMBER(SEARCH("MAD",F392)),ISNUMBER(SEARCH("STQA",F392)),F392="CI/CD Session"),8,
OR(ISNUMBER(SEARCH("Cloud",F392)),F392="Industry Readiness Program",ISNUMBER(SEARCH("Talenlio",F392))),9,
OR(ISNUMBER(SEARCH("Innovation",F392)),F392="Mini Project"),10,
OR(ISNUMBER(SEARCH("Data Science",F392)),ISNUMBER(SEARCH("DS",F392))),11,
ISNUMBER(SEARCH("Generative AI",F392)),12
=_xlfn.IFS(
OR(F392="Selenium (Hands-on)",F392="Guest Lecture: HR Interview"),6,
OR(F392="Soft Skill",F392="Soft Skill (Examination)",F392="AWS Training",F392="AWS Session"),7,
OR(ISNUMBER(SEARCH("MAD",F392)),ISNUMBER(SEARCH("STQA",F392)),F392="CI/CD Session"),8,
OR(ISNUMBER(SEARCH("Cloud",F392)),F392="Industry Readiness Program",ISNUMBER(SEARCH("Talenlio",F392))),9,
OR(ISNUMBER(SEARCH("Innovation",F392)),F392="Mini Project"),10,
OR(ISNUMBER(SEARCH("Data Science",F392)),ISNUMBER(SEARCH("DS",F392))),11,
ISNUMBER(SEARCH("Generative AI",F392)),12
=_xlfn.IFS(
OR(F392="Selenium (Hands-on)",F392="Guest Lecture: HR Interview"),6,
OR(F392="Soft Skill",F392="Soft Skill (Examination)",F392="AWS Training",F392="AWS Session"),7,
OR(ISNUMBER(SEARCH("MAD",F392)),ISNUMBER(SEARCH("STQA",F392)),F392="CI/CD Session"),8,
OR(ISNUMBER(SEARCH("Cloud",F392)),F392="Industry Readiness Program",ISNUMBER(SEARCH("Talenlio",F392))),9,
OR(ISNUMBER(SEARCH("Innovation",F392)),F392="Mini Project"),10,
OR(ISNUMBER(SEARCH("Data Science",F392)),ISNUMBER(SEARCH("DS",F392))),11,
ISNUMBER(SEARCH("Generative AI",F392)),12
))))</f>
        <v>10</v>
      </c>
      <c r="X392" s="3">
        <v>3</v>
      </c>
      <c r="Y392" s="3">
        <v>20</v>
      </c>
      <c r="Z392" s="3" t="s">
        <v>35</v>
      </c>
    </row>
    <row r="393" spans="1:26" x14ac:dyDescent="0.3">
      <c r="A393" s="2">
        <v>46207</v>
      </c>
      <c r="B393" s="3" t="s">
        <v>47</v>
      </c>
      <c r="C393" s="3">
        <v>5</v>
      </c>
      <c r="D393" s="4">
        <v>0.5625</v>
      </c>
      <c r="E393" s="4">
        <v>0.60416666666666696</v>
      </c>
      <c r="F393" s="3" t="s">
        <v>66</v>
      </c>
      <c r="G393" s="3" t="s">
        <v>67</v>
      </c>
      <c r="H393" s="3" t="s">
        <v>29</v>
      </c>
      <c r="I393" s="3" t="s">
        <v>30</v>
      </c>
      <c r="J393" s="3" t="s">
        <v>84</v>
      </c>
      <c r="K393" s="3" t="s">
        <v>52</v>
      </c>
      <c r="L393" s="5">
        <v>102</v>
      </c>
      <c r="M393" s="5">
        <f t="shared" ca="1" si="30"/>
        <v>71</v>
      </c>
      <c r="N393" s="6">
        <f t="shared" ca="1" si="31"/>
        <v>69.607843137254903</v>
      </c>
      <c r="O393" s="3" cm="1">
        <f t="array" aca="1" ref="O393" ca="1">IFERROR(LOOKUP(2, 1/((F$1:F392=F393)*(J$1:J392=J393)*(ROW(F$1:F392)&lt;ROW(F393))), N$1:N392), "")</f>
        <v>99.019607843137265</v>
      </c>
      <c r="P393" s="3">
        <f t="shared" si="34"/>
        <v>1.25</v>
      </c>
      <c r="Q393" s="3" t="s">
        <v>43</v>
      </c>
      <c r="R393" s="3" t="s">
        <v>40</v>
      </c>
      <c r="S393" s="3" t="str">
        <f t="shared" si="32"/>
        <v>Yes</v>
      </c>
      <c r="T393" s="3" t="s">
        <v>34</v>
      </c>
      <c r="U393" s="3" t="str">
        <f t="shared" si="33"/>
        <v>Rainy</v>
      </c>
      <c r="V393" s="3" t="s">
        <v>40</v>
      </c>
      <c r="W393" s="3" cm="1">
        <f t="array" ref="W393">_xlfn.IFS(
OR(F393="Selenium (Hands-on)",F393="Guest Lecture: HR Interview"),6,
OR(F393="Soft Skill",F393="Soft Skill (Examination)",F393="AWS Training",F393="AWS Session"),7,
OR(ISNUMBER(SEARCH("MAD",F393)),ISNUMBER(SEARCH("STQA",F393)),F393="CI/CD Session"),8,
OR(ISNUMBER(SEARCH("Cloud",F393)),F393="Industry Readiness Program",ISNUMBER(SEARCH("Talenlio",F393))),9,
OR(ISNUMBER(SEARCH("Innovation",F393)),F393="Mini Project"),10,
OR(ISNUMBER(SEARCH("Data Science",F393)),ISNUMBER(SEARCH("DS",F393))),11,
ISNUMBER(SEARCH("Generative AI",F393)),12
=_xlfn.IFS(
OR(F393="Selenium (Hands-on)",F393="Guest Lecture: HR Interview"),6,
OR(F393="Soft Skill",F393="Soft Skill (Examination)",F393="AWS Training",F393="AWS Session"),7,
OR(ISNUMBER(SEARCH("MAD",F393)),ISNUMBER(SEARCH("STQA",F393)),F393="CI/CD Session"),8,
OR(ISNUMBER(SEARCH("Cloud",F393)),F393="Industry Readiness Program",ISNUMBER(SEARCH("Talenlio",F393))),9,
OR(ISNUMBER(SEARCH("Innovation",F393)),F393="Mini Project"),10,
OR(ISNUMBER(SEARCH("Data Science",F393)),ISNUMBER(SEARCH("DS",F393))),11,
ISNUMBER(SEARCH("Generative AI",F393)),12
=_xlfn.IFS(
OR(F393="Selenium (Hands-on)",F393="Guest Lecture: HR Interview"),6,
OR(F393="Soft Skill",F393="Soft Skill (Examination)",F393="AWS Training",F393="AWS Session"),7,
OR(ISNUMBER(SEARCH("MAD",F393)),ISNUMBER(SEARCH("STQA",F393)),F393="CI/CD Session"),8,
OR(ISNUMBER(SEARCH("Cloud",F393)),F393="Industry Readiness Program",ISNUMBER(SEARCH("Talenlio",F393))),9,
OR(ISNUMBER(SEARCH("Innovation",F393)),F393="Mini Project"),10,
OR(ISNUMBER(SEARCH("Data Science",F393)),ISNUMBER(SEARCH("DS",F393))),11,
ISNUMBER(SEARCH("Generative AI",F393)),12
=_xlfn.IFS(
OR(F393="Selenium (Hands-on)",F393="Guest Lecture: HR Interview"),6,
OR(F393="Soft Skill",F393="Soft Skill (Examination)",F393="AWS Training",F393="AWS Session"),7,
OR(ISNUMBER(SEARCH("MAD",F393)),ISNUMBER(SEARCH("STQA",F393)),F393="CI/CD Session"),8,
OR(ISNUMBER(SEARCH("Cloud",F393)),F393="Industry Readiness Program",ISNUMBER(SEARCH("Talenlio",F393))),9,
OR(ISNUMBER(SEARCH("Innovation",F393)),F393="Mini Project"),10,
OR(ISNUMBER(SEARCH("Data Science",F393)),ISNUMBER(SEARCH("DS",F393))),11,
ISNUMBER(SEARCH("Generative AI",F393)),12
))))</f>
        <v>10</v>
      </c>
      <c r="X393" s="3">
        <v>3</v>
      </c>
      <c r="Y393" s="3">
        <v>20</v>
      </c>
      <c r="Z393" s="3" t="s">
        <v>38</v>
      </c>
    </row>
    <row r="394" spans="1:26" x14ac:dyDescent="0.3">
      <c r="A394" s="2">
        <v>46207</v>
      </c>
      <c r="B394" s="3" t="s">
        <v>47</v>
      </c>
      <c r="C394" s="3">
        <v>6</v>
      </c>
      <c r="D394" s="4">
        <v>0.60416666666666696</v>
      </c>
      <c r="E394" s="4">
        <v>0.64583333333333304</v>
      </c>
      <c r="F394" s="3" t="s">
        <v>66</v>
      </c>
      <c r="G394" s="3" t="s">
        <v>67</v>
      </c>
      <c r="H394" s="3" t="s">
        <v>29</v>
      </c>
      <c r="I394" s="3" t="s">
        <v>30</v>
      </c>
      <c r="J394" s="3" t="s">
        <v>84</v>
      </c>
      <c r="K394" s="3" t="s">
        <v>52</v>
      </c>
      <c r="L394" s="5">
        <v>102</v>
      </c>
      <c r="M394" s="5">
        <f t="shared" ca="1" si="30"/>
        <v>82</v>
      </c>
      <c r="N394" s="6">
        <f t="shared" ca="1" si="31"/>
        <v>80.392156862745097</v>
      </c>
      <c r="O394" s="3" cm="1">
        <f t="array" aca="1" ref="O394" ca="1">IFERROR(LOOKUP(2, 1/((F$1:F393=F394)*(J$1:J393=J394)*(ROW(F$1:F393)&lt;ROW(F394))), N$1:N393), "")</f>
        <v>69.607843137254903</v>
      </c>
      <c r="P394" s="3">
        <f t="shared" si="34"/>
        <v>0</v>
      </c>
      <c r="Q394" s="3" t="s">
        <v>43</v>
      </c>
      <c r="R394" s="3" t="s">
        <v>40</v>
      </c>
      <c r="S394" s="3" t="str">
        <f t="shared" si="32"/>
        <v>Yes</v>
      </c>
      <c r="T394" s="3" t="s">
        <v>34</v>
      </c>
      <c r="U394" s="3" t="str">
        <f t="shared" si="33"/>
        <v>Rainy</v>
      </c>
      <c r="V394" s="3" t="s">
        <v>40</v>
      </c>
      <c r="W394" s="3" cm="1">
        <f t="array" ref="W394">_xlfn.IFS(
OR(F394="Selenium (Hands-on)",F394="Guest Lecture: HR Interview"),6,
OR(F394="Soft Skill",F394="Soft Skill (Examination)",F394="AWS Training",F394="AWS Session"),7,
OR(ISNUMBER(SEARCH("MAD",F394)),ISNUMBER(SEARCH("STQA",F394)),F394="CI/CD Session"),8,
OR(ISNUMBER(SEARCH("Cloud",F394)),F394="Industry Readiness Program",ISNUMBER(SEARCH("Talenlio",F394))),9,
OR(ISNUMBER(SEARCH("Innovation",F394)),F394="Mini Project"),10,
OR(ISNUMBER(SEARCH("Data Science",F394)),ISNUMBER(SEARCH("DS",F394))),11,
ISNUMBER(SEARCH("Generative AI",F394)),12
=_xlfn.IFS(
OR(F394="Selenium (Hands-on)",F394="Guest Lecture: HR Interview"),6,
OR(F394="Soft Skill",F394="Soft Skill (Examination)",F394="AWS Training",F394="AWS Session"),7,
OR(ISNUMBER(SEARCH("MAD",F394)),ISNUMBER(SEARCH("STQA",F394)),F394="CI/CD Session"),8,
OR(ISNUMBER(SEARCH("Cloud",F394)),F394="Industry Readiness Program",ISNUMBER(SEARCH("Talenlio",F394))),9,
OR(ISNUMBER(SEARCH("Innovation",F394)),F394="Mini Project"),10,
OR(ISNUMBER(SEARCH("Data Science",F394)),ISNUMBER(SEARCH("DS",F394))),11,
ISNUMBER(SEARCH("Generative AI",F394)),12
=_xlfn.IFS(
OR(F394="Selenium (Hands-on)",F394="Guest Lecture: HR Interview"),6,
OR(F394="Soft Skill",F394="Soft Skill (Examination)",F394="AWS Training",F394="AWS Session"),7,
OR(ISNUMBER(SEARCH("MAD",F394)),ISNUMBER(SEARCH("STQA",F394)),F394="CI/CD Session"),8,
OR(ISNUMBER(SEARCH("Cloud",F394)),F394="Industry Readiness Program",ISNUMBER(SEARCH("Talenlio",F394))),9,
OR(ISNUMBER(SEARCH("Innovation",F394)),F394="Mini Project"),10,
OR(ISNUMBER(SEARCH("Data Science",F394)),ISNUMBER(SEARCH("DS",F394))),11,
ISNUMBER(SEARCH("Generative AI",F394)),12
=_xlfn.IFS(
OR(F394="Selenium (Hands-on)",F394="Guest Lecture: HR Interview"),6,
OR(F394="Soft Skill",F394="Soft Skill (Examination)",F394="AWS Training",F394="AWS Session"),7,
OR(ISNUMBER(SEARCH("MAD",F394)),ISNUMBER(SEARCH("STQA",F394)),F394="CI/CD Session"),8,
OR(ISNUMBER(SEARCH("Cloud",F394)),F394="Industry Readiness Program",ISNUMBER(SEARCH("Talenlio",F394))),9,
OR(ISNUMBER(SEARCH("Innovation",F394)),F394="Mini Project"),10,
OR(ISNUMBER(SEARCH("Data Science",F394)),ISNUMBER(SEARCH("DS",F394))),11,
ISNUMBER(SEARCH("Generative AI",F394)),12
))))</f>
        <v>10</v>
      </c>
      <c r="X394" s="3">
        <v>3</v>
      </c>
      <c r="Y394" s="3">
        <v>20</v>
      </c>
      <c r="Z394" s="3" t="s">
        <v>38</v>
      </c>
    </row>
    <row r="395" spans="1:26" x14ac:dyDescent="0.3">
      <c r="A395" s="2">
        <v>46209</v>
      </c>
      <c r="B395" s="3" t="s">
        <v>26</v>
      </c>
      <c r="C395" s="3">
        <v>1</v>
      </c>
      <c r="D395" s="4">
        <v>0.35416666666666702</v>
      </c>
      <c r="E395" s="4">
        <v>0.38541666666666702</v>
      </c>
      <c r="F395" s="3" t="s">
        <v>50</v>
      </c>
      <c r="G395" s="3" t="s">
        <v>51</v>
      </c>
      <c r="H395" s="3" t="s">
        <v>29</v>
      </c>
      <c r="I395" s="3" t="s">
        <v>30</v>
      </c>
      <c r="J395" s="3" t="s">
        <v>84</v>
      </c>
      <c r="K395" s="3" t="s">
        <v>52</v>
      </c>
      <c r="L395" s="5">
        <v>102</v>
      </c>
      <c r="M395" s="5">
        <f t="shared" ca="1" si="30"/>
        <v>102</v>
      </c>
      <c r="N395" s="6">
        <f t="shared" ca="1" si="31"/>
        <v>100</v>
      </c>
      <c r="O395" s="3" cm="1">
        <f t="array" aca="1" ref="O395" ca="1">IFERROR(LOOKUP(2, 1/((F$1:F394=F395)*(J$1:J394=J395)*(ROW(F$1:F394)&lt;ROW(F395))), N$1:N394), "")</f>
        <v>46.078431372549019</v>
      </c>
      <c r="P395" s="3">
        <f t="shared" si="34"/>
        <v>0</v>
      </c>
      <c r="Q395" s="3" t="s">
        <v>43</v>
      </c>
      <c r="R395" s="3" t="s">
        <v>40</v>
      </c>
      <c r="S395" s="3" t="str">
        <f t="shared" si="32"/>
        <v>No</v>
      </c>
      <c r="T395" s="3" t="s">
        <v>34</v>
      </c>
      <c r="U395" s="3" t="str">
        <f t="shared" si="33"/>
        <v>Rainy</v>
      </c>
      <c r="V395" s="3" t="s">
        <v>40</v>
      </c>
      <c r="W395" s="3" cm="1">
        <f t="array" ref="W395">_xlfn.IFS(
OR(F395="Selenium (Hands-on)",F395="Guest Lecture: HR Interview"),6,
OR(F395="Soft Skill",F395="Soft Skill (Examination)",F395="AWS Training",F395="AWS Session"),7,
OR(ISNUMBER(SEARCH("MAD",F395)),ISNUMBER(SEARCH("STQA",F395)),F395="CI/CD Session"),8,
OR(ISNUMBER(SEARCH("Cloud",F395)),F395="Industry Readiness Program",ISNUMBER(SEARCH("Talenlio",F395))),9,
OR(ISNUMBER(SEARCH("Innovation",F395)),F395="Mini Project"),10,
OR(ISNUMBER(SEARCH("Data Science",F395)),ISNUMBER(SEARCH("DS",F395))),11,
ISNUMBER(SEARCH("Generative AI",F395)),12
=_xlfn.IFS(
OR(F395="Selenium (Hands-on)",F395="Guest Lecture: HR Interview"),6,
OR(F395="Soft Skill",F395="Soft Skill (Examination)",F395="AWS Training",F395="AWS Session"),7,
OR(ISNUMBER(SEARCH("MAD",F395)),ISNUMBER(SEARCH("STQA",F395)),F395="CI/CD Session"),8,
OR(ISNUMBER(SEARCH("Cloud",F395)),F395="Industry Readiness Program",ISNUMBER(SEARCH("Talenlio",F395))),9,
OR(ISNUMBER(SEARCH("Innovation",F395)),F395="Mini Project"),10,
OR(ISNUMBER(SEARCH("Data Science",F395)),ISNUMBER(SEARCH("DS",F395))),11,
ISNUMBER(SEARCH("Generative AI",F395)),12
=_xlfn.IFS(
OR(F395="Selenium (Hands-on)",F395="Guest Lecture: HR Interview"),6,
OR(F395="Soft Skill",F395="Soft Skill (Examination)",F395="AWS Training",F395="AWS Session"),7,
OR(ISNUMBER(SEARCH("MAD",F395)),ISNUMBER(SEARCH("STQA",F395)),F395="CI/CD Session"),8,
OR(ISNUMBER(SEARCH("Cloud",F395)),F395="Industry Readiness Program",ISNUMBER(SEARCH("Talenlio",F395))),9,
OR(ISNUMBER(SEARCH("Innovation",F395)),F395="Mini Project"),10,
OR(ISNUMBER(SEARCH("Data Science",F395)),ISNUMBER(SEARCH("DS",F395))),11,
ISNUMBER(SEARCH("Generative AI",F395)),12
=_xlfn.IFS(
OR(F395="Selenium (Hands-on)",F395="Guest Lecture: HR Interview"),6,
OR(F395="Soft Skill",F395="Soft Skill (Examination)",F395="AWS Training",F395="AWS Session"),7,
OR(ISNUMBER(SEARCH("MAD",F395)),ISNUMBER(SEARCH("STQA",F395)),F395="CI/CD Session"),8,
OR(ISNUMBER(SEARCH("Cloud",F395)),F395="Industry Readiness Program",ISNUMBER(SEARCH("Talenlio",F395))),9,
OR(ISNUMBER(SEARCH("Innovation",F395)),F395="Mini Project"),10,
OR(ISNUMBER(SEARCH("Data Science",F395)),ISNUMBER(SEARCH("DS",F395))),11,
ISNUMBER(SEARCH("Generative AI",F395)),12
))))</f>
        <v>8</v>
      </c>
      <c r="X395" s="3">
        <v>4</v>
      </c>
      <c r="Y395" s="3">
        <v>22</v>
      </c>
      <c r="Z395" s="3" t="s">
        <v>35</v>
      </c>
    </row>
    <row r="396" spans="1:26" x14ac:dyDescent="0.3">
      <c r="A396" s="2">
        <v>46209</v>
      </c>
      <c r="B396" s="3" t="s">
        <v>26</v>
      </c>
      <c r="C396" s="3">
        <v>2</v>
      </c>
      <c r="D396" s="4">
        <v>0.38541666666666702</v>
      </c>
      <c r="E396" s="4">
        <v>0.42708333333333298</v>
      </c>
      <c r="F396" s="3" t="s">
        <v>50</v>
      </c>
      <c r="G396" s="3" t="s">
        <v>51</v>
      </c>
      <c r="H396" s="3" t="s">
        <v>29</v>
      </c>
      <c r="I396" s="3" t="s">
        <v>30</v>
      </c>
      <c r="J396" s="3" t="s">
        <v>84</v>
      </c>
      <c r="K396" s="3" t="s">
        <v>52</v>
      </c>
      <c r="L396" s="5">
        <v>102</v>
      </c>
      <c r="M396" s="5">
        <f t="shared" ca="1" si="30"/>
        <v>77</v>
      </c>
      <c r="N396" s="6">
        <f t="shared" ca="1" si="31"/>
        <v>75.490196078431367</v>
      </c>
      <c r="O396" s="3" cm="1">
        <f t="array" aca="1" ref="O396" ca="1">IFERROR(LOOKUP(2, 1/((F$1:F395=F396)*(J$1:J395=J396)*(ROW(F$1:F395)&lt;ROW(F396))), N$1:N395), "")</f>
        <v>100</v>
      </c>
      <c r="P396" s="3">
        <f t="shared" si="34"/>
        <v>0</v>
      </c>
      <c r="Q396" s="3" t="s">
        <v>43</v>
      </c>
      <c r="R396" s="3" t="s">
        <v>40</v>
      </c>
      <c r="S396" s="3" t="str">
        <f t="shared" si="32"/>
        <v>No</v>
      </c>
      <c r="T396" s="3" t="s">
        <v>34</v>
      </c>
      <c r="U396" s="3" t="str">
        <f t="shared" si="33"/>
        <v>Rainy</v>
      </c>
      <c r="V396" s="3" t="s">
        <v>40</v>
      </c>
      <c r="W396" s="3" cm="1">
        <f t="array" ref="W396">_xlfn.IFS(
OR(F396="Selenium (Hands-on)",F396="Guest Lecture: HR Interview"),6,
OR(F396="Soft Skill",F396="Soft Skill (Examination)",F396="AWS Training",F396="AWS Session"),7,
OR(ISNUMBER(SEARCH("MAD",F396)),ISNUMBER(SEARCH("STQA",F396)),F396="CI/CD Session"),8,
OR(ISNUMBER(SEARCH("Cloud",F396)),F396="Industry Readiness Program",ISNUMBER(SEARCH("Talenlio",F396))),9,
OR(ISNUMBER(SEARCH("Innovation",F396)),F396="Mini Project"),10,
OR(ISNUMBER(SEARCH("Data Science",F396)),ISNUMBER(SEARCH("DS",F396))),11,
ISNUMBER(SEARCH("Generative AI",F396)),12
=_xlfn.IFS(
OR(F396="Selenium (Hands-on)",F396="Guest Lecture: HR Interview"),6,
OR(F396="Soft Skill",F396="Soft Skill (Examination)",F396="AWS Training",F396="AWS Session"),7,
OR(ISNUMBER(SEARCH("MAD",F396)),ISNUMBER(SEARCH("STQA",F396)),F396="CI/CD Session"),8,
OR(ISNUMBER(SEARCH("Cloud",F396)),F396="Industry Readiness Program",ISNUMBER(SEARCH("Talenlio",F396))),9,
OR(ISNUMBER(SEARCH("Innovation",F396)),F396="Mini Project"),10,
OR(ISNUMBER(SEARCH("Data Science",F396)),ISNUMBER(SEARCH("DS",F396))),11,
ISNUMBER(SEARCH("Generative AI",F396)),12
=_xlfn.IFS(
OR(F396="Selenium (Hands-on)",F396="Guest Lecture: HR Interview"),6,
OR(F396="Soft Skill",F396="Soft Skill (Examination)",F396="AWS Training",F396="AWS Session"),7,
OR(ISNUMBER(SEARCH("MAD",F396)),ISNUMBER(SEARCH("STQA",F396)),F396="CI/CD Session"),8,
OR(ISNUMBER(SEARCH("Cloud",F396)),F396="Industry Readiness Program",ISNUMBER(SEARCH("Talenlio",F396))),9,
OR(ISNUMBER(SEARCH("Innovation",F396)),F396="Mini Project"),10,
OR(ISNUMBER(SEARCH("Data Science",F396)),ISNUMBER(SEARCH("DS",F396))),11,
ISNUMBER(SEARCH("Generative AI",F396)),12
=_xlfn.IFS(
OR(F396="Selenium (Hands-on)",F396="Guest Lecture: HR Interview"),6,
OR(F396="Soft Skill",F396="Soft Skill (Examination)",F396="AWS Training",F396="AWS Session"),7,
OR(ISNUMBER(SEARCH("MAD",F396)),ISNUMBER(SEARCH("STQA",F396)),F396="CI/CD Session"),8,
OR(ISNUMBER(SEARCH("Cloud",F396)),F396="Industry Readiness Program",ISNUMBER(SEARCH("Talenlio",F396))),9,
OR(ISNUMBER(SEARCH("Innovation",F396)),F396="Mini Project"),10,
OR(ISNUMBER(SEARCH("Data Science",F396)),ISNUMBER(SEARCH("DS",F396))),11,
ISNUMBER(SEARCH("Generative AI",F396)),12
))))</f>
        <v>8</v>
      </c>
      <c r="X396" s="3">
        <v>4</v>
      </c>
      <c r="Y396" s="3">
        <v>22</v>
      </c>
      <c r="Z396" s="3" t="s">
        <v>35</v>
      </c>
    </row>
    <row r="397" spans="1:26" x14ac:dyDescent="0.3">
      <c r="A397" s="2">
        <v>46209</v>
      </c>
      <c r="B397" s="3" t="s">
        <v>26</v>
      </c>
      <c r="C397" s="3">
        <v>3</v>
      </c>
      <c r="D397" s="4">
        <v>0.42708333333333298</v>
      </c>
      <c r="E397" s="4">
        <v>0.46875</v>
      </c>
      <c r="F397" s="3" t="s">
        <v>53</v>
      </c>
      <c r="G397" s="3" t="s">
        <v>54</v>
      </c>
      <c r="H397" s="3" t="s">
        <v>29</v>
      </c>
      <c r="I397" s="3" t="s">
        <v>30</v>
      </c>
      <c r="J397" s="3" t="s">
        <v>84</v>
      </c>
      <c r="K397" s="3" t="s">
        <v>52</v>
      </c>
      <c r="L397" s="5">
        <v>102</v>
      </c>
      <c r="M397" s="5">
        <f t="shared" ca="1" si="30"/>
        <v>85</v>
      </c>
      <c r="N397" s="6">
        <f t="shared" ca="1" si="31"/>
        <v>83.333333333333343</v>
      </c>
      <c r="O397" s="3" cm="1">
        <f t="array" aca="1" ref="O397" ca="1">IFERROR(LOOKUP(2, 1/((F$1:F396=F397)*(J$1:J396=J397)*(ROW(F$1:F396)&lt;ROW(F397))), N$1:N396), "")</f>
        <v>96.078431372549019</v>
      </c>
      <c r="P397" s="3">
        <f t="shared" si="34"/>
        <v>0</v>
      </c>
      <c r="Q397" s="3" t="s">
        <v>33</v>
      </c>
      <c r="R397" s="3" t="s">
        <v>40</v>
      </c>
      <c r="S397" s="3" t="str">
        <f t="shared" si="32"/>
        <v>No</v>
      </c>
      <c r="T397" s="3" t="s">
        <v>34</v>
      </c>
      <c r="U397" s="3" t="str">
        <f t="shared" si="33"/>
        <v>Rainy</v>
      </c>
      <c r="V397" s="3" t="s">
        <v>40</v>
      </c>
      <c r="W397" s="3" cm="1">
        <f t="array" ref="W397">_xlfn.IFS(
OR(F397="Selenium (Hands-on)",F397="Guest Lecture: HR Interview"),6,
OR(F397="Soft Skill",F397="Soft Skill (Examination)",F397="AWS Training",F397="AWS Session"),7,
OR(ISNUMBER(SEARCH("MAD",F397)),ISNUMBER(SEARCH("STQA",F397)),F397="CI/CD Session"),8,
OR(ISNUMBER(SEARCH("Cloud",F397)),F397="Industry Readiness Program",ISNUMBER(SEARCH("Talenlio",F397))),9,
OR(ISNUMBER(SEARCH("Innovation",F397)),F397="Mini Project"),10,
OR(ISNUMBER(SEARCH("Data Science",F397)),ISNUMBER(SEARCH("DS",F397))),11,
ISNUMBER(SEARCH("Generative AI",F397)),12
=_xlfn.IFS(
OR(F397="Selenium (Hands-on)",F397="Guest Lecture: HR Interview"),6,
OR(F397="Soft Skill",F397="Soft Skill (Examination)",F397="AWS Training",F397="AWS Session"),7,
OR(ISNUMBER(SEARCH("MAD",F397)),ISNUMBER(SEARCH("STQA",F397)),F397="CI/CD Session"),8,
OR(ISNUMBER(SEARCH("Cloud",F397)),F397="Industry Readiness Program",ISNUMBER(SEARCH("Talenlio",F397))),9,
OR(ISNUMBER(SEARCH("Innovation",F397)),F397="Mini Project"),10,
OR(ISNUMBER(SEARCH("Data Science",F397)),ISNUMBER(SEARCH("DS",F397))),11,
ISNUMBER(SEARCH("Generative AI",F397)),12
=_xlfn.IFS(
OR(F397="Selenium (Hands-on)",F397="Guest Lecture: HR Interview"),6,
OR(F397="Soft Skill",F397="Soft Skill (Examination)",F397="AWS Training",F397="AWS Session"),7,
OR(ISNUMBER(SEARCH("MAD",F397)),ISNUMBER(SEARCH("STQA",F397)),F397="CI/CD Session"),8,
OR(ISNUMBER(SEARCH("Cloud",F397)),F397="Industry Readiness Program",ISNUMBER(SEARCH("Talenlio",F397))),9,
OR(ISNUMBER(SEARCH("Innovation",F397)),F397="Mini Project"),10,
OR(ISNUMBER(SEARCH("Data Science",F397)),ISNUMBER(SEARCH("DS",F397))),11,
ISNUMBER(SEARCH("Generative AI",F397)),12
=_xlfn.IFS(
OR(F397="Selenium (Hands-on)",F397="Guest Lecture: HR Interview"),6,
OR(F397="Soft Skill",F397="Soft Skill (Examination)",F397="AWS Training",F397="AWS Session"),7,
OR(ISNUMBER(SEARCH("MAD",F397)),ISNUMBER(SEARCH("STQA",F397)),F397="CI/CD Session"),8,
OR(ISNUMBER(SEARCH("Cloud",F397)),F397="Industry Readiness Program",ISNUMBER(SEARCH("Talenlio",F397))),9,
OR(ISNUMBER(SEARCH("Innovation",F397)),F397="Mini Project"),10,
OR(ISNUMBER(SEARCH("Data Science",F397)),ISNUMBER(SEARCH("DS",F397))),11,
ISNUMBER(SEARCH("Generative AI",F397)),12
))))</f>
        <v>10</v>
      </c>
      <c r="X397" s="3">
        <v>4</v>
      </c>
      <c r="Y397" s="3">
        <v>22</v>
      </c>
      <c r="Z397" s="3" t="s">
        <v>35</v>
      </c>
    </row>
    <row r="398" spans="1:26" x14ac:dyDescent="0.3">
      <c r="A398" s="2">
        <v>46209</v>
      </c>
      <c r="B398" s="3" t="s">
        <v>26</v>
      </c>
      <c r="C398" s="3">
        <v>4</v>
      </c>
      <c r="D398" s="4">
        <v>0.46875</v>
      </c>
      <c r="E398" s="4">
        <v>0.51041666666666696</v>
      </c>
      <c r="F398" s="3" t="s">
        <v>53</v>
      </c>
      <c r="G398" s="3" t="s">
        <v>54</v>
      </c>
      <c r="H398" s="3" t="s">
        <v>29</v>
      </c>
      <c r="I398" s="3" t="s">
        <v>30</v>
      </c>
      <c r="J398" s="3" t="s">
        <v>84</v>
      </c>
      <c r="K398" s="3" t="s">
        <v>52</v>
      </c>
      <c r="L398" s="5">
        <v>102</v>
      </c>
      <c r="M398" s="5">
        <f t="shared" ca="1" si="30"/>
        <v>42</v>
      </c>
      <c r="N398" s="6">
        <f t="shared" ca="1" si="31"/>
        <v>41.17647058823529</v>
      </c>
      <c r="O398" s="3" cm="1">
        <f t="array" aca="1" ref="O398" ca="1">IFERROR(LOOKUP(2, 1/((F$1:F397=F398)*(J$1:J397=J398)*(ROW(F$1:F397)&lt;ROW(F398))), N$1:N397), "")</f>
        <v>83.333333333333343</v>
      </c>
      <c r="P398" s="3">
        <f t="shared" si="34"/>
        <v>0</v>
      </c>
      <c r="Q398" s="3" t="s">
        <v>33</v>
      </c>
      <c r="R398" s="3" t="s">
        <v>40</v>
      </c>
      <c r="S398" s="3" t="str">
        <f t="shared" si="32"/>
        <v>No</v>
      </c>
      <c r="T398" s="3" t="s">
        <v>34</v>
      </c>
      <c r="U398" s="3" t="str">
        <f t="shared" si="33"/>
        <v>Rainy</v>
      </c>
      <c r="V398" s="3" t="s">
        <v>40</v>
      </c>
      <c r="W398" s="3" cm="1">
        <f t="array" ref="W398">_xlfn.IFS(
OR(F398="Selenium (Hands-on)",F398="Guest Lecture: HR Interview"),6,
OR(F398="Soft Skill",F398="Soft Skill (Examination)",F398="AWS Training",F398="AWS Session"),7,
OR(ISNUMBER(SEARCH("MAD",F398)),ISNUMBER(SEARCH("STQA",F398)),F398="CI/CD Session"),8,
OR(ISNUMBER(SEARCH("Cloud",F398)),F398="Industry Readiness Program",ISNUMBER(SEARCH("Talenlio",F398))),9,
OR(ISNUMBER(SEARCH("Innovation",F398)),F398="Mini Project"),10,
OR(ISNUMBER(SEARCH("Data Science",F398)),ISNUMBER(SEARCH("DS",F398))),11,
ISNUMBER(SEARCH("Generative AI",F398)),12
=_xlfn.IFS(
OR(F398="Selenium (Hands-on)",F398="Guest Lecture: HR Interview"),6,
OR(F398="Soft Skill",F398="Soft Skill (Examination)",F398="AWS Training",F398="AWS Session"),7,
OR(ISNUMBER(SEARCH("MAD",F398)),ISNUMBER(SEARCH("STQA",F398)),F398="CI/CD Session"),8,
OR(ISNUMBER(SEARCH("Cloud",F398)),F398="Industry Readiness Program",ISNUMBER(SEARCH("Talenlio",F398))),9,
OR(ISNUMBER(SEARCH("Innovation",F398)),F398="Mini Project"),10,
OR(ISNUMBER(SEARCH("Data Science",F398)),ISNUMBER(SEARCH("DS",F398))),11,
ISNUMBER(SEARCH("Generative AI",F398)),12
=_xlfn.IFS(
OR(F398="Selenium (Hands-on)",F398="Guest Lecture: HR Interview"),6,
OR(F398="Soft Skill",F398="Soft Skill (Examination)",F398="AWS Training",F398="AWS Session"),7,
OR(ISNUMBER(SEARCH("MAD",F398)),ISNUMBER(SEARCH("STQA",F398)),F398="CI/CD Session"),8,
OR(ISNUMBER(SEARCH("Cloud",F398)),F398="Industry Readiness Program",ISNUMBER(SEARCH("Talenlio",F398))),9,
OR(ISNUMBER(SEARCH("Innovation",F398)),F398="Mini Project"),10,
OR(ISNUMBER(SEARCH("Data Science",F398)),ISNUMBER(SEARCH("DS",F398))),11,
ISNUMBER(SEARCH("Generative AI",F398)),12
=_xlfn.IFS(
OR(F398="Selenium (Hands-on)",F398="Guest Lecture: HR Interview"),6,
OR(F398="Soft Skill",F398="Soft Skill (Examination)",F398="AWS Training",F398="AWS Session"),7,
OR(ISNUMBER(SEARCH("MAD",F398)),ISNUMBER(SEARCH("STQA",F398)),F398="CI/CD Session"),8,
OR(ISNUMBER(SEARCH("Cloud",F398)),F398="Industry Readiness Program",ISNUMBER(SEARCH("Talenlio",F398))),9,
OR(ISNUMBER(SEARCH("Innovation",F398)),F398="Mini Project"),10,
OR(ISNUMBER(SEARCH("Data Science",F398)),ISNUMBER(SEARCH("DS",F398))),11,
ISNUMBER(SEARCH("Generative AI",F398)),12
))))</f>
        <v>10</v>
      </c>
      <c r="X398" s="3">
        <v>4</v>
      </c>
      <c r="Y398" s="3">
        <v>22</v>
      </c>
      <c r="Z398" s="3" t="s">
        <v>35</v>
      </c>
    </row>
    <row r="399" spans="1:26" x14ac:dyDescent="0.3">
      <c r="A399" s="2">
        <v>46209</v>
      </c>
      <c r="B399" s="3" t="s">
        <v>26</v>
      </c>
      <c r="C399" s="3">
        <v>5</v>
      </c>
      <c r="D399" s="4">
        <v>0.5625</v>
      </c>
      <c r="E399" s="4">
        <v>0.60416666666666696</v>
      </c>
      <c r="F399" s="3" t="s">
        <v>55</v>
      </c>
      <c r="G399" s="3" t="s">
        <v>56</v>
      </c>
      <c r="H399" s="3" t="s">
        <v>29</v>
      </c>
      <c r="I399" s="3" t="s">
        <v>30</v>
      </c>
      <c r="J399" s="3" t="s">
        <v>84</v>
      </c>
      <c r="K399" s="3" t="s">
        <v>52</v>
      </c>
      <c r="L399" s="5">
        <v>102</v>
      </c>
      <c r="M399" s="5">
        <f t="shared" ca="1" si="30"/>
        <v>43</v>
      </c>
      <c r="N399" s="6">
        <f t="shared" ca="1" si="31"/>
        <v>42.156862745098039</v>
      </c>
      <c r="O399" s="3" cm="1">
        <f t="array" aca="1" ref="O399" ca="1">IFERROR(LOOKUP(2, 1/((F$1:F398=F399)*(J$1:J398=J399)*(ROW(F$1:F398)&lt;ROW(F399))), N$1:N398), "")</f>
        <v>80.392156862745097</v>
      </c>
      <c r="P399" s="3">
        <f t="shared" si="34"/>
        <v>1.25</v>
      </c>
      <c r="Q399" s="3" t="s">
        <v>43</v>
      </c>
      <c r="R399" s="3" t="s">
        <v>40</v>
      </c>
      <c r="S399" s="3" t="str">
        <f t="shared" si="32"/>
        <v>No</v>
      </c>
      <c r="T399" s="3" t="s">
        <v>34</v>
      </c>
      <c r="U399" s="3" t="str">
        <f t="shared" si="33"/>
        <v>Rainy</v>
      </c>
      <c r="V399" s="3" t="s">
        <v>40</v>
      </c>
      <c r="W399" s="3" cm="1">
        <f t="array" ref="W399">_xlfn.IFS(
OR(F399="Selenium (Hands-on)",F399="Guest Lecture: HR Interview"),6,
OR(F399="Soft Skill",F399="Soft Skill (Examination)",F399="AWS Training",F399="AWS Session"),7,
OR(ISNUMBER(SEARCH("MAD",F399)),ISNUMBER(SEARCH("STQA",F399)),F399="CI/CD Session"),8,
OR(ISNUMBER(SEARCH("Cloud",F399)),F399="Industry Readiness Program",ISNUMBER(SEARCH("Talenlio",F399))),9,
OR(ISNUMBER(SEARCH("Innovation",F399)),F399="Mini Project"),10,
OR(ISNUMBER(SEARCH("Data Science",F399)),ISNUMBER(SEARCH("DS",F399))),11,
ISNUMBER(SEARCH("Generative AI",F399)),12
=_xlfn.IFS(
OR(F399="Selenium (Hands-on)",F399="Guest Lecture: HR Interview"),6,
OR(F399="Soft Skill",F399="Soft Skill (Examination)",F399="AWS Training",F399="AWS Session"),7,
OR(ISNUMBER(SEARCH("MAD",F399)),ISNUMBER(SEARCH("STQA",F399)),F399="CI/CD Session"),8,
OR(ISNUMBER(SEARCH("Cloud",F399)),F399="Industry Readiness Program",ISNUMBER(SEARCH("Talenlio",F399))),9,
OR(ISNUMBER(SEARCH("Innovation",F399)),F399="Mini Project"),10,
OR(ISNUMBER(SEARCH("Data Science",F399)),ISNUMBER(SEARCH("DS",F399))),11,
ISNUMBER(SEARCH("Generative AI",F399)),12
=_xlfn.IFS(
OR(F399="Selenium (Hands-on)",F399="Guest Lecture: HR Interview"),6,
OR(F399="Soft Skill",F399="Soft Skill (Examination)",F399="AWS Training",F399="AWS Session"),7,
OR(ISNUMBER(SEARCH("MAD",F399)),ISNUMBER(SEARCH("STQA",F399)),F399="CI/CD Session"),8,
OR(ISNUMBER(SEARCH("Cloud",F399)),F399="Industry Readiness Program",ISNUMBER(SEARCH("Talenlio",F399))),9,
OR(ISNUMBER(SEARCH("Innovation",F399)),F399="Mini Project"),10,
OR(ISNUMBER(SEARCH("Data Science",F399)),ISNUMBER(SEARCH("DS",F399))),11,
ISNUMBER(SEARCH("Generative AI",F399)),12
=_xlfn.IFS(
OR(F399="Selenium (Hands-on)",F399="Guest Lecture: HR Interview"),6,
OR(F399="Soft Skill",F399="Soft Skill (Examination)",F399="AWS Training",F399="AWS Session"),7,
OR(ISNUMBER(SEARCH("MAD",F399)),ISNUMBER(SEARCH("STQA",F399)),F399="CI/CD Session"),8,
OR(ISNUMBER(SEARCH("Cloud",F399)),F399="Industry Readiness Program",ISNUMBER(SEARCH("Talenlio",F399))),9,
OR(ISNUMBER(SEARCH("Innovation",F399)),F399="Mini Project"),10,
OR(ISNUMBER(SEARCH("Data Science",F399)),ISNUMBER(SEARCH("DS",F399))),11,
ISNUMBER(SEARCH("Generative AI",F399)),12
))))</f>
        <v>8</v>
      </c>
      <c r="X399" s="3">
        <v>4</v>
      </c>
      <c r="Y399" s="3">
        <v>22</v>
      </c>
      <c r="Z399" s="3" t="s">
        <v>38</v>
      </c>
    </row>
    <row r="400" spans="1:26" x14ac:dyDescent="0.3">
      <c r="A400" s="2">
        <v>46209</v>
      </c>
      <c r="B400" s="3" t="s">
        <v>26</v>
      </c>
      <c r="C400" s="3">
        <v>6</v>
      </c>
      <c r="D400" s="4">
        <v>0.60416666666666696</v>
      </c>
      <c r="E400" s="4">
        <v>0.64583333333333304</v>
      </c>
      <c r="F400" s="3" t="s">
        <v>55</v>
      </c>
      <c r="G400" s="3" t="s">
        <v>56</v>
      </c>
      <c r="H400" s="3" t="s">
        <v>29</v>
      </c>
      <c r="I400" s="3" t="s">
        <v>30</v>
      </c>
      <c r="J400" s="3" t="s">
        <v>84</v>
      </c>
      <c r="K400" s="3" t="s">
        <v>52</v>
      </c>
      <c r="L400" s="5">
        <v>102</v>
      </c>
      <c r="M400" s="5">
        <f t="shared" ca="1" si="30"/>
        <v>53</v>
      </c>
      <c r="N400" s="6">
        <f t="shared" ca="1" si="31"/>
        <v>51.960784313725497</v>
      </c>
      <c r="O400" s="3" cm="1">
        <f t="array" aca="1" ref="O400" ca="1">IFERROR(LOOKUP(2, 1/((F$1:F399=F400)*(J$1:J399=J400)*(ROW(F$1:F399)&lt;ROW(F400))), N$1:N399), "")</f>
        <v>42.156862745098039</v>
      </c>
      <c r="P400" s="3">
        <f t="shared" si="34"/>
        <v>0</v>
      </c>
      <c r="Q400" s="3" t="s">
        <v>43</v>
      </c>
      <c r="R400" s="3" t="s">
        <v>40</v>
      </c>
      <c r="S400" s="3" t="str">
        <f t="shared" si="32"/>
        <v>No</v>
      </c>
      <c r="T400" s="3" t="s">
        <v>34</v>
      </c>
      <c r="U400" s="3" t="str">
        <f t="shared" si="33"/>
        <v>Rainy</v>
      </c>
      <c r="V400" s="3" t="s">
        <v>40</v>
      </c>
      <c r="W400" s="3" cm="1">
        <f t="array" ref="W400">_xlfn.IFS(
OR(F400="Selenium (Hands-on)",F400="Guest Lecture: HR Interview"),6,
OR(F400="Soft Skill",F400="Soft Skill (Examination)",F400="AWS Training",F400="AWS Session"),7,
OR(ISNUMBER(SEARCH("MAD",F400)),ISNUMBER(SEARCH("STQA",F400)),F400="CI/CD Session"),8,
OR(ISNUMBER(SEARCH("Cloud",F400)),F400="Industry Readiness Program",ISNUMBER(SEARCH("Talenlio",F400))),9,
OR(ISNUMBER(SEARCH("Innovation",F400)),F400="Mini Project"),10,
OR(ISNUMBER(SEARCH("Data Science",F400)),ISNUMBER(SEARCH("DS",F400))),11,
ISNUMBER(SEARCH("Generative AI",F400)),12
=_xlfn.IFS(
OR(F400="Selenium (Hands-on)",F400="Guest Lecture: HR Interview"),6,
OR(F400="Soft Skill",F400="Soft Skill (Examination)",F400="AWS Training",F400="AWS Session"),7,
OR(ISNUMBER(SEARCH("MAD",F400)),ISNUMBER(SEARCH("STQA",F400)),F400="CI/CD Session"),8,
OR(ISNUMBER(SEARCH("Cloud",F400)),F400="Industry Readiness Program",ISNUMBER(SEARCH("Talenlio",F400))),9,
OR(ISNUMBER(SEARCH("Innovation",F400)),F400="Mini Project"),10,
OR(ISNUMBER(SEARCH("Data Science",F400)),ISNUMBER(SEARCH("DS",F400))),11,
ISNUMBER(SEARCH("Generative AI",F400)),12
=_xlfn.IFS(
OR(F400="Selenium (Hands-on)",F400="Guest Lecture: HR Interview"),6,
OR(F400="Soft Skill",F400="Soft Skill (Examination)",F400="AWS Training",F400="AWS Session"),7,
OR(ISNUMBER(SEARCH("MAD",F400)),ISNUMBER(SEARCH("STQA",F400)),F400="CI/CD Session"),8,
OR(ISNUMBER(SEARCH("Cloud",F400)),F400="Industry Readiness Program",ISNUMBER(SEARCH("Talenlio",F400))),9,
OR(ISNUMBER(SEARCH("Innovation",F400)),F400="Mini Project"),10,
OR(ISNUMBER(SEARCH("Data Science",F400)),ISNUMBER(SEARCH("DS",F400))),11,
ISNUMBER(SEARCH("Generative AI",F400)),12
=_xlfn.IFS(
OR(F400="Selenium (Hands-on)",F400="Guest Lecture: HR Interview"),6,
OR(F400="Soft Skill",F400="Soft Skill (Examination)",F400="AWS Training",F400="AWS Session"),7,
OR(ISNUMBER(SEARCH("MAD",F400)),ISNUMBER(SEARCH("STQA",F400)),F400="CI/CD Session"),8,
OR(ISNUMBER(SEARCH("Cloud",F400)),F400="Industry Readiness Program",ISNUMBER(SEARCH("Talenlio",F400))),9,
OR(ISNUMBER(SEARCH("Innovation",F400)),F400="Mini Project"),10,
OR(ISNUMBER(SEARCH("Data Science",F400)),ISNUMBER(SEARCH("DS",F400))),11,
ISNUMBER(SEARCH("Generative AI",F400)),12
))))</f>
        <v>8</v>
      </c>
      <c r="X400" s="3">
        <v>4</v>
      </c>
      <c r="Y400" s="3">
        <v>22</v>
      </c>
      <c r="Z400" s="3" t="s">
        <v>38</v>
      </c>
    </row>
    <row r="401" spans="1:26" x14ac:dyDescent="0.3">
      <c r="A401" s="2">
        <v>46210</v>
      </c>
      <c r="B401" s="3" t="s">
        <v>39</v>
      </c>
      <c r="C401" s="3">
        <v>1</v>
      </c>
      <c r="D401" s="4">
        <v>0.35416666666666702</v>
      </c>
      <c r="E401" s="4">
        <v>0.38541666666666702</v>
      </c>
      <c r="F401" s="3" t="s">
        <v>50</v>
      </c>
      <c r="G401" s="3" t="s">
        <v>51</v>
      </c>
      <c r="H401" s="3" t="s">
        <v>29</v>
      </c>
      <c r="I401" s="3" t="s">
        <v>30</v>
      </c>
      <c r="J401" s="3" t="s">
        <v>84</v>
      </c>
      <c r="K401" s="3" t="s">
        <v>52</v>
      </c>
      <c r="L401" s="5">
        <v>102</v>
      </c>
      <c r="M401" s="5">
        <f t="shared" ca="1" si="30"/>
        <v>82</v>
      </c>
      <c r="N401" s="6">
        <f t="shared" ca="1" si="31"/>
        <v>80.392156862745097</v>
      </c>
      <c r="O401" s="3" cm="1">
        <f t="array" aca="1" ref="O401" ca="1">IFERROR(LOOKUP(2, 1/((F$1:F400=F401)*(J$1:J400=J401)*(ROW(F$1:F400)&lt;ROW(F401))), N$1:N400), "")</f>
        <v>75.490196078431367</v>
      </c>
      <c r="P401" s="3">
        <f t="shared" si="34"/>
        <v>0</v>
      </c>
      <c r="Q401" s="3" t="s">
        <v>43</v>
      </c>
      <c r="R401" s="3" t="s">
        <v>40</v>
      </c>
      <c r="S401" s="3" t="str">
        <f t="shared" si="32"/>
        <v>No</v>
      </c>
      <c r="T401" s="3" t="s">
        <v>40</v>
      </c>
      <c r="U401" s="3" t="str">
        <f t="shared" si="33"/>
        <v>Rainy</v>
      </c>
      <c r="V401" s="3" t="s">
        <v>40</v>
      </c>
      <c r="W401" s="3" cm="1">
        <f t="array" ref="W401">_xlfn.IFS(
OR(F401="Selenium (Hands-on)",F401="Guest Lecture: HR Interview"),6,
OR(F401="Soft Skill",F401="Soft Skill (Examination)",F401="AWS Training",F401="AWS Session"),7,
OR(ISNUMBER(SEARCH("MAD",F401)),ISNUMBER(SEARCH("STQA",F401)),F401="CI/CD Session"),8,
OR(ISNUMBER(SEARCH("Cloud",F401)),F401="Industry Readiness Program",ISNUMBER(SEARCH("Talenlio",F401))),9,
OR(ISNUMBER(SEARCH("Innovation",F401)),F401="Mini Project"),10,
OR(ISNUMBER(SEARCH("Data Science",F401)),ISNUMBER(SEARCH("DS",F401))),11,
ISNUMBER(SEARCH("Generative AI",F401)),12
=_xlfn.IFS(
OR(F401="Selenium (Hands-on)",F401="Guest Lecture: HR Interview"),6,
OR(F401="Soft Skill",F401="Soft Skill (Examination)",F401="AWS Training",F401="AWS Session"),7,
OR(ISNUMBER(SEARCH("MAD",F401)),ISNUMBER(SEARCH("STQA",F401)),F401="CI/CD Session"),8,
OR(ISNUMBER(SEARCH("Cloud",F401)),F401="Industry Readiness Program",ISNUMBER(SEARCH("Talenlio",F401))),9,
OR(ISNUMBER(SEARCH("Innovation",F401)),F401="Mini Project"),10,
OR(ISNUMBER(SEARCH("Data Science",F401)),ISNUMBER(SEARCH("DS",F401))),11,
ISNUMBER(SEARCH("Generative AI",F401)),12
=_xlfn.IFS(
OR(F401="Selenium (Hands-on)",F401="Guest Lecture: HR Interview"),6,
OR(F401="Soft Skill",F401="Soft Skill (Examination)",F401="AWS Training",F401="AWS Session"),7,
OR(ISNUMBER(SEARCH("MAD",F401)),ISNUMBER(SEARCH("STQA",F401)),F401="CI/CD Session"),8,
OR(ISNUMBER(SEARCH("Cloud",F401)),F401="Industry Readiness Program",ISNUMBER(SEARCH("Talenlio",F401))),9,
OR(ISNUMBER(SEARCH("Innovation",F401)),F401="Mini Project"),10,
OR(ISNUMBER(SEARCH("Data Science",F401)),ISNUMBER(SEARCH("DS",F401))),11,
ISNUMBER(SEARCH("Generative AI",F401)),12
=_xlfn.IFS(
OR(F401="Selenium (Hands-on)",F401="Guest Lecture: HR Interview"),6,
OR(F401="Soft Skill",F401="Soft Skill (Examination)",F401="AWS Training",F401="AWS Session"),7,
OR(ISNUMBER(SEARCH("MAD",F401)),ISNUMBER(SEARCH("STQA",F401)),F401="CI/CD Session"),8,
OR(ISNUMBER(SEARCH("Cloud",F401)),F401="Industry Readiness Program",ISNUMBER(SEARCH("Talenlio",F401))),9,
OR(ISNUMBER(SEARCH("Innovation",F401)),F401="Mini Project"),10,
OR(ISNUMBER(SEARCH("Data Science",F401)),ISNUMBER(SEARCH("DS",F401))),11,
ISNUMBER(SEARCH("Generative AI",F401)),12
))))</f>
        <v>8</v>
      </c>
      <c r="X401" s="3">
        <v>4</v>
      </c>
      <c r="Y401" s="3">
        <v>23</v>
      </c>
      <c r="Z401" s="3" t="s">
        <v>35</v>
      </c>
    </row>
    <row r="402" spans="1:26" x14ac:dyDescent="0.3">
      <c r="A402" s="2">
        <v>46210</v>
      </c>
      <c r="B402" s="3" t="s">
        <v>39</v>
      </c>
      <c r="C402" s="3">
        <v>2</v>
      </c>
      <c r="D402" s="4">
        <v>0.38541666666666702</v>
      </c>
      <c r="E402" s="4">
        <v>0.42708333333333298</v>
      </c>
      <c r="F402" s="3" t="s">
        <v>50</v>
      </c>
      <c r="G402" s="3" t="s">
        <v>51</v>
      </c>
      <c r="H402" s="3" t="s">
        <v>29</v>
      </c>
      <c r="I402" s="3" t="s">
        <v>30</v>
      </c>
      <c r="J402" s="3" t="s">
        <v>84</v>
      </c>
      <c r="K402" s="3" t="s">
        <v>52</v>
      </c>
      <c r="L402" s="5">
        <v>102</v>
      </c>
      <c r="M402" s="5">
        <f t="shared" ca="1" si="30"/>
        <v>79</v>
      </c>
      <c r="N402" s="6">
        <f t="shared" ca="1" si="31"/>
        <v>77.450980392156865</v>
      </c>
      <c r="O402" s="3" cm="1">
        <f t="array" aca="1" ref="O402" ca="1">IFERROR(LOOKUP(2, 1/((F$1:F401=F402)*(J$1:J401=J402)*(ROW(F$1:F401)&lt;ROW(F402))), N$1:N401), "")</f>
        <v>80.392156862745097</v>
      </c>
      <c r="P402" s="3">
        <f t="shared" si="34"/>
        <v>0</v>
      </c>
      <c r="Q402" s="3" t="s">
        <v>43</v>
      </c>
      <c r="R402" s="3" t="s">
        <v>40</v>
      </c>
      <c r="S402" s="3" t="str">
        <f t="shared" si="32"/>
        <v>No</v>
      </c>
      <c r="T402" s="3" t="s">
        <v>40</v>
      </c>
      <c r="U402" s="3" t="str">
        <f t="shared" si="33"/>
        <v>Rainy</v>
      </c>
      <c r="V402" s="3" t="s">
        <v>40</v>
      </c>
      <c r="W402" s="3" cm="1">
        <f t="array" ref="W402">_xlfn.IFS(
OR(F402="Selenium (Hands-on)",F402="Guest Lecture: HR Interview"),6,
OR(F402="Soft Skill",F402="Soft Skill (Examination)",F402="AWS Training",F402="AWS Session"),7,
OR(ISNUMBER(SEARCH("MAD",F402)),ISNUMBER(SEARCH("STQA",F402)),F402="CI/CD Session"),8,
OR(ISNUMBER(SEARCH("Cloud",F402)),F402="Industry Readiness Program",ISNUMBER(SEARCH("Talenlio",F402))),9,
OR(ISNUMBER(SEARCH("Innovation",F402)),F402="Mini Project"),10,
OR(ISNUMBER(SEARCH("Data Science",F402)),ISNUMBER(SEARCH("DS",F402))),11,
ISNUMBER(SEARCH("Generative AI",F402)),12
=_xlfn.IFS(
OR(F402="Selenium (Hands-on)",F402="Guest Lecture: HR Interview"),6,
OR(F402="Soft Skill",F402="Soft Skill (Examination)",F402="AWS Training",F402="AWS Session"),7,
OR(ISNUMBER(SEARCH("MAD",F402)),ISNUMBER(SEARCH("STQA",F402)),F402="CI/CD Session"),8,
OR(ISNUMBER(SEARCH("Cloud",F402)),F402="Industry Readiness Program",ISNUMBER(SEARCH("Talenlio",F402))),9,
OR(ISNUMBER(SEARCH("Innovation",F402)),F402="Mini Project"),10,
OR(ISNUMBER(SEARCH("Data Science",F402)),ISNUMBER(SEARCH("DS",F402))),11,
ISNUMBER(SEARCH("Generative AI",F402)),12
=_xlfn.IFS(
OR(F402="Selenium (Hands-on)",F402="Guest Lecture: HR Interview"),6,
OR(F402="Soft Skill",F402="Soft Skill (Examination)",F402="AWS Training",F402="AWS Session"),7,
OR(ISNUMBER(SEARCH("MAD",F402)),ISNUMBER(SEARCH("STQA",F402)),F402="CI/CD Session"),8,
OR(ISNUMBER(SEARCH("Cloud",F402)),F402="Industry Readiness Program",ISNUMBER(SEARCH("Talenlio",F402))),9,
OR(ISNUMBER(SEARCH("Innovation",F402)),F402="Mini Project"),10,
OR(ISNUMBER(SEARCH("Data Science",F402)),ISNUMBER(SEARCH("DS",F402))),11,
ISNUMBER(SEARCH("Generative AI",F402)),12
=_xlfn.IFS(
OR(F402="Selenium (Hands-on)",F402="Guest Lecture: HR Interview"),6,
OR(F402="Soft Skill",F402="Soft Skill (Examination)",F402="AWS Training",F402="AWS Session"),7,
OR(ISNUMBER(SEARCH("MAD",F402)),ISNUMBER(SEARCH("STQA",F402)),F402="CI/CD Session"),8,
OR(ISNUMBER(SEARCH("Cloud",F402)),F402="Industry Readiness Program",ISNUMBER(SEARCH("Talenlio",F402))),9,
OR(ISNUMBER(SEARCH("Innovation",F402)),F402="Mini Project"),10,
OR(ISNUMBER(SEARCH("Data Science",F402)),ISNUMBER(SEARCH("DS",F402))),11,
ISNUMBER(SEARCH("Generative AI",F402)),12
))))</f>
        <v>8</v>
      </c>
      <c r="X402" s="3">
        <v>4</v>
      </c>
      <c r="Y402" s="3">
        <v>23</v>
      </c>
      <c r="Z402" s="3" t="s">
        <v>35</v>
      </c>
    </row>
    <row r="403" spans="1:26" x14ac:dyDescent="0.3">
      <c r="A403" s="2">
        <v>46210</v>
      </c>
      <c r="B403" s="3" t="s">
        <v>39</v>
      </c>
      <c r="C403" s="3">
        <v>3</v>
      </c>
      <c r="D403" s="4">
        <v>0.42708333333333298</v>
      </c>
      <c r="E403" s="4">
        <v>0.46875</v>
      </c>
      <c r="F403" s="3" t="s">
        <v>57</v>
      </c>
      <c r="G403" s="3" t="s">
        <v>58</v>
      </c>
      <c r="H403" s="3" t="s">
        <v>29</v>
      </c>
      <c r="I403" s="3" t="s">
        <v>30</v>
      </c>
      <c r="J403" s="3" t="s">
        <v>84</v>
      </c>
      <c r="K403" s="3" t="s">
        <v>52</v>
      </c>
      <c r="L403" s="5">
        <v>102</v>
      </c>
      <c r="M403" s="5">
        <f t="shared" ca="1" si="30"/>
        <v>76</v>
      </c>
      <c r="N403" s="6">
        <f t="shared" ca="1" si="31"/>
        <v>74.509803921568633</v>
      </c>
      <c r="O403" s="3" cm="1">
        <f t="array" aca="1" ref="O403" ca="1">IFERROR(LOOKUP(2, 1/((F$1:F402=F403)*(J$1:J402=J403)*(ROW(F$1:F402)&lt;ROW(F403))), N$1:N402), "")</f>
        <v>39.215686274509807</v>
      </c>
      <c r="P403" s="3">
        <f t="shared" si="34"/>
        <v>0</v>
      </c>
      <c r="Q403" s="3" t="s">
        <v>33</v>
      </c>
      <c r="R403" s="3" t="s">
        <v>40</v>
      </c>
      <c r="S403" s="3" t="str">
        <f t="shared" si="32"/>
        <v>No</v>
      </c>
      <c r="T403" s="3" t="s">
        <v>40</v>
      </c>
      <c r="U403" s="3" t="str">
        <f t="shared" si="33"/>
        <v>Rainy</v>
      </c>
      <c r="V403" s="3" t="s">
        <v>40</v>
      </c>
      <c r="W403" s="3" cm="1">
        <f t="array" ref="W403">_xlfn.IFS(
OR(F403="Selenium (Hands-on)",F403="Guest Lecture: HR Interview"),6,
OR(F403="Soft Skill",F403="Soft Skill (Examination)",F403="AWS Training",F403="AWS Session"),7,
OR(ISNUMBER(SEARCH("MAD",F403)),ISNUMBER(SEARCH("STQA",F403)),F403="CI/CD Session"),8,
OR(ISNUMBER(SEARCH("Cloud",F403)),F403="Industry Readiness Program",ISNUMBER(SEARCH("Talenlio",F403))),9,
OR(ISNUMBER(SEARCH("Innovation",F403)),F403="Mini Project"),10,
OR(ISNUMBER(SEARCH("Data Science",F403)),ISNUMBER(SEARCH("DS",F403))),11,
ISNUMBER(SEARCH("Generative AI",F403)),12
=_xlfn.IFS(
OR(F403="Selenium (Hands-on)",F403="Guest Lecture: HR Interview"),6,
OR(F403="Soft Skill",F403="Soft Skill (Examination)",F403="AWS Training",F403="AWS Session"),7,
OR(ISNUMBER(SEARCH("MAD",F403)),ISNUMBER(SEARCH("STQA",F403)),F403="CI/CD Session"),8,
OR(ISNUMBER(SEARCH("Cloud",F403)),F403="Industry Readiness Program",ISNUMBER(SEARCH("Talenlio",F403))),9,
OR(ISNUMBER(SEARCH("Innovation",F403)),F403="Mini Project"),10,
OR(ISNUMBER(SEARCH("Data Science",F403)),ISNUMBER(SEARCH("DS",F403))),11,
ISNUMBER(SEARCH("Generative AI",F403)),12
=_xlfn.IFS(
OR(F403="Selenium (Hands-on)",F403="Guest Lecture: HR Interview"),6,
OR(F403="Soft Skill",F403="Soft Skill (Examination)",F403="AWS Training",F403="AWS Session"),7,
OR(ISNUMBER(SEARCH("MAD",F403)),ISNUMBER(SEARCH("STQA",F403)),F403="CI/CD Session"),8,
OR(ISNUMBER(SEARCH("Cloud",F403)),F403="Industry Readiness Program",ISNUMBER(SEARCH("Talenlio",F403))),9,
OR(ISNUMBER(SEARCH("Innovation",F403)),F403="Mini Project"),10,
OR(ISNUMBER(SEARCH("Data Science",F403)),ISNUMBER(SEARCH("DS",F403))),11,
ISNUMBER(SEARCH("Generative AI",F403)),12
=_xlfn.IFS(
OR(F403="Selenium (Hands-on)",F403="Guest Lecture: HR Interview"),6,
OR(F403="Soft Skill",F403="Soft Skill (Examination)",F403="AWS Training",F403="AWS Session"),7,
OR(ISNUMBER(SEARCH("MAD",F403)),ISNUMBER(SEARCH("STQA",F403)),F403="CI/CD Session"),8,
OR(ISNUMBER(SEARCH("Cloud",F403)),F403="Industry Readiness Program",ISNUMBER(SEARCH("Talenlio",F403))),9,
OR(ISNUMBER(SEARCH("Innovation",F403)),F403="Mini Project"),10,
OR(ISNUMBER(SEARCH("Data Science",F403)),ISNUMBER(SEARCH("DS",F403))),11,
ISNUMBER(SEARCH("Generative AI",F403)),12
))))</f>
        <v>9</v>
      </c>
      <c r="X403" s="3">
        <v>4</v>
      </c>
      <c r="Y403" s="3">
        <v>23</v>
      </c>
      <c r="Z403" s="3" t="s">
        <v>35</v>
      </c>
    </row>
    <row r="404" spans="1:26" x14ac:dyDescent="0.3">
      <c r="A404" s="2">
        <v>46210</v>
      </c>
      <c r="B404" s="3" t="s">
        <v>39</v>
      </c>
      <c r="C404" s="3">
        <v>4</v>
      </c>
      <c r="D404" s="4">
        <v>0.46875</v>
      </c>
      <c r="E404" s="4">
        <v>0.51041666666666696</v>
      </c>
      <c r="F404" s="3" t="s">
        <v>59</v>
      </c>
      <c r="G404" s="3" t="s">
        <v>60</v>
      </c>
      <c r="H404" s="3" t="s">
        <v>29</v>
      </c>
      <c r="I404" s="3" t="s">
        <v>30</v>
      </c>
      <c r="J404" s="3" t="s">
        <v>84</v>
      </c>
      <c r="K404" s="3" t="s">
        <v>52</v>
      </c>
      <c r="L404" s="5">
        <v>102</v>
      </c>
      <c r="M404" s="5">
        <f t="shared" ca="1" si="30"/>
        <v>77</v>
      </c>
      <c r="N404" s="6">
        <f t="shared" ca="1" si="31"/>
        <v>75.490196078431367</v>
      </c>
      <c r="O404" s="3" cm="1">
        <f t="array" aca="1" ref="O404" ca="1">IFERROR(LOOKUP(2, 1/((F$1:F403=F404)*(J$1:J403=J404)*(ROW(F$1:F403)&lt;ROW(F404))), N$1:N403), "")</f>
        <v>84.313725490196077</v>
      </c>
      <c r="P404" s="3">
        <f t="shared" si="34"/>
        <v>0</v>
      </c>
      <c r="Q404" s="3" t="s">
        <v>33</v>
      </c>
      <c r="R404" s="3" t="s">
        <v>40</v>
      </c>
      <c r="S404" s="3" t="str">
        <f t="shared" si="32"/>
        <v>No</v>
      </c>
      <c r="T404" s="3" t="s">
        <v>40</v>
      </c>
      <c r="U404" s="3" t="str">
        <f t="shared" si="33"/>
        <v>Rainy</v>
      </c>
      <c r="V404" s="3" t="s">
        <v>40</v>
      </c>
      <c r="W404" s="3" cm="1">
        <f t="array" ref="W404">_xlfn.IFS(
OR(F404="Selenium (Hands-on)",F404="Guest Lecture: HR Interview"),6,
OR(F404="Soft Skill",F404="Soft Skill (Examination)",F404="AWS Training",F404="AWS Session"),7,
OR(ISNUMBER(SEARCH("MAD",F404)),ISNUMBER(SEARCH("STQA",F404)),F404="CI/CD Session"),8,
OR(ISNUMBER(SEARCH("Cloud",F404)),F404="Industry Readiness Program",ISNUMBER(SEARCH("Talenlio",F404))),9,
OR(ISNUMBER(SEARCH("Innovation",F404)),F404="Mini Project"),10,
OR(ISNUMBER(SEARCH("Data Science",F404)),ISNUMBER(SEARCH("DS",F404))),11,
ISNUMBER(SEARCH("Generative AI",F404)),12
=_xlfn.IFS(
OR(F404="Selenium (Hands-on)",F404="Guest Lecture: HR Interview"),6,
OR(F404="Soft Skill",F404="Soft Skill (Examination)",F404="AWS Training",F404="AWS Session"),7,
OR(ISNUMBER(SEARCH("MAD",F404)),ISNUMBER(SEARCH("STQA",F404)),F404="CI/CD Session"),8,
OR(ISNUMBER(SEARCH("Cloud",F404)),F404="Industry Readiness Program",ISNUMBER(SEARCH("Talenlio",F404))),9,
OR(ISNUMBER(SEARCH("Innovation",F404)),F404="Mini Project"),10,
OR(ISNUMBER(SEARCH("Data Science",F404)),ISNUMBER(SEARCH("DS",F404))),11,
ISNUMBER(SEARCH("Generative AI",F404)),12
=_xlfn.IFS(
OR(F404="Selenium (Hands-on)",F404="Guest Lecture: HR Interview"),6,
OR(F404="Soft Skill",F404="Soft Skill (Examination)",F404="AWS Training",F404="AWS Session"),7,
OR(ISNUMBER(SEARCH("MAD",F404)),ISNUMBER(SEARCH("STQA",F404)),F404="CI/CD Session"),8,
OR(ISNUMBER(SEARCH("Cloud",F404)),F404="Industry Readiness Program",ISNUMBER(SEARCH("Talenlio",F404))),9,
OR(ISNUMBER(SEARCH("Innovation",F404)),F404="Mini Project"),10,
OR(ISNUMBER(SEARCH("Data Science",F404)),ISNUMBER(SEARCH("DS",F404))),11,
ISNUMBER(SEARCH("Generative AI",F404)),12
=_xlfn.IFS(
OR(F404="Selenium (Hands-on)",F404="Guest Lecture: HR Interview"),6,
OR(F404="Soft Skill",F404="Soft Skill (Examination)",F404="AWS Training",F404="AWS Session"),7,
OR(ISNUMBER(SEARCH("MAD",F404)),ISNUMBER(SEARCH("STQA",F404)),F404="CI/CD Session"),8,
OR(ISNUMBER(SEARCH("Cloud",F404)),F404="Industry Readiness Program",ISNUMBER(SEARCH("Talenlio",F404))),9,
OR(ISNUMBER(SEARCH("Innovation",F404)),F404="Mini Project"),10,
OR(ISNUMBER(SEARCH("Data Science",F404)),ISNUMBER(SEARCH("DS",F404))),11,
ISNUMBER(SEARCH("Generative AI",F404)),12
))))</f>
        <v>11</v>
      </c>
      <c r="X404" s="3">
        <v>4</v>
      </c>
      <c r="Y404" s="3">
        <v>23</v>
      </c>
      <c r="Z404" s="3" t="s">
        <v>35</v>
      </c>
    </row>
    <row r="405" spans="1:26" x14ac:dyDescent="0.3">
      <c r="A405" s="2">
        <v>46210</v>
      </c>
      <c r="B405" s="3" t="s">
        <v>39</v>
      </c>
      <c r="C405" s="3">
        <v>5</v>
      </c>
      <c r="D405" s="4">
        <v>0.5625</v>
      </c>
      <c r="E405" s="4">
        <v>0.60416666666666696</v>
      </c>
      <c r="F405" s="3" t="s">
        <v>61</v>
      </c>
      <c r="G405" s="3" t="s">
        <v>60</v>
      </c>
      <c r="H405" s="3" t="s">
        <v>29</v>
      </c>
      <c r="I405" s="3" t="s">
        <v>30</v>
      </c>
      <c r="J405" s="3" t="s">
        <v>84</v>
      </c>
      <c r="K405" s="3" t="s">
        <v>52</v>
      </c>
      <c r="L405" s="5">
        <v>102</v>
      </c>
      <c r="M405" s="5">
        <f t="shared" ca="1" si="30"/>
        <v>44</v>
      </c>
      <c r="N405" s="6">
        <f t="shared" ca="1" si="31"/>
        <v>43.137254901960787</v>
      </c>
      <c r="O405" s="3" cm="1">
        <f t="array" aca="1" ref="O405" ca="1">IFERROR(LOOKUP(2, 1/((F$1:F404=F405)*(J$1:J404=J405)*(ROW(F$1:F404)&lt;ROW(F405))), N$1:N404), "")</f>
        <v>76.470588235294116</v>
      </c>
      <c r="P405" s="3">
        <f t="shared" si="34"/>
        <v>1.25</v>
      </c>
      <c r="Q405" s="3" t="s">
        <v>43</v>
      </c>
      <c r="R405" s="3" t="s">
        <v>40</v>
      </c>
      <c r="S405" s="3" t="str">
        <f t="shared" si="32"/>
        <v>No</v>
      </c>
      <c r="T405" s="3" t="s">
        <v>40</v>
      </c>
      <c r="U405" s="3" t="str">
        <f t="shared" si="33"/>
        <v>Rainy</v>
      </c>
      <c r="V405" s="3" t="s">
        <v>40</v>
      </c>
      <c r="W405" s="3" cm="1">
        <f t="array" ref="W405">_xlfn.IFS(
OR(F405="Selenium (Hands-on)",F405="Guest Lecture: HR Interview"),6,
OR(F405="Soft Skill",F405="Soft Skill (Examination)",F405="AWS Training",F405="AWS Session"),7,
OR(ISNUMBER(SEARCH("MAD",F405)),ISNUMBER(SEARCH("STQA",F405)),F405="CI/CD Session"),8,
OR(ISNUMBER(SEARCH("Cloud",F405)),F405="Industry Readiness Program",ISNUMBER(SEARCH("Talenlio",F405))),9,
OR(ISNUMBER(SEARCH("Innovation",F405)),F405="Mini Project"),10,
OR(ISNUMBER(SEARCH("Data Science",F405)),ISNUMBER(SEARCH("DS",F405))),11,
ISNUMBER(SEARCH("Generative AI",F405)),12
=_xlfn.IFS(
OR(F405="Selenium (Hands-on)",F405="Guest Lecture: HR Interview"),6,
OR(F405="Soft Skill",F405="Soft Skill (Examination)",F405="AWS Training",F405="AWS Session"),7,
OR(ISNUMBER(SEARCH("MAD",F405)),ISNUMBER(SEARCH("STQA",F405)),F405="CI/CD Session"),8,
OR(ISNUMBER(SEARCH("Cloud",F405)),F405="Industry Readiness Program",ISNUMBER(SEARCH("Talenlio",F405))),9,
OR(ISNUMBER(SEARCH("Innovation",F405)),F405="Mini Project"),10,
OR(ISNUMBER(SEARCH("Data Science",F405)),ISNUMBER(SEARCH("DS",F405))),11,
ISNUMBER(SEARCH("Generative AI",F405)),12
=_xlfn.IFS(
OR(F405="Selenium (Hands-on)",F405="Guest Lecture: HR Interview"),6,
OR(F405="Soft Skill",F405="Soft Skill (Examination)",F405="AWS Training",F405="AWS Session"),7,
OR(ISNUMBER(SEARCH("MAD",F405)),ISNUMBER(SEARCH("STQA",F405)),F405="CI/CD Session"),8,
OR(ISNUMBER(SEARCH("Cloud",F405)),F405="Industry Readiness Program",ISNUMBER(SEARCH("Talenlio",F405))),9,
OR(ISNUMBER(SEARCH("Innovation",F405)),F405="Mini Project"),10,
OR(ISNUMBER(SEARCH("Data Science",F405)),ISNUMBER(SEARCH("DS",F405))),11,
ISNUMBER(SEARCH("Generative AI",F405)),12
=_xlfn.IFS(
OR(F405="Selenium (Hands-on)",F405="Guest Lecture: HR Interview"),6,
OR(F405="Soft Skill",F405="Soft Skill (Examination)",F405="AWS Training",F405="AWS Session"),7,
OR(ISNUMBER(SEARCH("MAD",F405)),ISNUMBER(SEARCH("STQA",F405)),F405="CI/CD Session"),8,
OR(ISNUMBER(SEARCH("Cloud",F405)),F405="Industry Readiness Program",ISNUMBER(SEARCH("Talenlio",F405))),9,
OR(ISNUMBER(SEARCH("Innovation",F405)),F405="Mini Project"),10,
OR(ISNUMBER(SEARCH("Data Science",F405)),ISNUMBER(SEARCH("DS",F405))),11,
ISNUMBER(SEARCH("Generative AI",F405)),12
))))</f>
        <v>11</v>
      </c>
      <c r="X405" s="3">
        <v>4</v>
      </c>
      <c r="Y405" s="3">
        <v>23</v>
      </c>
      <c r="Z405" s="3" t="s">
        <v>38</v>
      </c>
    </row>
    <row r="406" spans="1:26" x14ac:dyDescent="0.3">
      <c r="A406" s="2">
        <v>46210</v>
      </c>
      <c r="B406" s="3" t="s">
        <v>39</v>
      </c>
      <c r="C406" s="3">
        <v>6</v>
      </c>
      <c r="D406" s="4">
        <v>0.60416666666666696</v>
      </c>
      <c r="E406" s="4">
        <v>0.64583333333333304</v>
      </c>
      <c r="F406" s="3" t="s">
        <v>61</v>
      </c>
      <c r="G406" s="3" t="s">
        <v>60</v>
      </c>
      <c r="H406" s="3" t="s">
        <v>29</v>
      </c>
      <c r="I406" s="3" t="s">
        <v>30</v>
      </c>
      <c r="J406" s="3" t="s">
        <v>84</v>
      </c>
      <c r="K406" s="3" t="s">
        <v>52</v>
      </c>
      <c r="L406" s="5">
        <v>102</v>
      </c>
      <c r="M406" s="5">
        <f t="shared" ca="1" si="30"/>
        <v>49</v>
      </c>
      <c r="N406" s="6">
        <f t="shared" ca="1" si="31"/>
        <v>48.03921568627451</v>
      </c>
      <c r="O406" s="3" cm="1">
        <f t="array" aca="1" ref="O406" ca="1">IFERROR(LOOKUP(2, 1/((F$1:F405=F406)*(J$1:J405=J406)*(ROW(F$1:F405)&lt;ROW(F406))), N$1:N405), "")</f>
        <v>43.137254901960787</v>
      </c>
      <c r="P406" s="3">
        <f t="shared" si="34"/>
        <v>0</v>
      </c>
      <c r="Q406" s="3" t="s">
        <v>43</v>
      </c>
      <c r="R406" s="3" t="s">
        <v>40</v>
      </c>
      <c r="S406" s="3" t="str">
        <f t="shared" si="32"/>
        <v>No</v>
      </c>
      <c r="T406" s="3" t="s">
        <v>40</v>
      </c>
      <c r="U406" s="3" t="str">
        <f t="shared" si="33"/>
        <v>Rainy</v>
      </c>
      <c r="V406" s="3" t="s">
        <v>40</v>
      </c>
      <c r="W406" s="3" cm="1">
        <f t="array" ref="W406">_xlfn.IFS(
OR(F406="Selenium (Hands-on)",F406="Guest Lecture: HR Interview"),6,
OR(F406="Soft Skill",F406="Soft Skill (Examination)",F406="AWS Training",F406="AWS Session"),7,
OR(ISNUMBER(SEARCH("MAD",F406)),ISNUMBER(SEARCH("STQA",F406)),F406="CI/CD Session"),8,
OR(ISNUMBER(SEARCH("Cloud",F406)),F406="Industry Readiness Program",ISNUMBER(SEARCH("Talenlio",F406))),9,
OR(ISNUMBER(SEARCH("Innovation",F406)),F406="Mini Project"),10,
OR(ISNUMBER(SEARCH("Data Science",F406)),ISNUMBER(SEARCH("DS",F406))),11,
ISNUMBER(SEARCH("Generative AI",F406)),12
=_xlfn.IFS(
OR(F406="Selenium (Hands-on)",F406="Guest Lecture: HR Interview"),6,
OR(F406="Soft Skill",F406="Soft Skill (Examination)",F406="AWS Training",F406="AWS Session"),7,
OR(ISNUMBER(SEARCH("MAD",F406)),ISNUMBER(SEARCH("STQA",F406)),F406="CI/CD Session"),8,
OR(ISNUMBER(SEARCH("Cloud",F406)),F406="Industry Readiness Program",ISNUMBER(SEARCH("Talenlio",F406))),9,
OR(ISNUMBER(SEARCH("Innovation",F406)),F406="Mini Project"),10,
OR(ISNUMBER(SEARCH("Data Science",F406)),ISNUMBER(SEARCH("DS",F406))),11,
ISNUMBER(SEARCH("Generative AI",F406)),12
=_xlfn.IFS(
OR(F406="Selenium (Hands-on)",F406="Guest Lecture: HR Interview"),6,
OR(F406="Soft Skill",F406="Soft Skill (Examination)",F406="AWS Training",F406="AWS Session"),7,
OR(ISNUMBER(SEARCH("MAD",F406)),ISNUMBER(SEARCH("STQA",F406)),F406="CI/CD Session"),8,
OR(ISNUMBER(SEARCH("Cloud",F406)),F406="Industry Readiness Program",ISNUMBER(SEARCH("Talenlio",F406))),9,
OR(ISNUMBER(SEARCH("Innovation",F406)),F406="Mini Project"),10,
OR(ISNUMBER(SEARCH("Data Science",F406)),ISNUMBER(SEARCH("DS",F406))),11,
ISNUMBER(SEARCH("Generative AI",F406)),12
=_xlfn.IFS(
OR(F406="Selenium (Hands-on)",F406="Guest Lecture: HR Interview"),6,
OR(F406="Soft Skill",F406="Soft Skill (Examination)",F406="AWS Training",F406="AWS Session"),7,
OR(ISNUMBER(SEARCH("MAD",F406)),ISNUMBER(SEARCH("STQA",F406)),F406="CI/CD Session"),8,
OR(ISNUMBER(SEARCH("Cloud",F406)),F406="Industry Readiness Program",ISNUMBER(SEARCH("Talenlio",F406))),9,
OR(ISNUMBER(SEARCH("Innovation",F406)),F406="Mini Project"),10,
OR(ISNUMBER(SEARCH("Data Science",F406)),ISNUMBER(SEARCH("DS",F406))),11,
ISNUMBER(SEARCH("Generative AI",F406)),12
))))</f>
        <v>11</v>
      </c>
      <c r="X406" s="3">
        <v>4</v>
      </c>
      <c r="Y406" s="3">
        <v>23</v>
      </c>
      <c r="Z406" s="3" t="s">
        <v>38</v>
      </c>
    </row>
    <row r="407" spans="1:26" x14ac:dyDescent="0.3">
      <c r="A407" s="2">
        <v>46211</v>
      </c>
      <c r="B407" s="3" t="s">
        <v>44</v>
      </c>
      <c r="C407" s="3">
        <v>1</v>
      </c>
      <c r="D407" s="4">
        <v>0.35416666666666702</v>
      </c>
      <c r="E407" s="4">
        <v>0.38541666666666702</v>
      </c>
      <c r="F407" s="3" t="s">
        <v>50</v>
      </c>
      <c r="G407" s="3" t="s">
        <v>51</v>
      </c>
      <c r="H407" s="3" t="s">
        <v>29</v>
      </c>
      <c r="I407" s="3" t="s">
        <v>30</v>
      </c>
      <c r="J407" s="3" t="s">
        <v>84</v>
      </c>
      <c r="K407" s="3" t="s">
        <v>52</v>
      </c>
      <c r="L407" s="5">
        <v>102</v>
      </c>
      <c r="M407" s="5">
        <f t="shared" ca="1" si="30"/>
        <v>84</v>
      </c>
      <c r="N407" s="6">
        <f t="shared" ca="1" si="31"/>
        <v>82.35294117647058</v>
      </c>
      <c r="O407" s="3" cm="1">
        <f t="array" aca="1" ref="O407" ca="1">IFERROR(LOOKUP(2, 1/((F$1:F406=F407)*(J$1:J406=J407)*(ROW(F$1:F406)&lt;ROW(F407))), N$1:N406), "")</f>
        <v>77.450980392156865</v>
      </c>
      <c r="P407" s="3">
        <f t="shared" si="34"/>
        <v>0</v>
      </c>
      <c r="Q407" s="3" t="s">
        <v>43</v>
      </c>
      <c r="R407" s="3" t="s">
        <v>40</v>
      </c>
      <c r="S407" s="3" t="str">
        <f t="shared" si="32"/>
        <v>No</v>
      </c>
      <c r="T407" s="3" t="s">
        <v>40</v>
      </c>
      <c r="U407" s="3" t="str">
        <f t="shared" si="33"/>
        <v>Rainy</v>
      </c>
      <c r="V407" s="3" t="s">
        <v>40</v>
      </c>
      <c r="W407" s="3" cm="1">
        <f t="array" ref="W407">_xlfn.IFS(
OR(F407="Selenium (Hands-on)",F407="Guest Lecture: HR Interview"),6,
OR(F407="Soft Skill",F407="Soft Skill (Examination)",F407="AWS Training",F407="AWS Session"),7,
OR(ISNUMBER(SEARCH("MAD",F407)),ISNUMBER(SEARCH("STQA",F407)),F407="CI/CD Session"),8,
OR(ISNUMBER(SEARCH("Cloud",F407)),F407="Industry Readiness Program",ISNUMBER(SEARCH("Talenlio",F407))),9,
OR(ISNUMBER(SEARCH("Innovation",F407)),F407="Mini Project"),10,
OR(ISNUMBER(SEARCH("Data Science",F407)),ISNUMBER(SEARCH("DS",F407))),11,
ISNUMBER(SEARCH("Generative AI",F407)),12
=_xlfn.IFS(
OR(F407="Selenium (Hands-on)",F407="Guest Lecture: HR Interview"),6,
OR(F407="Soft Skill",F407="Soft Skill (Examination)",F407="AWS Training",F407="AWS Session"),7,
OR(ISNUMBER(SEARCH("MAD",F407)),ISNUMBER(SEARCH("STQA",F407)),F407="CI/CD Session"),8,
OR(ISNUMBER(SEARCH("Cloud",F407)),F407="Industry Readiness Program",ISNUMBER(SEARCH("Talenlio",F407))),9,
OR(ISNUMBER(SEARCH("Innovation",F407)),F407="Mini Project"),10,
OR(ISNUMBER(SEARCH("Data Science",F407)),ISNUMBER(SEARCH("DS",F407))),11,
ISNUMBER(SEARCH("Generative AI",F407)),12
=_xlfn.IFS(
OR(F407="Selenium (Hands-on)",F407="Guest Lecture: HR Interview"),6,
OR(F407="Soft Skill",F407="Soft Skill (Examination)",F407="AWS Training",F407="AWS Session"),7,
OR(ISNUMBER(SEARCH("MAD",F407)),ISNUMBER(SEARCH("STQA",F407)),F407="CI/CD Session"),8,
OR(ISNUMBER(SEARCH("Cloud",F407)),F407="Industry Readiness Program",ISNUMBER(SEARCH("Talenlio",F407))),9,
OR(ISNUMBER(SEARCH("Innovation",F407)),F407="Mini Project"),10,
OR(ISNUMBER(SEARCH("Data Science",F407)),ISNUMBER(SEARCH("DS",F407))),11,
ISNUMBER(SEARCH("Generative AI",F407)),12
=_xlfn.IFS(
OR(F407="Selenium (Hands-on)",F407="Guest Lecture: HR Interview"),6,
OR(F407="Soft Skill",F407="Soft Skill (Examination)",F407="AWS Training",F407="AWS Session"),7,
OR(ISNUMBER(SEARCH("MAD",F407)),ISNUMBER(SEARCH("STQA",F407)),F407="CI/CD Session"),8,
OR(ISNUMBER(SEARCH("Cloud",F407)),F407="Industry Readiness Program",ISNUMBER(SEARCH("Talenlio",F407))),9,
OR(ISNUMBER(SEARCH("Innovation",F407)),F407="Mini Project"),10,
OR(ISNUMBER(SEARCH("Data Science",F407)),ISNUMBER(SEARCH("DS",F407))),11,
ISNUMBER(SEARCH("Generative AI",F407)),12
))))</f>
        <v>8</v>
      </c>
      <c r="X407" s="3">
        <v>4</v>
      </c>
      <c r="Y407" s="3">
        <v>24</v>
      </c>
      <c r="Z407" s="3" t="s">
        <v>35</v>
      </c>
    </row>
    <row r="408" spans="1:26" x14ac:dyDescent="0.3">
      <c r="A408" s="2">
        <v>46211</v>
      </c>
      <c r="B408" s="3" t="s">
        <v>44</v>
      </c>
      <c r="C408" s="3">
        <v>2</v>
      </c>
      <c r="D408" s="4">
        <v>0.38541666666666702</v>
      </c>
      <c r="E408" s="4">
        <v>0.42708333333333298</v>
      </c>
      <c r="F408" s="3" t="s">
        <v>50</v>
      </c>
      <c r="G408" s="3" t="s">
        <v>51</v>
      </c>
      <c r="H408" s="3" t="s">
        <v>29</v>
      </c>
      <c r="I408" s="3" t="s">
        <v>30</v>
      </c>
      <c r="J408" s="3" t="s">
        <v>84</v>
      </c>
      <c r="K408" s="3" t="s">
        <v>52</v>
      </c>
      <c r="L408" s="5">
        <v>102</v>
      </c>
      <c r="M408" s="5">
        <f t="shared" ca="1" si="30"/>
        <v>56</v>
      </c>
      <c r="N408" s="6">
        <f t="shared" ca="1" si="31"/>
        <v>54.901960784313729</v>
      </c>
      <c r="O408" s="3" cm="1">
        <f t="array" aca="1" ref="O408" ca="1">IFERROR(LOOKUP(2, 1/((F$1:F407=F408)*(J$1:J407=J408)*(ROW(F$1:F407)&lt;ROW(F408))), N$1:N407), "")</f>
        <v>82.35294117647058</v>
      </c>
      <c r="P408" s="3">
        <f t="shared" si="34"/>
        <v>0</v>
      </c>
      <c r="Q408" s="3" t="s">
        <v>43</v>
      </c>
      <c r="R408" s="3" t="s">
        <v>40</v>
      </c>
      <c r="S408" s="3" t="str">
        <f t="shared" si="32"/>
        <v>No</v>
      </c>
      <c r="T408" s="3" t="s">
        <v>40</v>
      </c>
      <c r="U408" s="3" t="str">
        <f t="shared" si="33"/>
        <v>Rainy</v>
      </c>
      <c r="V408" s="3" t="s">
        <v>40</v>
      </c>
      <c r="W408" s="3" cm="1">
        <f t="array" ref="W408">_xlfn.IFS(
OR(F408="Selenium (Hands-on)",F408="Guest Lecture: HR Interview"),6,
OR(F408="Soft Skill",F408="Soft Skill (Examination)",F408="AWS Training",F408="AWS Session"),7,
OR(ISNUMBER(SEARCH("MAD",F408)),ISNUMBER(SEARCH("STQA",F408)),F408="CI/CD Session"),8,
OR(ISNUMBER(SEARCH("Cloud",F408)),F408="Industry Readiness Program",ISNUMBER(SEARCH("Talenlio",F408))),9,
OR(ISNUMBER(SEARCH("Innovation",F408)),F408="Mini Project"),10,
OR(ISNUMBER(SEARCH("Data Science",F408)),ISNUMBER(SEARCH("DS",F408))),11,
ISNUMBER(SEARCH("Generative AI",F408)),12
=_xlfn.IFS(
OR(F408="Selenium (Hands-on)",F408="Guest Lecture: HR Interview"),6,
OR(F408="Soft Skill",F408="Soft Skill (Examination)",F408="AWS Training",F408="AWS Session"),7,
OR(ISNUMBER(SEARCH("MAD",F408)),ISNUMBER(SEARCH("STQA",F408)),F408="CI/CD Session"),8,
OR(ISNUMBER(SEARCH("Cloud",F408)),F408="Industry Readiness Program",ISNUMBER(SEARCH("Talenlio",F408))),9,
OR(ISNUMBER(SEARCH("Innovation",F408)),F408="Mini Project"),10,
OR(ISNUMBER(SEARCH("Data Science",F408)),ISNUMBER(SEARCH("DS",F408))),11,
ISNUMBER(SEARCH("Generative AI",F408)),12
=_xlfn.IFS(
OR(F408="Selenium (Hands-on)",F408="Guest Lecture: HR Interview"),6,
OR(F408="Soft Skill",F408="Soft Skill (Examination)",F408="AWS Training",F408="AWS Session"),7,
OR(ISNUMBER(SEARCH("MAD",F408)),ISNUMBER(SEARCH("STQA",F408)),F408="CI/CD Session"),8,
OR(ISNUMBER(SEARCH("Cloud",F408)),F408="Industry Readiness Program",ISNUMBER(SEARCH("Talenlio",F408))),9,
OR(ISNUMBER(SEARCH("Innovation",F408)),F408="Mini Project"),10,
OR(ISNUMBER(SEARCH("Data Science",F408)),ISNUMBER(SEARCH("DS",F408))),11,
ISNUMBER(SEARCH("Generative AI",F408)),12
=_xlfn.IFS(
OR(F408="Selenium (Hands-on)",F408="Guest Lecture: HR Interview"),6,
OR(F408="Soft Skill",F408="Soft Skill (Examination)",F408="AWS Training",F408="AWS Session"),7,
OR(ISNUMBER(SEARCH("MAD",F408)),ISNUMBER(SEARCH("STQA",F408)),F408="CI/CD Session"),8,
OR(ISNUMBER(SEARCH("Cloud",F408)),F408="Industry Readiness Program",ISNUMBER(SEARCH("Talenlio",F408))),9,
OR(ISNUMBER(SEARCH("Innovation",F408)),F408="Mini Project"),10,
OR(ISNUMBER(SEARCH("Data Science",F408)),ISNUMBER(SEARCH("DS",F408))),11,
ISNUMBER(SEARCH("Generative AI",F408)),12
))))</f>
        <v>8</v>
      </c>
      <c r="X408" s="3">
        <v>4</v>
      </c>
      <c r="Y408" s="3">
        <v>24</v>
      </c>
      <c r="Z408" s="3" t="s">
        <v>35</v>
      </c>
    </row>
    <row r="409" spans="1:26" x14ac:dyDescent="0.3">
      <c r="A409" s="2">
        <v>46211</v>
      </c>
      <c r="B409" s="3" t="s">
        <v>44</v>
      </c>
      <c r="C409" s="3">
        <v>3</v>
      </c>
      <c r="D409" s="4">
        <v>0.42708333333333298</v>
      </c>
      <c r="E409" s="4">
        <v>0.46875</v>
      </c>
      <c r="F409" s="3" t="s">
        <v>62</v>
      </c>
      <c r="G409" s="3" t="s">
        <v>56</v>
      </c>
      <c r="H409" s="3" t="s">
        <v>29</v>
      </c>
      <c r="I409" s="3" t="s">
        <v>30</v>
      </c>
      <c r="J409" s="3" t="s">
        <v>84</v>
      </c>
      <c r="K409" s="3" t="s">
        <v>52</v>
      </c>
      <c r="L409" s="5">
        <v>102</v>
      </c>
      <c r="M409" s="5">
        <f t="shared" ca="1" si="30"/>
        <v>86</v>
      </c>
      <c r="N409" s="6">
        <f t="shared" ca="1" si="31"/>
        <v>84.313725490196077</v>
      </c>
      <c r="O409" s="3" cm="1">
        <f t="array" aca="1" ref="O409" ca="1">IFERROR(LOOKUP(2, 1/((F$1:F408=F409)*(J$1:J408=J409)*(ROW(F$1:F408)&lt;ROW(F409))), N$1:N408), "")</f>
        <v>71.568627450980387</v>
      </c>
      <c r="P409" s="3">
        <f t="shared" si="34"/>
        <v>0</v>
      </c>
      <c r="Q409" s="3" t="s">
        <v>33</v>
      </c>
      <c r="R409" s="3" t="s">
        <v>40</v>
      </c>
      <c r="S409" s="3" t="str">
        <f t="shared" si="32"/>
        <v>No</v>
      </c>
      <c r="T409" s="3" t="s">
        <v>40</v>
      </c>
      <c r="U409" s="3" t="str">
        <f t="shared" si="33"/>
        <v>Rainy</v>
      </c>
      <c r="V409" s="3" t="s">
        <v>40</v>
      </c>
      <c r="W409" s="3">
        <v>7</v>
      </c>
      <c r="X409" s="3">
        <v>4</v>
      </c>
      <c r="Y409" s="3">
        <v>24</v>
      </c>
      <c r="Z409" s="3" t="s">
        <v>35</v>
      </c>
    </row>
    <row r="410" spans="1:26" x14ac:dyDescent="0.3">
      <c r="A410" s="2">
        <v>46211</v>
      </c>
      <c r="B410" s="3" t="s">
        <v>44</v>
      </c>
      <c r="C410" s="3">
        <v>4</v>
      </c>
      <c r="D410" s="4">
        <v>0.46875</v>
      </c>
      <c r="E410" s="4">
        <v>0.51041666666666696</v>
      </c>
      <c r="F410" s="3" t="s">
        <v>57</v>
      </c>
      <c r="G410" s="3" t="s">
        <v>58</v>
      </c>
      <c r="H410" s="3" t="s">
        <v>29</v>
      </c>
      <c r="I410" s="3" t="s">
        <v>30</v>
      </c>
      <c r="J410" s="3" t="s">
        <v>84</v>
      </c>
      <c r="K410" s="3" t="s">
        <v>52</v>
      </c>
      <c r="L410" s="5">
        <v>102</v>
      </c>
      <c r="M410" s="5">
        <f t="shared" ca="1" si="30"/>
        <v>83</v>
      </c>
      <c r="N410" s="6">
        <f t="shared" ca="1" si="31"/>
        <v>81.372549019607845</v>
      </c>
      <c r="O410" s="3" cm="1">
        <f t="array" aca="1" ref="O410" ca="1">IFERROR(LOOKUP(2, 1/((F$1:F409=F410)*(J$1:J409=J410)*(ROW(F$1:F409)&lt;ROW(F410))), N$1:N409), "")</f>
        <v>74.509803921568633</v>
      </c>
      <c r="P410" s="3">
        <f t="shared" si="34"/>
        <v>0</v>
      </c>
      <c r="Q410" s="3" t="s">
        <v>33</v>
      </c>
      <c r="R410" s="3" t="s">
        <v>40</v>
      </c>
      <c r="S410" s="3" t="str">
        <f t="shared" si="32"/>
        <v>No</v>
      </c>
      <c r="T410" s="3" t="s">
        <v>40</v>
      </c>
      <c r="U410" s="3" t="str">
        <f t="shared" si="33"/>
        <v>Rainy</v>
      </c>
      <c r="V410" s="3" t="s">
        <v>40</v>
      </c>
      <c r="W410" s="3" cm="1">
        <f t="array" ref="W410">_xlfn.IFS(
OR(F410="Selenium (Hands-on)",F410="Guest Lecture: HR Interview"),6,
OR(F410="Soft Skill",F410="Soft Skill (Examination)",F410="AWS Training",F410="AWS Session"),7,
OR(ISNUMBER(SEARCH("MAD",F410)),ISNUMBER(SEARCH("STQA",F410)),F410="CI/CD Session"),8,
OR(ISNUMBER(SEARCH("Cloud",F410)),F410="Industry Readiness Program",ISNUMBER(SEARCH("Talenlio",F410))),9,
OR(ISNUMBER(SEARCH("Innovation",F410)),F410="Mini Project"),10,
OR(ISNUMBER(SEARCH("Data Science",F410)),ISNUMBER(SEARCH("DS",F410))),11,
ISNUMBER(SEARCH("Generative AI",F410)),12
=_xlfn.IFS(
OR(F410="Selenium (Hands-on)",F410="Guest Lecture: HR Interview"),6,
OR(F410="Soft Skill",F410="Soft Skill (Examination)",F410="AWS Training",F410="AWS Session"),7,
OR(ISNUMBER(SEARCH("MAD",F410)),ISNUMBER(SEARCH("STQA",F410)),F410="CI/CD Session"),8,
OR(ISNUMBER(SEARCH("Cloud",F410)),F410="Industry Readiness Program",ISNUMBER(SEARCH("Talenlio",F410))),9,
OR(ISNUMBER(SEARCH("Innovation",F410)),F410="Mini Project"),10,
OR(ISNUMBER(SEARCH("Data Science",F410)),ISNUMBER(SEARCH("DS",F410))),11,
ISNUMBER(SEARCH("Generative AI",F410)),12
=_xlfn.IFS(
OR(F410="Selenium (Hands-on)",F410="Guest Lecture: HR Interview"),6,
OR(F410="Soft Skill",F410="Soft Skill (Examination)",F410="AWS Training",F410="AWS Session"),7,
OR(ISNUMBER(SEARCH("MAD",F410)),ISNUMBER(SEARCH("STQA",F410)),F410="CI/CD Session"),8,
OR(ISNUMBER(SEARCH("Cloud",F410)),F410="Industry Readiness Program",ISNUMBER(SEARCH("Talenlio",F410))),9,
OR(ISNUMBER(SEARCH("Innovation",F410)),F410="Mini Project"),10,
OR(ISNUMBER(SEARCH("Data Science",F410)),ISNUMBER(SEARCH("DS",F410))),11,
ISNUMBER(SEARCH("Generative AI",F410)),12
=_xlfn.IFS(
OR(F410="Selenium (Hands-on)",F410="Guest Lecture: HR Interview"),6,
OR(F410="Soft Skill",F410="Soft Skill (Examination)",F410="AWS Training",F410="AWS Session"),7,
OR(ISNUMBER(SEARCH("MAD",F410)),ISNUMBER(SEARCH("STQA",F410)),F410="CI/CD Session"),8,
OR(ISNUMBER(SEARCH("Cloud",F410)),F410="Industry Readiness Program",ISNUMBER(SEARCH("Talenlio",F410))),9,
OR(ISNUMBER(SEARCH("Innovation",F410)),F410="Mini Project"),10,
OR(ISNUMBER(SEARCH("Data Science",F410)),ISNUMBER(SEARCH("DS",F410))),11,
ISNUMBER(SEARCH("Generative AI",F410)),12
))))</f>
        <v>9</v>
      </c>
      <c r="X410" s="3">
        <v>4</v>
      </c>
      <c r="Y410" s="3">
        <v>24</v>
      </c>
      <c r="Z410" s="3" t="s">
        <v>35</v>
      </c>
    </row>
    <row r="411" spans="1:26" x14ac:dyDescent="0.3">
      <c r="A411" s="2">
        <v>46211</v>
      </c>
      <c r="B411" s="3" t="s">
        <v>44</v>
      </c>
      <c r="C411" s="3">
        <v>5</v>
      </c>
      <c r="D411" s="4">
        <v>0.5625</v>
      </c>
      <c r="E411" s="4">
        <v>0.60416666666666696</v>
      </c>
      <c r="F411" s="3" t="s">
        <v>53</v>
      </c>
      <c r="G411" s="3" t="s">
        <v>54</v>
      </c>
      <c r="H411" s="3" t="s">
        <v>29</v>
      </c>
      <c r="I411" s="3" t="s">
        <v>30</v>
      </c>
      <c r="J411" s="3" t="s">
        <v>84</v>
      </c>
      <c r="K411" s="3" t="s">
        <v>52</v>
      </c>
      <c r="L411" s="5">
        <v>102</v>
      </c>
      <c r="M411" s="5">
        <f t="shared" ca="1" si="30"/>
        <v>83</v>
      </c>
      <c r="N411" s="6">
        <f t="shared" ca="1" si="31"/>
        <v>81.372549019607845</v>
      </c>
      <c r="O411" s="3" cm="1">
        <f t="array" aca="1" ref="O411" ca="1">IFERROR(LOOKUP(2, 1/((F$1:F410=F411)*(J$1:J410=J411)*(ROW(F$1:F410)&lt;ROW(F411))), N$1:N410), "")</f>
        <v>41.17647058823529</v>
      </c>
      <c r="P411" s="3">
        <f t="shared" si="34"/>
        <v>1.25</v>
      </c>
      <c r="Q411" s="3" t="s">
        <v>33</v>
      </c>
      <c r="R411" s="3" t="s">
        <v>40</v>
      </c>
      <c r="S411" s="3" t="str">
        <f t="shared" si="32"/>
        <v>No</v>
      </c>
      <c r="T411" s="3" t="s">
        <v>40</v>
      </c>
      <c r="U411" s="3" t="str">
        <f t="shared" si="33"/>
        <v>Rainy</v>
      </c>
      <c r="V411" s="3" t="s">
        <v>40</v>
      </c>
      <c r="W411" s="3" cm="1">
        <f t="array" ref="W411">_xlfn.IFS(
OR(F411="Selenium (Hands-on)",F411="Guest Lecture: HR Interview"),6,
OR(F411="Soft Skill",F411="Soft Skill (Examination)",F411="AWS Training",F411="AWS Session"),7,
OR(ISNUMBER(SEARCH("MAD",F411)),ISNUMBER(SEARCH("STQA",F411)),F411="CI/CD Session"),8,
OR(ISNUMBER(SEARCH("Cloud",F411)),F411="Industry Readiness Program",ISNUMBER(SEARCH("Talenlio",F411))),9,
OR(ISNUMBER(SEARCH("Innovation",F411)),F411="Mini Project"),10,
OR(ISNUMBER(SEARCH("Data Science",F411)),ISNUMBER(SEARCH("DS",F411))),11,
ISNUMBER(SEARCH("Generative AI",F411)),12
=_xlfn.IFS(
OR(F411="Selenium (Hands-on)",F411="Guest Lecture: HR Interview"),6,
OR(F411="Soft Skill",F411="Soft Skill (Examination)",F411="AWS Training",F411="AWS Session"),7,
OR(ISNUMBER(SEARCH("MAD",F411)),ISNUMBER(SEARCH("STQA",F411)),F411="CI/CD Session"),8,
OR(ISNUMBER(SEARCH("Cloud",F411)),F411="Industry Readiness Program",ISNUMBER(SEARCH("Talenlio",F411))),9,
OR(ISNUMBER(SEARCH("Innovation",F411)),F411="Mini Project"),10,
OR(ISNUMBER(SEARCH("Data Science",F411)),ISNUMBER(SEARCH("DS",F411))),11,
ISNUMBER(SEARCH("Generative AI",F411)),12
=_xlfn.IFS(
OR(F411="Selenium (Hands-on)",F411="Guest Lecture: HR Interview"),6,
OR(F411="Soft Skill",F411="Soft Skill (Examination)",F411="AWS Training",F411="AWS Session"),7,
OR(ISNUMBER(SEARCH("MAD",F411)),ISNUMBER(SEARCH("STQA",F411)),F411="CI/CD Session"),8,
OR(ISNUMBER(SEARCH("Cloud",F411)),F411="Industry Readiness Program",ISNUMBER(SEARCH("Talenlio",F411))),9,
OR(ISNUMBER(SEARCH("Innovation",F411)),F411="Mini Project"),10,
OR(ISNUMBER(SEARCH("Data Science",F411)),ISNUMBER(SEARCH("DS",F411))),11,
ISNUMBER(SEARCH("Generative AI",F411)),12
=_xlfn.IFS(
OR(F411="Selenium (Hands-on)",F411="Guest Lecture: HR Interview"),6,
OR(F411="Soft Skill",F411="Soft Skill (Examination)",F411="AWS Training",F411="AWS Session"),7,
OR(ISNUMBER(SEARCH("MAD",F411)),ISNUMBER(SEARCH("STQA",F411)),F411="CI/CD Session"),8,
OR(ISNUMBER(SEARCH("Cloud",F411)),F411="Industry Readiness Program",ISNUMBER(SEARCH("Talenlio",F411))),9,
OR(ISNUMBER(SEARCH("Innovation",F411)),F411="Mini Project"),10,
OR(ISNUMBER(SEARCH("Data Science",F411)),ISNUMBER(SEARCH("DS",F411))),11,
ISNUMBER(SEARCH("Generative AI",F411)),12
))))</f>
        <v>10</v>
      </c>
      <c r="X411" s="3">
        <v>4</v>
      </c>
      <c r="Y411" s="3">
        <v>24</v>
      </c>
      <c r="Z411" s="3" t="s">
        <v>38</v>
      </c>
    </row>
    <row r="412" spans="1:26" x14ac:dyDescent="0.3">
      <c r="A412" s="2">
        <v>46211</v>
      </c>
      <c r="B412" s="3" t="s">
        <v>44</v>
      </c>
      <c r="C412" s="3">
        <v>6</v>
      </c>
      <c r="D412" s="4">
        <v>0.60416666666666696</v>
      </c>
      <c r="E412" s="4">
        <v>0.64583333333333304</v>
      </c>
      <c r="F412" s="3" t="s">
        <v>53</v>
      </c>
      <c r="G412" s="3" t="s">
        <v>54</v>
      </c>
      <c r="H412" s="3" t="s">
        <v>29</v>
      </c>
      <c r="I412" s="3" t="s">
        <v>30</v>
      </c>
      <c r="J412" s="3" t="s">
        <v>84</v>
      </c>
      <c r="K412" s="3" t="s">
        <v>52</v>
      </c>
      <c r="L412" s="5">
        <v>102</v>
      </c>
      <c r="M412" s="5">
        <f t="shared" ca="1" si="30"/>
        <v>73</v>
      </c>
      <c r="N412" s="6">
        <f t="shared" ca="1" si="31"/>
        <v>71.568627450980387</v>
      </c>
      <c r="O412" s="3" cm="1">
        <f t="array" aca="1" ref="O412" ca="1">IFERROR(LOOKUP(2, 1/((F$1:F411=F412)*(J$1:J411=J412)*(ROW(F$1:F411)&lt;ROW(F412))), N$1:N411), "")</f>
        <v>81.372549019607845</v>
      </c>
      <c r="P412" s="3">
        <f t="shared" si="34"/>
        <v>0</v>
      </c>
      <c r="Q412" s="3" t="s">
        <v>33</v>
      </c>
      <c r="R412" s="3" t="s">
        <v>40</v>
      </c>
      <c r="S412" s="3" t="str">
        <f t="shared" si="32"/>
        <v>No</v>
      </c>
      <c r="T412" s="3" t="s">
        <v>40</v>
      </c>
      <c r="U412" s="3" t="str">
        <f t="shared" si="33"/>
        <v>Rainy</v>
      </c>
      <c r="V412" s="3" t="s">
        <v>40</v>
      </c>
      <c r="W412" s="3" cm="1">
        <f t="array" ref="W412">_xlfn.IFS(
OR(F412="Selenium (Hands-on)",F412="Guest Lecture: HR Interview"),6,
OR(F412="Soft Skill",F412="Soft Skill (Examination)",F412="AWS Training",F412="AWS Session"),7,
OR(ISNUMBER(SEARCH("MAD",F412)),ISNUMBER(SEARCH("STQA",F412)),F412="CI/CD Session"),8,
OR(ISNUMBER(SEARCH("Cloud",F412)),F412="Industry Readiness Program",ISNUMBER(SEARCH("Talenlio",F412))),9,
OR(ISNUMBER(SEARCH("Innovation",F412)),F412="Mini Project"),10,
OR(ISNUMBER(SEARCH("Data Science",F412)),ISNUMBER(SEARCH("DS",F412))),11,
ISNUMBER(SEARCH("Generative AI",F412)),12
=_xlfn.IFS(
OR(F412="Selenium (Hands-on)",F412="Guest Lecture: HR Interview"),6,
OR(F412="Soft Skill",F412="Soft Skill (Examination)",F412="AWS Training",F412="AWS Session"),7,
OR(ISNUMBER(SEARCH("MAD",F412)),ISNUMBER(SEARCH("STQA",F412)),F412="CI/CD Session"),8,
OR(ISNUMBER(SEARCH("Cloud",F412)),F412="Industry Readiness Program",ISNUMBER(SEARCH("Talenlio",F412))),9,
OR(ISNUMBER(SEARCH("Innovation",F412)),F412="Mini Project"),10,
OR(ISNUMBER(SEARCH("Data Science",F412)),ISNUMBER(SEARCH("DS",F412))),11,
ISNUMBER(SEARCH("Generative AI",F412)),12
=_xlfn.IFS(
OR(F412="Selenium (Hands-on)",F412="Guest Lecture: HR Interview"),6,
OR(F412="Soft Skill",F412="Soft Skill (Examination)",F412="AWS Training",F412="AWS Session"),7,
OR(ISNUMBER(SEARCH("MAD",F412)),ISNUMBER(SEARCH("STQA",F412)),F412="CI/CD Session"),8,
OR(ISNUMBER(SEARCH("Cloud",F412)),F412="Industry Readiness Program",ISNUMBER(SEARCH("Talenlio",F412))),9,
OR(ISNUMBER(SEARCH("Innovation",F412)),F412="Mini Project"),10,
OR(ISNUMBER(SEARCH("Data Science",F412)),ISNUMBER(SEARCH("DS",F412))),11,
ISNUMBER(SEARCH("Generative AI",F412)),12
=_xlfn.IFS(
OR(F412="Selenium (Hands-on)",F412="Guest Lecture: HR Interview"),6,
OR(F412="Soft Skill",F412="Soft Skill (Examination)",F412="AWS Training",F412="AWS Session"),7,
OR(ISNUMBER(SEARCH("MAD",F412)),ISNUMBER(SEARCH("STQA",F412)),F412="CI/CD Session"),8,
OR(ISNUMBER(SEARCH("Cloud",F412)),F412="Industry Readiness Program",ISNUMBER(SEARCH("Talenlio",F412))),9,
OR(ISNUMBER(SEARCH("Innovation",F412)),F412="Mini Project"),10,
OR(ISNUMBER(SEARCH("Data Science",F412)),ISNUMBER(SEARCH("DS",F412))),11,
ISNUMBER(SEARCH("Generative AI",F412)),12
))))</f>
        <v>10</v>
      </c>
      <c r="X412" s="3">
        <v>4</v>
      </c>
      <c r="Y412" s="3">
        <v>24</v>
      </c>
      <c r="Z412" s="3" t="s">
        <v>38</v>
      </c>
    </row>
    <row r="413" spans="1:26" x14ac:dyDescent="0.3">
      <c r="A413" s="2">
        <v>46212</v>
      </c>
      <c r="B413" s="3" t="s">
        <v>45</v>
      </c>
      <c r="C413" s="3">
        <v>1</v>
      </c>
      <c r="D413" s="4">
        <v>0.35416666666666702</v>
      </c>
      <c r="E413" s="4">
        <v>0.38541666666666702</v>
      </c>
      <c r="F413" s="3" t="s">
        <v>50</v>
      </c>
      <c r="G413" s="3" t="s">
        <v>51</v>
      </c>
      <c r="H413" s="3" t="s">
        <v>29</v>
      </c>
      <c r="I413" s="3" t="s">
        <v>30</v>
      </c>
      <c r="J413" s="3" t="s">
        <v>84</v>
      </c>
      <c r="K413" s="3" t="s">
        <v>52</v>
      </c>
      <c r="L413" s="5">
        <v>102</v>
      </c>
      <c r="M413" s="5">
        <f t="shared" ca="1" si="30"/>
        <v>99</v>
      </c>
      <c r="N413" s="6">
        <f t="shared" ca="1" si="31"/>
        <v>97.058823529411768</v>
      </c>
      <c r="O413" s="3" cm="1">
        <f t="array" aca="1" ref="O413" ca="1">IFERROR(LOOKUP(2, 1/((F$1:F412=F413)*(J$1:J412=J413)*(ROW(F$1:F412)&lt;ROW(F413))), N$1:N412), "")</f>
        <v>54.901960784313729</v>
      </c>
      <c r="P413" s="3">
        <f t="shared" si="34"/>
        <v>0</v>
      </c>
      <c r="Q413" s="3" t="s">
        <v>43</v>
      </c>
      <c r="R413" s="3" t="s">
        <v>40</v>
      </c>
      <c r="S413" s="3" t="str">
        <f t="shared" si="32"/>
        <v>No</v>
      </c>
      <c r="T413" s="3" t="s">
        <v>40</v>
      </c>
      <c r="U413" s="3" t="str">
        <f t="shared" si="33"/>
        <v>Rainy</v>
      </c>
      <c r="V413" s="3" t="s">
        <v>40</v>
      </c>
      <c r="W413" s="3" cm="1">
        <f t="array" ref="W413">_xlfn.IFS(
OR(F413="Selenium (Hands-on)",F413="Guest Lecture: HR Interview"),6,
OR(F413="Soft Skill",F413="Soft Skill (Examination)",F413="AWS Training",F413="AWS Session"),7,
OR(ISNUMBER(SEARCH("MAD",F413)),ISNUMBER(SEARCH("STQA",F413)),F413="CI/CD Session"),8,
OR(ISNUMBER(SEARCH("Cloud",F413)),F413="Industry Readiness Program",ISNUMBER(SEARCH("Talenlio",F413))),9,
OR(ISNUMBER(SEARCH("Innovation",F413)),F413="Mini Project"),10,
OR(ISNUMBER(SEARCH("Data Science",F413)),ISNUMBER(SEARCH("DS",F413))),11,
ISNUMBER(SEARCH("Generative AI",F413)),12
=_xlfn.IFS(
OR(F413="Selenium (Hands-on)",F413="Guest Lecture: HR Interview"),6,
OR(F413="Soft Skill",F413="Soft Skill (Examination)",F413="AWS Training",F413="AWS Session"),7,
OR(ISNUMBER(SEARCH("MAD",F413)),ISNUMBER(SEARCH("STQA",F413)),F413="CI/CD Session"),8,
OR(ISNUMBER(SEARCH("Cloud",F413)),F413="Industry Readiness Program",ISNUMBER(SEARCH("Talenlio",F413))),9,
OR(ISNUMBER(SEARCH("Innovation",F413)),F413="Mini Project"),10,
OR(ISNUMBER(SEARCH("Data Science",F413)),ISNUMBER(SEARCH("DS",F413))),11,
ISNUMBER(SEARCH("Generative AI",F413)),12
=_xlfn.IFS(
OR(F413="Selenium (Hands-on)",F413="Guest Lecture: HR Interview"),6,
OR(F413="Soft Skill",F413="Soft Skill (Examination)",F413="AWS Training",F413="AWS Session"),7,
OR(ISNUMBER(SEARCH("MAD",F413)),ISNUMBER(SEARCH("STQA",F413)),F413="CI/CD Session"),8,
OR(ISNUMBER(SEARCH("Cloud",F413)),F413="Industry Readiness Program",ISNUMBER(SEARCH("Talenlio",F413))),9,
OR(ISNUMBER(SEARCH("Innovation",F413)),F413="Mini Project"),10,
OR(ISNUMBER(SEARCH("Data Science",F413)),ISNUMBER(SEARCH("DS",F413))),11,
ISNUMBER(SEARCH("Generative AI",F413)),12
=_xlfn.IFS(
OR(F413="Selenium (Hands-on)",F413="Guest Lecture: HR Interview"),6,
OR(F413="Soft Skill",F413="Soft Skill (Examination)",F413="AWS Training",F413="AWS Session"),7,
OR(ISNUMBER(SEARCH("MAD",F413)),ISNUMBER(SEARCH("STQA",F413)),F413="CI/CD Session"),8,
OR(ISNUMBER(SEARCH("Cloud",F413)),F413="Industry Readiness Program",ISNUMBER(SEARCH("Talenlio",F413))),9,
OR(ISNUMBER(SEARCH("Innovation",F413)),F413="Mini Project"),10,
OR(ISNUMBER(SEARCH("Data Science",F413)),ISNUMBER(SEARCH("DS",F413))),11,
ISNUMBER(SEARCH("Generative AI",F413)),12
))))</f>
        <v>8</v>
      </c>
      <c r="X413" s="3">
        <v>4</v>
      </c>
      <c r="Y413" s="3">
        <v>25</v>
      </c>
      <c r="Z413" s="3" t="s">
        <v>35</v>
      </c>
    </row>
    <row r="414" spans="1:26" x14ac:dyDescent="0.3">
      <c r="A414" s="2">
        <v>46212</v>
      </c>
      <c r="B414" s="3" t="s">
        <v>45</v>
      </c>
      <c r="C414" s="3">
        <v>2</v>
      </c>
      <c r="D414" s="4">
        <v>0.38541666666666702</v>
      </c>
      <c r="E414" s="4">
        <v>0.42708333333333298</v>
      </c>
      <c r="F414" s="3" t="s">
        <v>50</v>
      </c>
      <c r="G414" s="3" t="s">
        <v>51</v>
      </c>
      <c r="H414" s="3" t="s">
        <v>29</v>
      </c>
      <c r="I414" s="3" t="s">
        <v>30</v>
      </c>
      <c r="J414" s="3" t="s">
        <v>84</v>
      </c>
      <c r="K414" s="3" t="s">
        <v>52</v>
      </c>
      <c r="L414" s="5">
        <v>102</v>
      </c>
      <c r="M414" s="5">
        <f t="shared" ca="1" si="30"/>
        <v>53</v>
      </c>
      <c r="N414" s="6">
        <f t="shared" ca="1" si="31"/>
        <v>51.960784313725497</v>
      </c>
      <c r="O414" s="3" cm="1">
        <f t="array" aca="1" ref="O414" ca="1">IFERROR(LOOKUP(2, 1/((F$1:F413=F414)*(J$1:J413=J414)*(ROW(F$1:F413)&lt;ROW(F414))), N$1:N413), "")</f>
        <v>97.058823529411768</v>
      </c>
      <c r="P414" s="3">
        <f t="shared" si="34"/>
        <v>0</v>
      </c>
      <c r="Q414" s="3" t="s">
        <v>43</v>
      </c>
      <c r="R414" s="3" t="s">
        <v>40</v>
      </c>
      <c r="S414" s="3" t="str">
        <f t="shared" si="32"/>
        <v>No</v>
      </c>
      <c r="T414" s="3" t="s">
        <v>40</v>
      </c>
      <c r="U414" s="3" t="str">
        <f t="shared" si="33"/>
        <v>Rainy</v>
      </c>
      <c r="V414" s="3" t="s">
        <v>40</v>
      </c>
      <c r="W414" s="3" cm="1">
        <f t="array" ref="W414">_xlfn.IFS(
OR(F414="Selenium (Hands-on)",F414="Guest Lecture: HR Interview"),6,
OR(F414="Soft Skill",F414="Soft Skill (Examination)",F414="AWS Training",F414="AWS Session"),7,
OR(ISNUMBER(SEARCH("MAD",F414)),ISNUMBER(SEARCH("STQA",F414)),F414="CI/CD Session"),8,
OR(ISNUMBER(SEARCH("Cloud",F414)),F414="Industry Readiness Program",ISNUMBER(SEARCH("Talenlio",F414))),9,
OR(ISNUMBER(SEARCH("Innovation",F414)),F414="Mini Project"),10,
OR(ISNUMBER(SEARCH("Data Science",F414)),ISNUMBER(SEARCH("DS",F414))),11,
ISNUMBER(SEARCH("Generative AI",F414)),12
=_xlfn.IFS(
OR(F414="Selenium (Hands-on)",F414="Guest Lecture: HR Interview"),6,
OR(F414="Soft Skill",F414="Soft Skill (Examination)",F414="AWS Training",F414="AWS Session"),7,
OR(ISNUMBER(SEARCH("MAD",F414)),ISNUMBER(SEARCH("STQA",F414)),F414="CI/CD Session"),8,
OR(ISNUMBER(SEARCH("Cloud",F414)),F414="Industry Readiness Program",ISNUMBER(SEARCH("Talenlio",F414))),9,
OR(ISNUMBER(SEARCH("Innovation",F414)),F414="Mini Project"),10,
OR(ISNUMBER(SEARCH("Data Science",F414)),ISNUMBER(SEARCH("DS",F414))),11,
ISNUMBER(SEARCH("Generative AI",F414)),12
=_xlfn.IFS(
OR(F414="Selenium (Hands-on)",F414="Guest Lecture: HR Interview"),6,
OR(F414="Soft Skill",F414="Soft Skill (Examination)",F414="AWS Training",F414="AWS Session"),7,
OR(ISNUMBER(SEARCH("MAD",F414)),ISNUMBER(SEARCH("STQA",F414)),F414="CI/CD Session"),8,
OR(ISNUMBER(SEARCH("Cloud",F414)),F414="Industry Readiness Program",ISNUMBER(SEARCH("Talenlio",F414))),9,
OR(ISNUMBER(SEARCH("Innovation",F414)),F414="Mini Project"),10,
OR(ISNUMBER(SEARCH("Data Science",F414)),ISNUMBER(SEARCH("DS",F414))),11,
ISNUMBER(SEARCH("Generative AI",F414)),12
=_xlfn.IFS(
OR(F414="Selenium (Hands-on)",F414="Guest Lecture: HR Interview"),6,
OR(F414="Soft Skill",F414="Soft Skill (Examination)",F414="AWS Training",F414="AWS Session"),7,
OR(ISNUMBER(SEARCH("MAD",F414)),ISNUMBER(SEARCH("STQA",F414)),F414="CI/CD Session"),8,
OR(ISNUMBER(SEARCH("Cloud",F414)),F414="Industry Readiness Program",ISNUMBER(SEARCH("Talenlio",F414))),9,
OR(ISNUMBER(SEARCH("Innovation",F414)),F414="Mini Project"),10,
OR(ISNUMBER(SEARCH("Data Science",F414)),ISNUMBER(SEARCH("DS",F414))),11,
ISNUMBER(SEARCH("Generative AI",F414)),12
))))</f>
        <v>8</v>
      </c>
      <c r="X414" s="3">
        <v>4</v>
      </c>
      <c r="Y414" s="3">
        <v>25</v>
      </c>
      <c r="Z414" s="3" t="s">
        <v>35</v>
      </c>
    </row>
    <row r="415" spans="1:26" x14ac:dyDescent="0.3">
      <c r="A415" s="2">
        <v>46212</v>
      </c>
      <c r="B415" s="3" t="s">
        <v>45</v>
      </c>
      <c r="C415" s="3">
        <v>3</v>
      </c>
      <c r="D415" s="4">
        <v>0.42708333333333298</v>
      </c>
      <c r="E415" s="4">
        <v>0.46875</v>
      </c>
      <c r="F415" s="3" t="s">
        <v>59</v>
      </c>
      <c r="G415" s="3" t="s">
        <v>60</v>
      </c>
      <c r="H415" s="3" t="s">
        <v>29</v>
      </c>
      <c r="I415" s="3" t="s">
        <v>30</v>
      </c>
      <c r="J415" s="3" t="s">
        <v>84</v>
      </c>
      <c r="K415" s="3" t="s">
        <v>52</v>
      </c>
      <c r="L415" s="5">
        <v>102</v>
      </c>
      <c r="M415" s="5">
        <f t="shared" ca="1" si="30"/>
        <v>55</v>
      </c>
      <c r="N415" s="6">
        <f t="shared" ca="1" si="31"/>
        <v>53.921568627450981</v>
      </c>
      <c r="O415" s="3" cm="1">
        <f t="array" aca="1" ref="O415" ca="1">IFERROR(LOOKUP(2, 1/((F$1:F414=F415)*(J$1:J414=J415)*(ROW(F$1:F414)&lt;ROW(F415))), N$1:N414), "")</f>
        <v>75.490196078431367</v>
      </c>
      <c r="P415" s="3">
        <f t="shared" si="34"/>
        <v>0</v>
      </c>
      <c r="Q415" s="3" t="s">
        <v>33</v>
      </c>
      <c r="R415" s="3" t="s">
        <v>40</v>
      </c>
      <c r="S415" s="3" t="str">
        <f t="shared" si="32"/>
        <v>No</v>
      </c>
      <c r="T415" s="3" t="s">
        <v>40</v>
      </c>
      <c r="U415" s="3" t="str">
        <f t="shared" si="33"/>
        <v>Rainy</v>
      </c>
      <c r="V415" s="3" t="s">
        <v>40</v>
      </c>
      <c r="W415" s="3" cm="1">
        <f t="array" ref="W415">_xlfn.IFS(
OR(F415="Selenium (Hands-on)",F415="Guest Lecture: HR Interview"),6,
OR(F415="Soft Skill",F415="Soft Skill (Examination)",F415="AWS Training",F415="AWS Session"),7,
OR(ISNUMBER(SEARCH("MAD",F415)),ISNUMBER(SEARCH("STQA",F415)),F415="CI/CD Session"),8,
OR(ISNUMBER(SEARCH("Cloud",F415)),F415="Industry Readiness Program",ISNUMBER(SEARCH("Talenlio",F415))),9,
OR(ISNUMBER(SEARCH("Innovation",F415)),F415="Mini Project"),10,
OR(ISNUMBER(SEARCH("Data Science",F415)),ISNUMBER(SEARCH("DS",F415))),11,
ISNUMBER(SEARCH("Generative AI",F415)),12
=_xlfn.IFS(
OR(F415="Selenium (Hands-on)",F415="Guest Lecture: HR Interview"),6,
OR(F415="Soft Skill",F415="Soft Skill (Examination)",F415="AWS Training",F415="AWS Session"),7,
OR(ISNUMBER(SEARCH("MAD",F415)),ISNUMBER(SEARCH("STQA",F415)),F415="CI/CD Session"),8,
OR(ISNUMBER(SEARCH("Cloud",F415)),F415="Industry Readiness Program",ISNUMBER(SEARCH("Talenlio",F415))),9,
OR(ISNUMBER(SEARCH("Innovation",F415)),F415="Mini Project"),10,
OR(ISNUMBER(SEARCH("Data Science",F415)),ISNUMBER(SEARCH("DS",F415))),11,
ISNUMBER(SEARCH("Generative AI",F415)),12
=_xlfn.IFS(
OR(F415="Selenium (Hands-on)",F415="Guest Lecture: HR Interview"),6,
OR(F415="Soft Skill",F415="Soft Skill (Examination)",F415="AWS Training",F415="AWS Session"),7,
OR(ISNUMBER(SEARCH("MAD",F415)),ISNUMBER(SEARCH("STQA",F415)),F415="CI/CD Session"),8,
OR(ISNUMBER(SEARCH("Cloud",F415)),F415="Industry Readiness Program",ISNUMBER(SEARCH("Talenlio",F415))),9,
OR(ISNUMBER(SEARCH("Innovation",F415)),F415="Mini Project"),10,
OR(ISNUMBER(SEARCH("Data Science",F415)),ISNUMBER(SEARCH("DS",F415))),11,
ISNUMBER(SEARCH("Generative AI",F415)),12
=_xlfn.IFS(
OR(F415="Selenium (Hands-on)",F415="Guest Lecture: HR Interview"),6,
OR(F415="Soft Skill",F415="Soft Skill (Examination)",F415="AWS Training",F415="AWS Session"),7,
OR(ISNUMBER(SEARCH("MAD",F415)),ISNUMBER(SEARCH("STQA",F415)),F415="CI/CD Session"),8,
OR(ISNUMBER(SEARCH("Cloud",F415)),F415="Industry Readiness Program",ISNUMBER(SEARCH("Talenlio",F415))),9,
OR(ISNUMBER(SEARCH("Innovation",F415)),F415="Mini Project"),10,
OR(ISNUMBER(SEARCH("Data Science",F415)),ISNUMBER(SEARCH("DS",F415))),11,
ISNUMBER(SEARCH("Generative AI",F415)),12
))))</f>
        <v>11</v>
      </c>
      <c r="X415" s="3">
        <v>4</v>
      </c>
      <c r="Y415" s="3">
        <v>25</v>
      </c>
      <c r="Z415" s="3" t="s">
        <v>35</v>
      </c>
    </row>
    <row r="416" spans="1:26" x14ac:dyDescent="0.3">
      <c r="A416" s="2">
        <v>46212</v>
      </c>
      <c r="B416" s="3" t="s">
        <v>45</v>
      </c>
      <c r="C416" s="3">
        <v>4</v>
      </c>
      <c r="D416" s="4">
        <v>0.46875</v>
      </c>
      <c r="E416" s="4">
        <v>0.51041666666666696</v>
      </c>
      <c r="F416" s="3" t="s">
        <v>62</v>
      </c>
      <c r="G416" s="3" t="s">
        <v>56</v>
      </c>
      <c r="H416" s="3" t="s">
        <v>29</v>
      </c>
      <c r="I416" s="3" t="s">
        <v>30</v>
      </c>
      <c r="J416" s="3" t="s">
        <v>84</v>
      </c>
      <c r="K416" s="3" t="s">
        <v>52</v>
      </c>
      <c r="L416" s="5">
        <v>102</v>
      </c>
      <c r="M416" s="5">
        <f t="shared" ca="1" si="30"/>
        <v>92</v>
      </c>
      <c r="N416" s="6">
        <f t="shared" ca="1" si="31"/>
        <v>90.196078431372555</v>
      </c>
      <c r="O416" s="3" cm="1">
        <f t="array" aca="1" ref="O416" ca="1">IFERROR(LOOKUP(2, 1/((F$1:F415=F416)*(J$1:J415=J416)*(ROW(F$1:F415)&lt;ROW(F416))), N$1:N415), "")</f>
        <v>84.313725490196077</v>
      </c>
      <c r="P416" s="3">
        <f t="shared" si="34"/>
        <v>0</v>
      </c>
      <c r="Q416" s="3" t="s">
        <v>33</v>
      </c>
      <c r="R416" s="3" t="s">
        <v>40</v>
      </c>
      <c r="S416" s="3" t="str">
        <f t="shared" si="32"/>
        <v>No</v>
      </c>
      <c r="T416" s="3" t="s">
        <v>40</v>
      </c>
      <c r="U416" s="3" t="str">
        <f t="shared" si="33"/>
        <v>Rainy</v>
      </c>
      <c r="V416" s="3" t="s">
        <v>40</v>
      </c>
      <c r="W416" s="3">
        <v>7</v>
      </c>
      <c r="X416" s="3">
        <v>4</v>
      </c>
      <c r="Y416" s="3">
        <v>25</v>
      </c>
      <c r="Z416" s="3" t="s">
        <v>35</v>
      </c>
    </row>
    <row r="417" spans="1:26" x14ac:dyDescent="0.3">
      <c r="A417" s="2">
        <v>46212</v>
      </c>
      <c r="B417" s="3" t="s">
        <v>45</v>
      </c>
      <c r="C417" s="3">
        <v>5</v>
      </c>
      <c r="D417" s="4">
        <v>0.5625</v>
      </c>
      <c r="E417" s="4">
        <v>0.60416666666666696</v>
      </c>
      <c r="F417" s="3" t="s">
        <v>63</v>
      </c>
      <c r="G417" s="3" t="s">
        <v>64</v>
      </c>
      <c r="H417" s="3" t="s">
        <v>29</v>
      </c>
      <c r="I417" s="3" t="s">
        <v>30</v>
      </c>
      <c r="J417" s="3" t="s">
        <v>84</v>
      </c>
      <c r="K417" s="3" t="s">
        <v>52</v>
      </c>
      <c r="L417" s="5">
        <v>102</v>
      </c>
      <c r="M417" s="5">
        <f t="shared" ca="1" si="30"/>
        <v>57</v>
      </c>
      <c r="N417" s="6">
        <f t="shared" ca="1" si="31"/>
        <v>55.882352941176471</v>
      </c>
      <c r="O417" s="3" cm="1">
        <f t="array" aca="1" ref="O417" ca="1">IFERROR(LOOKUP(2, 1/((F$1:F416=F417)*(J$1:J416=J417)*(ROW(F$1:F416)&lt;ROW(F417))), N$1:N416), "")</f>
        <v>60.784313725490193</v>
      </c>
      <c r="P417" s="3">
        <f t="shared" si="34"/>
        <v>1.25</v>
      </c>
      <c r="Q417" s="3" t="s">
        <v>33</v>
      </c>
      <c r="R417" s="3" t="s">
        <v>40</v>
      </c>
      <c r="S417" s="3" t="str">
        <f t="shared" si="32"/>
        <v>No</v>
      </c>
      <c r="T417" s="3" t="s">
        <v>40</v>
      </c>
      <c r="U417" s="3" t="str">
        <f t="shared" si="33"/>
        <v>Rainy</v>
      </c>
      <c r="V417" s="3" t="s">
        <v>40</v>
      </c>
      <c r="W417" s="3" cm="1">
        <f t="array" ref="W417">_xlfn.IFS(
OR(F417="Selenium (Hands-on)",F417="Guest Lecture: HR Interview"),6,
OR(F417="Soft Skill",F417="Soft Skill (Examination)",F417="AWS Training",F417="AWS Session"),7,
OR(ISNUMBER(SEARCH("MAD",F417)),ISNUMBER(SEARCH("STQA",F417)),F417="CI/CD Session"),8,
OR(ISNUMBER(SEARCH("Cloud",F417)),F417="Industry Readiness Program",ISNUMBER(SEARCH("Talenlio",F417))),9,
OR(ISNUMBER(SEARCH("Innovation",F417)),F417="Mini Project"),10,
OR(ISNUMBER(SEARCH("Data Science",F417)),ISNUMBER(SEARCH("DS",F417))),11,
ISNUMBER(SEARCH("Generative AI",F417)),12
=_xlfn.IFS(
OR(F417="Selenium (Hands-on)",F417="Guest Lecture: HR Interview"),6,
OR(F417="Soft Skill",F417="Soft Skill (Examination)",F417="AWS Training",F417="AWS Session"),7,
OR(ISNUMBER(SEARCH("MAD",F417)),ISNUMBER(SEARCH("STQA",F417)),F417="CI/CD Session"),8,
OR(ISNUMBER(SEARCH("Cloud",F417)),F417="Industry Readiness Program",ISNUMBER(SEARCH("Talenlio",F417))),9,
OR(ISNUMBER(SEARCH("Innovation",F417)),F417="Mini Project"),10,
OR(ISNUMBER(SEARCH("Data Science",F417)),ISNUMBER(SEARCH("DS",F417))),11,
ISNUMBER(SEARCH("Generative AI",F417)),12
=_xlfn.IFS(
OR(F417="Selenium (Hands-on)",F417="Guest Lecture: HR Interview"),6,
OR(F417="Soft Skill",F417="Soft Skill (Examination)",F417="AWS Training",F417="AWS Session"),7,
OR(ISNUMBER(SEARCH("MAD",F417)),ISNUMBER(SEARCH("STQA",F417)),F417="CI/CD Session"),8,
OR(ISNUMBER(SEARCH("Cloud",F417)),F417="Industry Readiness Program",ISNUMBER(SEARCH("Talenlio",F417))),9,
OR(ISNUMBER(SEARCH("Innovation",F417)),F417="Mini Project"),10,
OR(ISNUMBER(SEARCH("Data Science",F417)),ISNUMBER(SEARCH("DS",F417))),11,
ISNUMBER(SEARCH("Generative AI",F417)),12
=_xlfn.IFS(
OR(F417="Selenium (Hands-on)",F417="Guest Lecture: HR Interview"),6,
OR(F417="Soft Skill",F417="Soft Skill (Examination)",F417="AWS Training",F417="AWS Session"),7,
OR(ISNUMBER(SEARCH("MAD",F417)),ISNUMBER(SEARCH("STQA",F417)),F417="CI/CD Session"),8,
OR(ISNUMBER(SEARCH("Cloud",F417)),F417="Industry Readiness Program",ISNUMBER(SEARCH("Talenlio",F417))),9,
OR(ISNUMBER(SEARCH("Innovation",F417)),F417="Mini Project"),10,
OR(ISNUMBER(SEARCH("Data Science",F417)),ISNUMBER(SEARCH("DS",F417))),11,
ISNUMBER(SEARCH("Generative AI",F417)),12
))))</f>
        <v>9</v>
      </c>
      <c r="X417" s="3">
        <v>4</v>
      </c>
      <c r="Y417" s="3">
        <v>25</v>
      </c>
      <c r="Z417" s="3" t="s">
        <v>38</v>
      </c>
    </row>
    <row r="418" spans="1:26" x14ac:dyDescent="0.3">
      <c r="A418" s="2">
        <v>46212</v>
      </c>
      <c r="B418" s="3" t="s">
        <v>45</v>
      </c>
      <c r="C418" s="3">
        <v>6</v>
      </c>
      <c r="D418" s="4">
        <v>0.60416666666666696</v>
      </c>
      <c r="E418" s="4">
        <v>0.64583333333333304</v>
      </c>
      <c r="F418" s="3" t="s">
        <v>63</v>
      </c>
      <c r="G418" s="3" t="s">
        <v>64</v>
      </c>
      <c r="H418" s="3" t="s">
        <v>29</v>
      </c>
      <c r="I418" s="3" t="s">
        <v>30</v>
      </c>
      <c r="J418" s="3" t="s">
        <v>84</v>
      </c>
      <c r="K418" s="3" t="s">
        <v>52</v>
      </c>
      <c r="L418" s="5">
        <v>102</v>
      </c>
      <c r="M418" s="5">
        <f t="shared" ca="1" si="30"/>
        <v>69</v>
      </c>
      <c r="N418" s="6">
        <f t="shared" ca="1" si="31"/>
        <v>67.64705882352942</v>
      </c>
      <c r="O418" s="3" cm="1">
        <f t="array" aca="1" ref="O418" ca="1">IFERROR(LOOKUP(2, 1/((F$1:F417=F418)*(J$1:J417=J418)*(ROW(F$1:F417)&lt;ROW(F418))), N$1:N417), "")</f>
        <v>55.882352941176471</v>
      </c>
      <c r="P418" s="3">
        <f t="shared" si="34"/>
        <v>0</v>
      </c>
      <c r="Q418" s="3" t="s">
        <v>33</v>
      </c>
      <c r="R418" s="3" t="s">
        <v>40</v>
      </c>
      <c r="S418" s="3" t="str">
        <f t="shared" si="32"/>
        <v>No</v>
      </c>
      <c r="T418" s="3" t="s">
        <v>40</v>
      </c>
      <c r="U418" s="3" t="str">
        <f t="shared" si="33"/>
        <v>Rainy</v>
      </c>
      <c r="V418" s="3" t="s">
        <v>40</v>
      </c>
      <c r="W418" s="3" cm="1">
        <f t="array" ref="W418">_xlfn.IFS(
OR(F418="Selenium (Hands-on)",F418="Guest Lecture: HR Interview"),6,
OR(F418="Soft Skill",F418="Soft Skill (Examination)",F418="AWS Training",F418="AWS Session"),7,
OR(ISNUMBER(SEARCH("MAD",F418)),ISNUMBER(SEARCH("STQA",F418)),F418="CI/CD Session"),8,
OR(ISNUMBER(SEARCH("Cloud",F418)),F418="Industry Readiness Program",ISNUMBER(SEARCH("Talenlio",F418))),9,
OR(ISNUMBER(SEARCH("Innovation",F418)),F418="Mini Project"),10,
OR(ISNUMBER(SEARCH("Data Science",F418)),ISNUMBER(SEARCH("DS",F418))),11,
ISNUMBER(SEARCH("Generative AI",F418)),12
=_xlfn.IFS(
OR(F418="Selenium (Hands-on)",F418="Guest Lecture: HR Interview"),6,
OR(F418="Soft Skill",F418="Soft Skill (Examination)",F418="AWS Training",F418="AWS Session"),7,
OR(ISNUMBER(SEARCH("MAD",F418)),ISNUMBER(SEARCH("STQA",F418)),F418="CI/CD Session"),8,
OR(ISNUMBER(SEARCH("Cloud",F418)),F418="Industry Readiness Program",ISNUMBER(SEARCH("Talenlio",F418))),9,
OR(ISNUMBER(SEARCH("Innovation",F418)),F418="Mini Project"),10,
OR(ISNUMBER(SEARCH("Data Science",F418)),ISNUMBER(SEARCH("DS",F418))),11,
ISNUMBER(SEARCH("Generative AI",F418)),12
=_xlfn.IFS(
OR(F418="Selenium (Hands-on)",F418="Guest Lecture: HR Interview"),6,
OR(F418="Soft Skill",F418="Soft Skill (Examination)",F418="AWS Training",F418="AWS Session"),7,
OR(ISNUMBER(SEARCH("MAD",F418)),ISNUMBER(SEARCH("STQA",F418)),F418="CI/CD Session"),8,
OR(ISNUMBER(SEARCH("Cloud",F418)),F418="Industry Readiness Program",ISNUMBER(SEARCH("Talenlio",F418))),9,
OR(ISNUMBER(SEARCH("Innovation",F418)),F418="Mini Project"),10,
OR(ISNUMBER(SEARCH("Data Science",F418)),ISNUMBER(SEARCH("DS",F418))),11,
ISNUMBER(SEARCH("Generative AI",F418)),12
=_xlfn.IFS(
OR(F418="Selenium (Hands-on)",F418="Guest Lecture: HR Interview"),6,
OR(F418="Soft Skill",F418="Soft Skill (Examination)",F418="AWS Training",F418="AWS Session"),7,
OR(ISNUMBER(SEARCH("MAD",F418)),ISNUMBER(SEARCH("STQA",F418)),F418="CI/CD Session"),8,
OR(ISNUMBER(SEARCH("Cloud",F418)),F418="Industry Readiness Program",ISNUMBER(SEARCH("Talenlio",F418))),9,
OR(ISNUMBER(SEARCH("Innovation",F418)),F418="Mini Project"),10,
OR(ISNUMBER(SEARCH("Data Science",F418)),ISNUMBER(SEARCH("DS",F418))),11,
ISNUMBER(SEARCH("Generative AI",F418)),12
))))</f>
        <v>9</v>
      </c>
      <c r="X418" s="3">
        <v>4</v>
      </c>
      <c r="Y418" s="3">
        <v>25</v>
      </c>
      <c r="Z418" s="3" t="s">
        <v>38</v>
      </c>
    </row>
    <row r="419" spans="1:26" x14ac:dyDescent="0.3">
      <c r="A419" s="2">
        <v>46213</v>
      </c>
      <c r="B419" s="3" t="s">
        <v>46</v>
      </c>
      <c r="C419" s="3">
        <v>1</v>
      </c>
      <c r="D419" s="4">
        <v>0.35416666666666702</v>
      </c>
      <c r="E419" s="4">
        <v>0.38541666666666702</v>
      </c>
      <c r="F419" s="3" t="s">
        <v>50</v>
      </c>
      <c r="G419" s="3" t="s">
        <v>51</v>
      </c>
      <c r="H419" s="3" t="s">
        <v>29</v>
      </c>
      <c r="I419" s="3" t="s">
        <v>30</v>
      </c>
      <c r="J419" s="3" t="s">
        <v>84</v>
      </c>
      <c r="K419" s="3" t="s">
        <v>52</v>
      </c>
      <c r="L419" s="5">
        <v>102</v>
      </c>
      <c r="M419" s="5">
        <f t="shared" ca="1" si="30"/>
        <v>81</v>
      </c>
      <c r="N419" s="6">
        <f t="shared" ca="1" si="31"/>
        <v>79.411764705882348</v>
      </c>
      <c r="O419" s="3" cm="1">
        <f t="array" aca="1" ref="O419" ca="1">IFERROR(LOOKUP(2, 1/((F$1:F418=F419)*(J$1:J418=J419)*(ROW(F$1:F418)&lt;ROW(F419))), N$1:N418), "")</f>
        <v>51.960784313725497</v>
      </c>
      <c r="P419" s="3">
        <f t="shared" si="34"/>
        <v>0</v>
      </c>
      <c r="Q419" s="3" t="s">
        <v>43</v>
      </c>
      <c r="R419" s="3" t="s">
        <v>40</v>
      </c>
      <c r="S419" s="3" t="str">
        <f t="shared" si="32"/>
        <v>Yes</v>
      </c>
      <c r="T419" s="3" t="s">
        <v>40</v>
      </c>
      <c r="U419" s="3" t="str">
        <f t="shared" si="33"/>
        <v>Rainy</v>
      </c>
      <c r="V419" s="3" t="s">
        <v>40</v>
      </c>
      <c r="W419" s="3" cm="1">
        <f t="array" ref="W419">_xlfn.IFS(
OR(F419="Selenium (Hands-on)",F419="Guest Lecture: HR Interview"),6,
OR(F419="Soft Skill",F419="Soft Skill (Examination)",F419="AWS Training",F419="AWS Session"),7,
OR(ISNUMBER(SEARCH("MAD",F419)),ISNUMBER(SEARCH("STQA",F419)),F419="CI/CD Session"),8,
OR(ISNUMBER(SEARCH("Cloud",F419)),F419="Industry Readiness Program",ISNUMBER(SEARCH("Talenlio",F419))),9,
OR(ISNUMBER(SEARCH("Innovation",F419)),F419="Mini Project"),10,
OR(ISNUMBER(SEARCH("Data Science",F419)),ISNUMBER(SEARCH("DS",F419))),11,
ISNUMBER(SEARCH("Generative AI",F419)),12
=_xlfn.IFS(
OR(F419="Selenium (Hands-on)",F419="Guest Lecture: HR Interview"),6,
OR(F419="Soft Skill",F419="Soft Skill (Examination)",F419="AWS Training",F419="AWS Session"),7,
OR(ISNUMBER(SEARCH("MAD",F419)),ISNUMBER(SEARCH("STQA",F419)),F419="CI/CD Session"),8,
OR(ISNUMBER(SEARCH("Cloud",F419)),F419="Industry Readiness Program",ISNUMBER(SEARCH("Talenlio",F419))),9,
OR(ISNUMBER(SEARCH("Innovation",F419)),F419="Mini Project"),10,
OR(ISNUMBER(SEARCH("Data Science",F419)),ISNUMBER(SEARCH("DS",F419))),11,
ISNUMBER(SEARCH("Generative AI",F419)),12
=_xlfn.IFS(
OR(F419="Selenium (Hands-on)",F419="Guest Lecture: HR Interview"),6,
OR(F419="Soft Skill",F419="Soft Skill (Examination)",F419="AWS Training",F419="AWS Session"),7,
OR(ISNUMBER(SEARCH("MAD",F419)),ISNUMBER(SEARCH("STQA",F419)),F419="CI/CD Session"),8,
OR(ISNUMBER(SEARCH("Cloud",F419)),F419="Industry Readiness Program",ISNUMBER(SEARCH("Talenlio",F419))),9,
OR(ISNUMBER(SEARCH("Innovation",F419)),F419="Mini Project"),10,
OR(ISNUMBER(SEARCH("Data Science",F419)),ISNUMBER(SEARCH("DS",F419))),11,
ISNUMBER(SEARCH("Generative AI",F419)),12
=_xlfn.IFS(
OR(F419="Selenium (Hands-on)",F419="Guest Lecture: HR Interview"),6,
OR(F419="Soft Skill",F419="Soft Skill (Examination)",F419="AWS Training",F419="AWS Session"),7,
OR(ISNUMBER(SEARCH("MAD",F419)),ISNUMBER(SEARCH("STQA",F419)),F419="CI/CD Session"),8,
OR(ISNUMBER(SEARCH("Cloud",F419)),F419="Industry Readiness Program",ISNUMBER(SEARCH("Talenlio",F419))),9,
OR(ISNUMBER(SEARCH("Innovation",F419)),F419="Mini Project"),10,
OR(ISNUMBER(SEARCH("Data Science",F419)),ISNUMBER(SEARCH("DS",F419))),11,
ISNUMBER(SEARCH("Generative AI",F419)),12
))))</f>
        <v>8</v>
      </c>
      <c r="X419" s="3">
        <v>4</v>
      </c>
      <c r="Y419" s="3">
        <v>26</v>
      </c>
      <c r="Z419" s="3" t="s">
        <v>35</v>
      </c>
    </row>
    <row r="420" spans="1:26" x14ac:dyDescent="0.3">
      <c r="A420" s="2">
        <v>46213</v>
      </c>
      <c r="B420" s="3" t="s">
        <v>46</v>
      </c>
      <c r="C420" s="3">
        <v>2</v>
      </c>
      <c r="D420" s="4">
        <v>0.38541666666666702</v>
      </c>
      <c r="E420" s="4">
        <v>0.42708333333333298</v>
      </c>
      <c r="F420" s="3" t="s">
        <v>50</v>
      </c>
      <c r="G420" s="3" t="s">
        <v>51</v>
      </c>
      <c r="H420" s="3" t="s">
        <v>29</v>
      </c>
      <c r="I420" s="3" t="s">
        <v>30</v>
      </c>
      <c r="J420" s="3" t="s">
        <v>84</v>
      </c>
      <c r="K420" s="3" t="s">
        <v>52</v>
      </c>
      <c r="L420" s="5">
        <v>102</v>
      </c>
      <c r="M420" s="5">
        <f t="shared" ca="1" si="30"/>
        <v>91</v>
      </c>
      <c r="N420" s="6">
        <f t="shared" ca="1" si="31"/>
        <v>89.215686274509807</v>
      </c>
      <c r="O420" s="3" cm="1">
        <f t="array" aca="1" ref="O420" ca="1">IFERROR(LOOKUP(2, 1/((F$1:F419=F420)*(J$1:J419=J420)*(ROW(F$1:F419)&lt;ROW(F420))), N$1:N419), "")</f>
        <v>79.411764705882348</v>
      </c>
      <c r="P420" s="3">
        <f t="shared" si="34"/>
        <v>0</v>
      </c>
      <c r="Q420" s="3" t="s">
        <v>43</v>
      </c>
      <c r="R420" s="3" t="s">
        <v>40</v>
      </c>
      <c r="S420" s="3" t="str">
        <f t="shared" si="32"/>
        <v>Yes</v>
      </c>
      <c r="T420" s="3" t="s">
        <v>40</v>
      </c>
      <c r="U420" s="3" t="str">
        <f t="shared" si="33"/>
        <v>Rainy</v>
      </c>
      <c r="V420" s="3" t="s">
        <v>40</v>
      </c>
      <c r="W420" s="3" cm="1">
        <f t="array" ref="W420">_xlfn.IFS(
OR(F420="Selenium (Hands-on)",F420="Guest Lecture: HR Interview"),6,
OR(F420="Soft Skill",F420="Soft Skill (Examination)",F420="AWS Training",F420="AWS Session"),7,
OR(ISNUMBER(SEARCH("MAD",F420)),ISNUMBER(SEARCH("STQA",F420)),F420="CI/CD Session"),8,
OR(ISNUMBER(SEARCH("Cloud",F420)),F420="Industry Readiness Program",ISNUMBER(SEARCH("Talenlio",F420))),9,
OR(ISNUMBER(SEARCH("Innovation",F420)),F420="Mini Project"),10,
OR(ISNUMBER(SEARCH("Data Science",F420)),ISNUMBER(SEARCH("DS",F420))),11,
ISNUMBER(SEARCH("Generative AI",F420)),12
=_xlfn.IFS(
OR(F420="Selenium (Hands-on)",F420="Guest Lecture: HR Interview"),6,
OR(F420="Soft Skill",F420="Soft Skill (Examination)",F420="AWS Training",F420="AWS Session"),7,
OR(ISNUMBER(SEARCH("MAD",F420)),ISNUMBER(SEARCH("STQA",F420)),F420="CI/CD Session"),8,
OR(ISNUMBER(SEARCH("Cloud",F420)),F420="Industry Readiness Program",ISNUMBER(SEARCH("Talenlio",F420))),9,
OR(ISNUMBER(SEARCH("Innovation",F420)),F420="Mini Project"),10,
OR(ISNUMBER(SEARCH("Data Science",F420)),ISNUMBER(SEARCH("DS",F420))),11,
ISNUMBER(SEARCH("Generative AI",F420)),12
=_xlfn.IFS(
OR(F420="Selenium (Hands-on)",F420="Guest Lecture: HR Interview"),6,
OR(F420="Soft Skill",F420="Soft Skill (Examination)",F420="AWS Training",F420="AWS Session"),7,
OR(ISNUMBER(SEARCH("MAD",F420)),ISNUMBER(SEARCH("STQA",F420)),F420="CI/CD Session"),8,
OR(ISNUMBER(SEARCH("Cloud",F420)),F420="Industry Readiness Program",ISNUMBER(SEARCH("Talenlio",F420))),9,
OR(ISNUMBER(SEARCH("Innovation",F420)),F420="Mini Project"),10,
OR(ISNUMBER(SEARCH("Data Science",F420)),ISNUMBER(SEARCH("DS",F420))),11,
ISNUMBER(SEARCH("Generative AI",F420)),12
=_xlfn.IFS(
OR(F420="Selenium (Hands-on)",F420="Guest Lecture: HR Interview"),6,
OR(F420="Soft Skill",F420="Soft Skill (Examination)",F420="AWS Training",F420="AWS Session"),7,
OR(ISNUMBER(SEARCH("MAD",F420)),ISNUMBER(SEARCH("STQA",F420)),F420="CI/CD Session"),8,
OR(ISNUMBER(SEARCH("Cloud",F420)),F420="Industry Readiness Program",ISNUMBER(SEARCH("Talenlio",F420))),9,
OR(ISNUMBER(SEARCH("Innovation",F420)),F420="Mini Project"),10,
OR(ISNUMBER(SEARCH("Data Science",F420)),ISNUMBER(SEARCH("DS",F420))),11,
ISNUMBER(SEARCH("Generative AI",F420)),12
))))</f>
        <v>8</v>
      </c>
      <c r="X420" s="3">
        <v>4</v>
      </c>
      <c r="Y420" s="3">
        <v>26</v>
      </c>
      <c r="Z420" s="3" t="s">
        <v>35</v>
      </c>
    </row>
    <row r="421" spans="1:26" x14ac:dyDescent="0.3">
      <c r="A421" s="2">
        <v>46213</v>
      </c>
      <c r="B421" s="3" t="s">
        <v>46</v>
      </c>
      <c r="C421" s="3">
        <v>3</v>
      </c>
      <c r="D421" s="4">
        <v>0.42708333333333298</v>
      </c>
      <c r="E421" s="4">
        <v>0.46875</v>
      </c>
      <c r="F421" s="3" t="s">
        <v>59</v>
      </c>
      <c r="G421" s="3" t="s">
        <v>60</v>
      </c>
      <c r="H421" s="3" t="s">
        <v>29</v>
      </c>
      <c r="I421" s="3" t="s">
        <v>30</v>
      </c>
      <c r="J421" s="3" t="s">
        <v>84</v>
      </c>
      <c r="K421" s="3" t="s">
        <v>52</v>
      </c>
      <c r="L421" s="5">
        <v>102</v>
      </c>
      <c r="M421" s="5">
        <f t="shared" ca="1" si="30"/>
        <v>86</v>
      </c>
      <c r="N421" s="6">
        <f t="shared" ca="1" si="31"/>
        <v>84.313725490196077</v>
      </c>
      <c r="O421" s="3" cm="1">
        <f t="array" aca="1" ref="O421" ca="1">IFERROR(LOOKUP(2, 1/((F$1:F420=F421)*(J$1:J420=J421)*(ROW(F$1:F420)&lt;ROW(F421))), N$1:N420), "")</f>
        <v>53.921568627450981</v>
      </c>
      <c r="P421" s="3">
        <f t="shared" si="34"/>
        <v>0</v>
      </c>
      <c r="Q421" s="3" t="s">
        <v>33</v>
      </c>
      <c r="R421" s="3" t="s">
        <v>40</v>
      </c>
      <c r="S421" s="3" t="str">
        <f t="shared" si="32"/>
        <v>Yes</v>
      </c>
      <c r="T421" s="3" t="s">
        <v>40</v>
      </c>
      <c r="U421" s="3" t="str">
        <f t="shared" si="33"/>
        <v>Rainy</v>
      </c>
      <c r="V421" s="3" t="s">
        <v>40</v>
      </c>
      <c r="W421" s="3" cm="1">
        <f t="array" ref="W421">_xlfn.IFS(
OR(F421="Selenium (Hands-on)",F421="Guest Lecture: HR Interview"),6,
OR(F421="Soft Skill",F421="Soft Skill (Examination)",F421="AWS Training",F421="AWS Session"),7,
OR(ISNUMBER(SEARCH("MAD",F421)),ISNUMBER(SEARCH("STQA",F421)),F421="CI/CD Session"),8,
OR(ISNUMBER(SEARCH("Cloud",F421)),F421="Industry Readiness Program",ISNUMBER(SEARCH("Talenlio",F421))),9,
OR(ISNUMBER(SEARCH("Innovation",F421)),F421="Mini Project"),10,
OR(ISNUMBER(SEARCH("Data Science",F421)),ISNUMBER(SEARCH("DS",F421))),11,
ISNUMBER(SEARCH("Generative AI",F421)),12
=_xlfn.IFS(
OR(F421="Selenium (Hands-on)",F421="Guest Lecture: HR Interview"),6,
OR(F421="Soft Skill",F421="Soft Skill (Examination)",F421="AWS Training",F421="AWS Session"),7,
OR(ISNUMBER(SEARCH("MAD",F421)),ISNUMBER(SEARCH("STQA",F421)),F421="CI/CD Session"),8,
OR(ISNUMBER(SEARCH("Cloud",F421)),F421="Industry Readiness Program",ISNUMBER(SEARCH("Talenlio",F421))),9,
OR(ISNUMBER(SEARCH("Innovation",F421)),F421="Mini Project"),10,
OR(ISNUMBER(SEARCH("Data Science",F421)),ISNUMBER(SEARCH("DS",F421))),11,
ISNUMBER(SEARCH("Generative AI",F421)),12
=_xlfn.IFS(
OR(F421="Selenium (Hands-on)",F421="Guest Lecture: HR Interview"),6,
OR(F421="Soft Skill",F421="Soft Skill (Examination)",F421="AWS Training",F421="AWS Session"),7,
OR(ISNUMBER(SEARCH("MAD",F421)),ISNUMBER(SEARCH("STQA",F421)),F421="CI/CD Session"),8,
OR(ISNUMBER(SEARCH("Cloud",F421)),F421="Industry Readiness Program",ISNUMBER(SEARCH("Talenlio",F421))),9,
OR(ISNUMBER(SEARCH("Innovation",F421)),F421="Mini Project"),10,
OR(ISNUMBER(SEARCH("Data Science",F421)),ISNUMBER(SEARCH("DS",F421))),11,
ISNUMBER(SEARCH("Generative AI",F421)),12
=_xlfn.IFS(
OR(F421="Selenium (Hands-on)",F421="Guest Lecture: HR Interview"),6,
OR(F421="Soft Skill",F421="Soft Skill (Examination)",F421="AWS Training",F421="AWS Session"),7,
OR(ISNUMBER(SEARCH("MAD",F421)),ISNUMBER(SEARCH("STQA",F421)),F421="CI/CD Session"),8,
OR(ISNUMBER(SEARCH("Cloud",F421)),F421="Industry Readiness Program",ISNUMBER(SEARCH("Talenlio",F421))),9,
OR(ISNUMBER(SEARCH("Innovation",F421)),F421="Mini Project"),10,
OR(ISNUMBER(SEARCH("Data Science",F421)),ISNUMBER(SEARCH("DS",F421))),11,
ISNUMBER(SEARCH("Generative AI",F421)),12
))))</f>
        <v>11</v>
      </c>
      <c r="X421" s="3">
        <v>4</v>
      </c>
      <c r="Y421" s="3">
        <v>26</v>
      </c>
      <c r="Z421" s="3" t="s">
        <v>35</v>
      </c>
    </row>
    <row r="422" spans="1:26" x14ac:dyDescent="0.3">
      <c r="A422" s="2">
        <v>46213</v>
      </c>
      <c r="B422" s="3" t="s">
        <v>46</v>
      </c>
      <c r="C422" s="3">
        <v>4</v>
      </c>
      <c r="D422" s="4">
        <v>0.46875</v>
      </c>
      <c r="E422" s="4">
        <v>0.51041666666666696</v>
      </c>
      <c r="F422" s="3" t="s">
        <v>57</v>
      </c>
      <c r="G422" s="3" t="s">
        <v>58</v>
      </c>
      <c r="H422" s="3" t="s">
        <v>29</v>
      </c>
      <c r="I422" s="3" t="s">
        <v>30</v>
      </c>
      <c r="J422" s="3" t="s">
        <v>84</v>
      </c>
      <c r="K422" s="3" t="s">
        <v>52</v>
      </c>
      <c r="L422" s="5">
        <v>102</v>
      </c>
      <c r="M422" s="5">
        <f t="shared" ca="1" si="30"/>
        <v>42</v>
      </c>
      <c r="N422" s="6">
        <f t="shared" ca="1" si="31"/>
        <v>41.17647058823529</v>
      </c>
      <c r="O422" s="3" cm="1">
        <f t="array" aca="1" ref="O422" ca="1">IFERROR(LOOKUP(2, 1/((F$1:F421=F422)*(J$1:J421=J422)*(ROW(F$1:F421)&lt;ROW(F422))), N$1:N421), "")</f>
        <v>81.372549019607845</v>
      </c>
      <c r="P422" s="3">
        <f t="shared" si="34"/>
        <v>0</v>
      </c>
      <c r="Q422" s="3" t="s">
        <v>33</v>
      </c>
      <c r="R422" s="3" t="s">
        <v>40</v>
      </c>
      <c r="S422" s="3" t="str">
        <f t="shared" si="32"/>
        <v>Yes</v>
      </c>
      <c r="T422" s="3" t="s">
        <v>40</v>
      </c>
      <c r="U422" s="3" t="str">
        <f t="shared" si="33"/>
        <v>Rainy</v>
      </c>
      <c r="V422" s="3" t="s">
        <v>40</v>
      </c>
      <c r="W422" s="3" cm="1">
        <f t="array" ref="W422">_xlfn.IFS(
OR(F422="Selenium (Hands-on)",F422="Guest Lecture: HR Interview"),6,
OR(F422="Soft Skill",F422="Soft Skill (Examination)",F422="AWS Training",F422="AWS Session"),7,
OR(ISNUMBER(SEARCH("MAD",F422)),ISNUMBER(SEARCH("STQA",F422)),F422="CI/CD Session"),8,
OR(ISNUMBER(SEARCH("Cloud",F422)),F422="Industry Readiness Program",ISNUMBER(SEARCH("Talenlio",F422))),9,
OR(ISNUMBER(SEARCH("Innovation",F422)),F422="Mini Project"),10,
OR(ISNUMBER(SEARCH("Data Science",F422)),ISNUMBER(SEARCH("DS",F422))),11,
ISNUMBER(SEARCH("Generative AI",F422)),12
=_xlfn.IFS(
OR(F422="Selenium (Hands-on)",F422="Guest Lecture: HR Interview"),6,
OR(F422="Soft Skill",F422="Soft Skill (Examination)",F422="AWS Training",F422="AWS Session"),7,
OR(ISNUMBER(SEARCH("MAD",F422)),ISNUMBER(SEARCH("STQA",F422)),F422="CI/CD Session"),8,
OR(ISNUMBER(SEARCH("Cloud",F422)),F422="Industry Readiness Program",ISNUMBER(SEARCH("Talenlio",F422))),9,
OR(ISNUMBER(SEARCH("Innovation",F422)),F422="Mini Project"),10,
OR(ISNUMBER(SEARCH("Data Science",F422)),ISNUMBER(SEARCH("DS",F422))),11,
ISNUMBER(SEARCH("Generative AI",F422)),12
=_xlfn.IFS(
OR(F422="Selenium (Hands-on)",F422="Guest Lecture: HR Interview"),6,
OR(F422="Soft Skill",F422="Soft Skill (Examination)",F422="AWS Training",F422="AWS Session"),7,
OR(ISNUMBER(SEARCH("MAD",F422)),ISNUMBER(SEARCH("STQA",F422)),F422="CI/CD Session"),8,
OR(ISNUMBER(SEARCH("Cloud",F422)),F422="Industry Readiness Program",ISNUMBER(SEARCH("Talenlio",F422))),9,
OR(ISNUMBER(SEARCH("Innovation",F422)),F422="Mini Project"),10,
OR(ISNUMBER(SEARCH("Data Science",F422)),ISNUMBER(SEARCH("DS",F422))),11,
ISNUMBER(SEARCH("Generative AI",F422)),12
=_xlfn.IFS(
OR(F422="Selenium (Hands-on)",F422="Guest Lecture: HR Interview"),6,
OR(F422="Soft Skill",F422="Soft Skill (Examination)",F422="AWS Training",F422="AWS Session"),7,
OR(ISNUMBER(SEARCH("MAD",F422)),ISNUMBER(SEARCH("STQA",F422)),F422="CI/CD Session"),8,
OR(ISNUMBER(SEARCH("Cloud",F422)),F422="Industry Readiness Program",ISNUMBER(SEARCH("Talenlio",F422))),9,
OR(ISNUMBER(SEARCH("Innovation",F422)),F422="Mini Project"),10,
OR(ISNUMBER(SEARCH("Data Science",F422)),ISNUMBER(SEARCH("DS",F422))),11,
ISNUMBER(SEARCH("Generative AI",F422)),12
))))</f>
        <v>9</v>
      </c>
      <c r="X422" s="3">
        <v>4</v>
      </c>
      <c r="Y422" s="3">
        <v>26</v>
      </c>
      <c r="Z422" s="3" t="s">
        <v>35</v>
      </c>
    </row>
    <row r="423" spans="1:26" x14ac:dyDescent="0.3">
      <c r="A423" s="2">
        <v>46213</v>
      </c>
      <c r="B423" s="3" t="s">
        <v>46</v>
      </c>
      <c r="C423" s="3">
        <v>5</v>
      </c>
      <c r="D423" s="4">
        <v>0.5625</v>
      </c>
      <c r="E423" s="4">
        <v>0.60416666666666696</v>
      </c>
      <c r="F423" s="3" t="s">
        <v>62</v>
      </c>
      <c r="G423" s="3" t="s">
        <v>56</v>
      </c>
      <c r="H423" s="3" t="s">
        <v>29</v>
      </c>
      <c r="I423" s="3" t="s">
        <v>30</v>
      </c>
      <c r="J423" s="3" t="s">
        <v>84</v>
      </c>
      <c r="K423" s="3" t="s">
        <v>52</v>
      </c>
      <c r="L423" s="5">
        <v>102</v>
      </c>
      <c r="M423" s="5">
        <f t="shared" ca="1" si="30"/>
        <v>44</v>
      </c>
      <c r="N423" s="6">
        <f t="shared" ca="1" si="31"/>
        <v>43.137254901960787</v>
      </c>
      <c r="O423" s="3" cm="1">
        <f t="array" aca="1" ref="O423" ca="1">IFERROR(LOOKUP(2, 1/((F$1:F422=F423)*(J$1:J422=J423)*(ROW(F$1:F422)&lt;ROW(F423))), N$1:N422), "")</f>
        <v>90.196078431372555</v>
      </c>
      <c r="P423" s="3">
        <f t="shared" si="34"/>
        <v>1.25</v>
      </c>
      <c r="Q423" s="3" t="s">
        <v>33</v>
      </c>
      <c r="R423" s="3" t="s">
        <v>40</v>
      </c>
      <c r="S423" s="3" t="str">
        <f t="shared" si="32"/>
        <v>Yes</v>
      </c>
      <c r="T423" s="3" t="s">
        <v>40</v>
      </c>
      <c r="U423" s="3" t="str">
        <f t="shared" si="33"/>
        <v>Rainy</v>
      </c>
      <c r="V423" s="3" t="s">
        <v>40</v>
      </c>
      <c r="W423" s="3">
        <v>7</v>
      </c>
      <c r="X423" s="3">
        <v>4</v>
      </c>
      <c r="Y423" s="3">
        <v>26</v>
      </c>
      <c r="Z423" s="3" t="s">
        <v>38</v>
      </c>
    </row>
    <row r="424" spans="1:26" x14ac:dyDescent="0.3">
      <c r="A424" s="2">
        <v>46213</v>
      </c>
      <c r="B424" s="3" t="s">
        <v>46</v>
      </c>
      <c r="C424" s="3">
        <v>6</v>
      </c>
      <c r="D424" s="4">
        <v>0.60416666666666696</v>
      </c>
      <c r="E424" s="4">
        <v>0.64583333333333304</v>
      </c>
      <c r="F424" s="3" t="s">
        <v>62</v>
      </c>
      <c r="G424" s="3" t="s">
        <v>56</v>
      </c>
      <c r="H424" s="3" t="s">
        <v>29</v>
      </c>
      <c r="I424" s="3" t="s">
        <v>30</v>
      </c>
      <c r="J424" s="3" t="s">
        <v>84</v>
      </c>
      <c r="K424" s="3" t="s">
        <v>52</v>
      </c>
      <c r="L424" s="5">
        <v>102</v>
      </c>
      <c r="M424" s="5">
        <f t="shared" ca="1" si="30"/>
        <v>62</v>
      </c>
      <c r="N424" s="6">
        <f t="shared" ca="1" si="31"/>
        <v>60.784313725490193</v>
      </c>
      <c r="O424" s="3" cm="1">
        <f t="array" aca="1" ref="O424" ca="1">IFERROR(LOOKUP(2, 1/((F$1:F423=F424)*(J$1:J423=J424)*(ROW(F$1:F423)&lt;ROW(F424))), N$1:N423), "")</f>
        <v>43.137254901960787</v>
      </c>
      <c r="P424" s="3">
        <f t="shared" si="34"/>
        <v>0</v>
      </c>
      <c r="Q424" s="3" t="s">
        <v>33</v>
      </c>
      <c r="R424" s="3" t="s">
        <v>40</v>
      </c>
      <c r="S424" s="3" t="str">
        <f t="shared" si="32"/>
        <v>Yes</v>
      </c>
      <c r="T424" s="3" t="s">
        <v>40</v>
      </c>
      <c r="U424" s="3" t="str">
        <f t="shared" si="33"/>
        <v>Rainy</v>
      </c>
      <c r="V424" s="3" t="s">
        <v>40</v>
      </c>
      <c r="W424" s="3">
        <v>7</v>
      </c>
      <c r="X424" s="3">
        <v>4</v>
      </c>
      <c r="Y424" s="3">
        <v>26</v>
      </c>
      <c r="Z424" s="3" t="s">
        <v>38</v>
      </c>
    </row>
    <row r="425" spans="1:26" x14ac:dyDescent="0.3">
      <c r="A425" s="2">
        <v>46214</v>
      </c>
      <c r="B425" s="3" t="s">
        <v>47</v>
      </c>
      <c r="C425" s="3">
        <v>1</v>
      </c>
      <c r="D425" s="4">
        <v>0.35416666666666702</v>
      </c>
      <c r="E425" s="4">
        <v>0.38541666666666702</v>
      </c>
      <c r="F425" s="3" t="s">
        <v>65</v>
      </c>
      <c r="G425" s="3" t="s">
        <v>51</v>
      </c>
      <c r="H425" s="3" t="s">
        <v>29</v>
      </c>
      <c r="I425" s="3" t="s">
        <v>30</v>
      </c>
      <c r="J425" s="3" t="s">
        <v>84</v>
      </c>
      <c r="K425" s="3" t="s">
        <v>52</v>
      </c>
      <c r="L425" s="5">
        <v>102</v>
      </c>
      <c r="M425" s="5">
        <f t="shared" ca="1" si="30"/>
        <v>97</v>
      </c>
      <c r="N425" s="6">
        <f t="shared" ca="1" si="31"/>
        <v>95.098039215686271</v>
      </c>
      <c r="O425" s="3" cm="1">
        <f t="array" aca="1" ref="O425" ca="1">IFERROR(LOOKUP(2, 1/((F$1:F424=F425)*(J$1:J424=J425)*(ROW(F$1:F424)&lt;ROW(F425))), N$1:N424), "")</f>
        <v>47.058823529411761</v>
      </c>
      <c r="P425" s="3">
        <f t="shared" si="34"/>
        <v>0</v>
      </c>
      <c r="Q425" s="3" t="s">
        <v>43</v>
      </c>
      <c r="R425" s="3" t="s">
        <v>40</v>
      </c>
      <c r="S425" s="3" t="str">
        <f t="shared" si="32"/>
        <v>No</v>
      </c>
      <c r="T425" s="3" t="s">
        <v>34</v>
      </c>
      <c r="U425" s="3" t="str">
        <f t="shared" si="33"/>
        <v>Rainy</v>
      </c>
      <c r="V425" s="3" t="s">
        <v>40</v>
      </c>
      <c r="W425" s="3" cm="1">
        <f t="array" ref="W425">_xlfn.IFS(
OR(F425="Selenium (Hands-on)",F425="Guest Lecture: HR Interview"),6,
OR(F425="Soft Skill",F425="Soft Skill (Examination)",F425="AWS Training",F425="AWS Session"),7,
OR(ISNUMBER(SEARCH("MAD",F425)),ISNUMBER(SEARCH("STQA",F425)),F425="CI/CD Session"),8,
OR(ISNUMBER(SEARCH("Cloud",F425)),F425="Industry Readiness Program",ISNUMBER(SEARCH("Talenlio",F425))),9,
OR(ISNUMBER(SEARCH("Innovation",F425)),F425="Mini Project"),10,
OR(ISNUMBER(SEARCH("Data Science",F425)),ISNUMBER(SEARCH("DS",F425))),11,
ISNUMBER(SEARCH("Generative AI",F425)),12
=_xlfn.IFS(
OR(F425="Selenium (Hands-on)",F425="Guest Lecture: HR Interview"),6,
OR(F425="Soft Skill",F425="Soft Skill (Examination)",F425="AWS Training",F425="AWS Session"),7,
OR(ISNUMBER(SEARCH("MAD",F425)),ISNUMBER(SEARCH("STQA",F425)),F425="CI/CD Session"),8,
OR(ISNUMBER(SEARCH("Cloud",F425)),F425="Industry Readiness Program",ISNUMBER(SEARCH("Talenlio",F425))),9,
OR(ISNUMBER(SEARCH("Innovation",F425)),F425="Mini Project"),10,
OR(ISNUMBER(SEARCH("Data Science",F425)),ISNUMBER(SEARCH("DS",F425))),11,
ISNUMBER(SEARCH("Generative AI",F425)),12
=_xlfn.IFS(
OR(F425="Selenium (Hands-on)",F425="Guest Lecture: HR Interview"),6,
OR(F425="Soft Skill",F425="Soft Skill (Examination)",F425="AWS Training",F425="AWS Session"),7,
OR(ISNUMBER(SEARCH("MAD",F425)),ISNUMBER(SEARCH("STQA",F425)),F425="CI/CD Session"),8,
OR(ISNUMBER(SEARCH("Cloud",F425)),F425="Industry Readiness Program",ISNUMBER(SEARCH("Talenlio",F425))),9,
OR(ISNUMBER(SEARCH("Innovation",F425)),F425="Mini Project"),10,
OR(ISNUMBER(SEARCH("Data Science",F425)),ISNUMBER(SEARCH("DS",F425))),11,
ISNUMBER(SEARCH("Generative AI",F425)),12
=_xlfn.IFS(
OR(F425="Selenium (Hands-on)",F425="Guest Lecture: HR Interview"),6,
OR(F425="Soft Skill",F425="Soft Skill (Examination)",F425="AWS Training",F425="AWS Session"),7,
OR(ISNUMBER(SEARCH("MAD",F425)),ISNUMBER(SEARCH("STQA",F425)),F425="CI/CD Session"),8,
OR(ISNUMBER(SEARCH("Cloud",F425)),F425="Industry Readiness Program",ISNUMBER(SEARCH("Talenlio",F425))),9,
OR(ISNUMBER(SEARCH("Innovation",F425)),F425="Mini Project"),10,
OR(ISNUMBER(SEARCH("Data Science",F425)),ISNUMBER(SEARCH("DS",F425))),11,
ISNUMBER(SEARCH("Generative AI",F425)),12
))))</f>
        <v>8</v>
      </c>
      <c r="X425" s="3">
        <v>4</v>
      </c>
      <c r="Y425" s="3">
        <v>27</v>
      </c>
      <c r="Z425" s="3" t="s">
        <v>35</v>
      </c>
    </row>
    <row r="426" spans="1:26" x14ac:dyDescent="0.3">
      <c r="A426" s="2">
        <v>46214</v>
      </c>
      <c r="B426" s="3" t="s">
        <v>47</v>
      </c>
      <c r="C426" s="3">
        <v>2</v>
      </c>
      <c r="D426" s="4">
        <v>0.38541666666666702</v>
      </c>
      <c r="E426" s="4">
        <v>0.42708333333333298</v>
      </c>
      <c r="F426" s="3" t="s">
        <v>65</v>
      </c>
      <c r="G426" s="3" t="s">
        <v>51</v>
      </c>
      <c r="H426" s="3" t="s">
        <v>29</v>
      </c>
      <c r="I426" s="3" t="s">
        <v>30</v>
      </c>
      <c r="J426" s="3" t="s">
        <v>84</v>
      </c>
      <c r="K426" s="3" t="s">
        <v>52</v>
      </c>
      <c r="L426" s="5">
        <v>102</v>
      </c>
      <c r="M426" s="5">
        <f t="shared" ca="1" si="30"/>
        <v>59</v>
      </c>
      <c r="N426" s="6">
        <f t="shared" ca="1" si="31"/>
        <v>57.843137254901968</v>
      </c>
      <c r="O426" s="3" cm="1">
        <f t="array" aca="1" ref="O426" ca="1">IFERROR(LOOKUP(2, 1/((F$1:F425=F426)*(J$1:J425=J426)*(ROW(F$1:F425)&lt;ROW(F426))), N$1:N425), "")</f>
        <v>95.098039215686271</v>
      </c>
      <c r="P426" s="3">
        <f t="shared" si="34"/>
        <v>0</v>
      </c>
      <c r="Q426" s="3" t="s">
        <v>43</v>
      </c>
      <c r="R426" s="3" t="s">
        <v>40</v>
      </c>
      <c r="S426" s="3" t="str">
        <f t="shared" si="32"/>
        <v>No</v>
      </c>
      <c r="T426" s="3" t="s">
        <v>34</v>
      </c>
      <c r="U426" s="3" t="str">
        <f t="shared" si="33"/>
        <v>Rainy</v>
      </c>
      <c r="V426" s="3" t="s">
        <v>40</v>
      </c>
      <c r="W426" s="3" cm="1">
        <f t="array" ref="W426">_xlfn.IFS(
OR(F426="Selenium (Hands-on)",F426="Guest Lecture: HR Interview"),6,
OR(F426="Soft Skill",F426="Soft Skill (Examination)",F426="AWS Training",F426="AWS Session"),7,
OR(ISNUMBER(SEARCH("MAD",F426)),ISNUMBER(SEARCH("STQA",F426)),F426="CI/CD Session"),8,
OR(ISNUMBER(SEARCH("Cloud",F426)),F426="Industry Readiness Program",ISNUMBER(SEARCH("Talenlio",F426))),9,
OR(ISNUMBER(SEARCH("Innovation",F426)),F426="Mini Project"),10,
OR(ISNUMBER(SEARCH("Data Science",F426)),ISNUMBER(SEARCH("DS",F426))),11,
ISNUMBER(SEARCH("Generative AI",F426)),12
=_xlfn.IFS(
OR(F426="Selenium (Hands-on)",F426="Guest Lecture: HR Interview"),6,
OR(F426="Soft Skill",F426="Soft Skill (Examination)",F426="AWS Training",F426="AWS Session"),7,
OR(ISNUMBER(SEARCH("MAD",F426)),ISNUMBER(SEARCH("STQA",F426)),F426="CI/CD Session"),8,
OR(ISNUMBER(SEARCH("Cloud",F426)),F426="Industry Readiness Program",ISNUMBER(SEARCH("Talenlio",F426))),9,
OR(ISNUMBER(SEARCH("Innovation",F426)),F426="Mini Project"),10,
OR(ISNUMBER(SEARCH("Data Science",F426)),ISNUMBER(SEARCH("DS",F426))),11,
ISNUMBER(SEARCH("Generative AI",F426)),12
=_xlfn.IFS(
OR(F426="Selenium (Hands-on)",F426="Guest Lecture: HR Interview"),6,
OR(F426="Soft Skill",F426="Soft Skill (Examination)",F426="AWS Training",F426="AWS Session"),7,
OR(ISNUMBER(SEARCH("MAD",F426)),ISNUMBER(SEARCH("STQA",F426)),F426="CI/CD Session"),8,
OR(ISNUMBER(SEARCH("Cloud",F426)),F426="Industry Readiness Program",ISNUMBER(SEARCH("Talenlio",F426))),9,
OR(ISNUMBER(SEARCH("Innovation",F426)),F426="Mini Project"),10,
OR(ISNUMBER(SEARCH("Data Science",F426)),ISNUMBER(SEARCH("DS",F426))),11,
ISNUMBER(SEARCH("Generative AI",F426)),12
=_xlfn.IFS(
OR(F426="Selenium (Hands-on)",F426="Guest Lecture: HR Interview"),6,
OR(F426="Soft Skill",F426="Soft Skill (Examination)",F426="AWS Training",F426="AWS Session"),7,
OR(ISNUMBER(SEARCH("MAD",F426)),ISNUMBER(SEARCH("STQA",F426)),F426="CI/CD Session"),8,
OR(ISNUMBER(SEARCH("Cloud",F426)),F426="Industry Readiness Program",ISNUMBER(SEARCH("Talenlio",F426))),9,
OR(ISNUMBER(SEARCH("Innovation",F426)),F426="Mini Project"),10,
OR(ISNUMBER(SEARCH("Data Science",F426)),ISNUMBER(SEARCH("DS",F426))),11,
ISNUMBER(SEARCH("Generative AI",F426)),12
))))</f>
        <v>8</v>
      </c>
      <c r="X426" s="3">
        <v>4</v>
      </c>
      <c r="Y426" s="3">
        <v>27</v>
      </c>
      <c r="Z426" s="3" t="s">
        <v>35</v>
      </c>
    </row>
    <row r="427" spans="1:26" x14ac:dyDescent="0.3">
      <c r="A427" s="2">
        <v>46214</v>
      </c>
      <c r="B427" s="3" t="s">
        <v>47</v>
      </c>
      <c r="C427" s="3">
        <v>3</v>
      </c>
      <c r="D427" s="4">
        <v>0.42708333333333298</v>
      </c>
      <c r="E427" s="4">
        <v>0.46875</v>
      </c>
      <c r="F427" s="3" t="s">
        <v>66</v>
      </c>
      <c r="G427" s="3" t="s">
        <v>67</v>
      </c>
      <c r="H427" s="3" t="s">
        <v>29</v>
      </c>
      <c r="I427" s="3" t="s">
        <v>30</v>
      </c>
      <c r="J427" s="3" t="s">
        <v>84</v>
      </c>
      <c r="K427" s="3" t="s">
        <v>52</v>
      </c>
      <c r="L427" s="5">
        <v>102</v>
      </c>
      <c r="M427" s="5">
        <f t="shared" ca="1" si="30"/>
        <v>65</v>
      </c>
      <c r="N427" s="6">
        <f t="shared" ca="1" si="31"/>
        <v>63.725490196078425</v>
      </c>
      <c r="O427" s="3" cm="1">
        <f t="array" aca="1" ref="O427" ca="1">IFERROR(LOOKUP(2, 1/((F$1:F426=F427)*(J$1:J426=J427)*(ROW(F$1:F426)&lt;ROW(F427))), N$1:N426), "")</f>
        <v>80.392156862745097</v>
      </c>
      <c r="P427" s="3">
        <f t="shared" si="34"/>
        <v>0</v>
      </c>
      <c r="Q427" s="3" t="s">
        <v>43</v>
      </c>
      <c r="R427" s="3" t="s">
        <v>40</v>
      </c>
      <c r="S427" s="3" t="str">
        <f t="shared" si="32"/>
        <v>Yes</v>
      </c>
      <c r="T427" s="3" t="s">
        <v>34</v>
      </c>
      <c r="U427" s="3" t="str">
        <f t="shared" si="33"/>
        <v>Rainy</v>
      </c>
      <c r="V427" s="3" t="s">
        <v>40</v>
      </c>
      <c r="W427" s="3" cm="1">
        <f t="array" ref="W427">_xlfn.IFS(
OR(F427="Selenium (Hands-on)",F427="Guest Lecture: HR Interview"),6,
OR(F427="Soft Skill",F427="Soft Skill (Examination)",F427="AWS Training",F427="AWS Session"),7,
OR(ISNUMBER(SEARCH("MAD",F427)),ISNUMBER(SEARCH("STQA",F427)),F427="CI/CD Session"),8,
OR(ISNUMBER(SEARCH("Cloud",F427)),F427="Industry Readiness Program",ISNUMBER(SEARCH("Talenlio",F427))),9,
OR(ISNUMBER(SEARCH("Innovation",F427)),F427="Mini Project"),10,
OR(ISNUMBER(SEARCH("Data Science",F427)),ISNUMBER(SEARCH("DS",F427))),11,
ISNUMBER(SEARCH("Generative AI",F427)),12
=_xlfn.IFS(
OR(F427="Selenium (Hands-on)",F427="Guest Lecture: HR Interview"),6,
OR(F427="Soft Skill",F427="Soft Skill (Examination)",F427="AWS Training",F427="AWS Session"),7,
OR(ISNUMBER(SEARCH("MAD",F427)),ISNUMBER(SEARCH("STQA",F427)),F427="CI/CD Session"),8,
OR(ISNUMBER(SEARCH("Cloud",F427)),F427="Industry Readiness Program",ISNUMBER(SEARCH("Talenlio",F427))),9,
OR(ISNUMBER(SEARCH("Innovation",F427)),F427="Mini Project"),10,
OR(ISNUMBER(SEARCH("Data Science",F427)),ISNUMBER(SEARCH("DS",F427))),11,
ISNUMBER(SEARCH("Generative AI",F427)),12
=_xlfn.IFS(
OR(F427="Selenium (Hands-on)",F427="Guest Lecture: HR Interview"),6,
OR(F427="Soft Skill",F427="Soft Skill (Examination)",F427="AWS Training",F427="AWS Session"),7,
OR(ISNUMBER(SEARCH("MAD",F427)),ISNUMBER(SEARCH("STQA",F427)),F427="CI/CD Session"),8,
OR(ISNUMBER(SEARCH("Cloud",F427)),F427="Industry Readiness Program",ISNUMBER(SEARCH("Talenlio",F427))),9,
OR(ISNUMBER(SEARCH("Innovation",F427)),F427="Mini Project"),10,
OR(ISNUMBER(SEARCH("Data Science",F427)),ISNUMBER(SEARCH("DS",F427))),11,
ISNUMBER(SEARCH("Generative AI",F427)),12
=_xlfn.IFS(
OR(F427="Selenium (Hands-on)",F427="Guest Lecture: HR Interview"),6,
OR(F427="Soft Skill",F427="Soft Skill (Examination)",F427="AWS Training",F427="AWS Session"),7,
OR(ISNUMBER(SEARCH("MAD",F427)),ISNUMBER(SEARCH("STQA",F427)),F427="CI/CD Session"),8,
OR(ISNUMBER(SEARCH("Cloud",F427)),F427="Industry Readiness Program",ISNUMBER(SEARCH("Talenlio",F427))),9,
OR(ISNUMBER(SEARCH("Innovation",F427)),F427="Mini Project"),10,
OR(ISNUMBER(SEARCH("Data Science",F427)),ISNUMBER(SEARCH("DS",F427))),11,
ISNUMBER(SEARCH("Generative AI",F427)),12
))))</f>
        <v>10</v>
      </c>
      <c r="X427" s="3">
        <v>4</v>
      </c>
      <c r="Y427" s="3">
        <v>27</v>
      </c>
      <c r="Z427" s="3" t="s">
        <v>35</v>
      </c>
    </row>
    <row r="428" spans="1:26" x14ac:dyDescent="0.3">
      <c r="A428" s="2">
        <v>46214</v>
      </c>
      <c r="B428" s="3" t="s">
        <v>47</v>
      </c>
      <c r="C428" s="3">
        <v>4</v>
      </c>
      <c r="D428" s="4">
        <v>0.46875</v>
      </c>
      <c r="E428" s="4">
        <v>0.51041666666666696</v>
      </c>
      <c r="F428" s="3" t="s">
        <v>66</v>
      </c>
      <c r="G428" s="3" t="s">
        <v>67</v>
      </c>
      <c r="H428" s="3" t="s">
        <v>29</v>
      </c>
      <c r="I428" s="3" t="s">
        <v>30</v>
      </c>
      <c r="J428" s="3" t="s">
        <v>84</v>
      </c>
      <c r="K428" s="3" t="s">
        <v>52</v>
      </c>
      <c r="L428" s="5">
        <v>102</v>
      </c>
      <c r="M428" s="5">
        <f t="shared" ca="1" si="30"/>
        <v>43</v>
      </c>
      <c r="N428" s="6">
        <f t="shared" ca="1" si="31"/>
        <v>42.156862745098039</v>
      </c>
      <c r="O428" s="3" cm="1">
        <f t="array" aca="1" ref="O428" ca="1">IFERROR(LOOKUP(2, 1/((F$1:F427=F428)*(J$1:J427=J428)*(ROW(F$1:F427)&lt;ROW(F428))), N$1:N427), "")</f>
        <v>63.725490196078425</v>
      </c>
      <c r="P428" s="3">
        <f t="shared" si="34"/>
        <v>0</v>
      </c>
      <c r="Q428" s="3" t="s">
        <v>43</v>
      </c>
      <c r="R428" s="3" t="s">
        <v>40</v>
      </c>
      <c r="S428" s="3" t="str">
        <f t="shared" si="32"/>
        <v>Yes</v>
      </c>
      <c r="T428" s="3" t="s">
        <v>34</v>
      </c>
      <c r="U428" s="3" t="str">
        <f t="shared" si="33"/>
        <v>Rainy</v>
      </c>
      <c r="V428" s="3" t="s">
        <v>40</v>
      </c>
      <c r="W428" s="3" cm="1">
        <f t="array" ref="W428">_xlfn.IFS(
OR(F428="Selenium (Hands-on)",F428="Guest Lecture: HR Interview"),6,
OR(F428="Soft Skill",F428="Soft Skill (Examination)",F428="AWS Training",F428="AWS Session"),7,
OR(ISNUMBER(SEARCH("MAD",F428)),ISNUMBER(SEARCH("STQA",F428)),F428="CI/CD Session"),8,
OR(ISNUMBER(SEARCH("Cloud",F428)),F428="Industry Readiness Program",ISNUMBER(SEARCH("Talenlio",F428))),9,
OR(ISNUMBER(SEARCH("Innovation",F428)),F428="Mini Project"),10,
OR(ISNUMBER(SEARCH("Data Science",F428)),ISNUMBER(SEARCH("DS",F428))),11,
ISNUMBER(SEARCH("Generative AI",F428)),12
=_xlfn.IFS(
OR(F428="Selenium (Hands-on)",F428="Guest Lecture: HR Interview"),6,
OR(F428="Soft Skill",F428="Soft Skill (Examination)",F428="AWS Training",F428="AWS Session"),7,
OR(ISNUMBER(SEARCH("MAD",F428)),ISNUMBER(SEARCH("STQA",F428)),F428="CI/CD Session"),8,
OR(ISNUMBER(SEARCH("Cloud",F428)),F428="Industry Readiness Program",ISNUMBER(SEARCH("Talenlio",F428))),9,
OR(ISNUMBER(SEARCH("Innovation",F428)),F428="Mini Project"),10,
OR(ISNUMBER(SEARCH("Data Science",F428)),ISNUMBER(SEARCH("DS",F428))),11,
ISNUMBER(SEARCH("Generative AI",F428)),12
=_xlfn.IFS(
OR(F428="Selenium (Hands-on)",F428="Guest Lecture: HR Interview"),6,
OR(F428="Soft Skill",F428="Soft Skill (Examination)",F428="AWS Training",F428="AWS Session"),7,
OR(ISNUMBER(SEARCH("MAD",F428)),ISNUMBER(SEARCH("STQA",F428)),F428="CI/CD Session"),8,
OR(ISNUMBER(SEARCH("Cloud",F428)),F428="Industry Readiness Program",ISNUMBER(SEARCH("Talenlio",F428))),9,
OR(ISNUMBER(SEARCH("Innovation",F428)),F428="Mini Project"),10,
OR(ISNUMBER(SEARCH("Data Science",F428)),ISNUMBER(SEARCH("DS",F428))),11,
ISNUMBER(SEARCH("Generative AI",F428)),12
=_xlfn.IFS(
OR(F428="Selenium (Hands-on)",F428="Guest Lecture: HR Interview"),6,
OR(F428="Soft Skill",F428="Soft Skill (Examination)",F428="AWS Training",F428="AWS Session"),7,
OR(ISNUMBER(SEARCH("MAD",F428)),ISNUMBER(SEARCH("STQA",F428)),F428="CI/CD Session"),8,
OR(ISNUMBER(SEARCH("Cloud",F428)),F428="Industry Readiness Program",ISNUMBER(SEARCH("Talenlio",F428))),9,
OR(ISNUMBER(SEARCH("Innovation",F428)),F428="Mini Project"),10,
OR(ISNUMBER(SEARCH("Data Science",F428)),ISNUMBER(SEARCH("DS",F428))),11,
ISNUMBER(SEARCH("Generative AI",F428)),12
))))</f>
        <v>10</v>
      </c>
      <c r="X428" s="3">
        <v>4</v>
      </c>
      <c r="Y428" s="3">
        <v>27</v>
      </c>
      <c r="Z428" s="3" t="s">
        <v>35</v>
      </c>
    </row>
    <row r="429" spans="1:26" x14ac:dyDescent="0.3">
      <c r="A429" s="2">
        <v>46214</v>
      </c>
      <c r="B429" s="3" t="s">
        <v>47</v>
      </c>
      <c r="C429" s="3">
        <v>5</v>
      </c>
      <c r="D429" s="4">
        <v>0.5625</v>
      </c>
      <c r="E429" s="4">
        <v>0.60416666666666696</v>
      </c>
      <c r="F429" s="3" t="s">
        <v>66</v>
      </c>
      <c r="G429" s="3" t="s">
        <v>67</v>
      </c>
      <c r="H429" s="3" t="s">
        <v>29</v>
      </c>
      <c r="I429" s="3" t="s">
        <v>30</v>
      </c>
      <c r="J429" s="3" t="s">
        <v>84</v>
      </c>
      <c r="K429" s="3" t="s">
        <v>52</v>
      </c>
      <c r="L429" s="5">
        <v>102</v>
      </c>
      <c r="M429" s="5">
        <f t="shared" ca="1" si="30"/>
        <v>102</v>
      </c>
      <c r="N429" s="6">
        <f t="shared" ca="1" si="31"/>
        <v>100</v>
      </c>
      <c r="O429" s="3" cm="1">
        <f t="array" aca="1" ref="O429" ca="1">IFERROR(LOOKUP(2, 1/((F$1:F428=F429)*(J$1:J428=J429)*(ROW(F$1:F428)&lt;ROW(F429))), N$1:N428), "")</f>
        <v>42.156862745098039</v>
      </c>
      <c r="P429" s="3">
        <f t="shared" si="34"/>
        <v>1.25</v>
      </c>
      <c r="Q429" s="3" t="s">
        <v>43</v>
      </c>
      <c r="R429" s="3" t="s">
        <v>40</v>
      </c>
      <c r="S429" s="3" t="str">
        <f t="shared" si="32"/>
        <v>Yes</v>
      </c>
      <c r="T429" s="3" t="s">
        <v>34</v>
      </c>
      <c r="U429" s="3" t="str">
        <f t="shared" si="33"/>
        <v>Rainy</v>
      </c>
      <c r="V429" s="3" t="s">
        <v>40</v>
      </c>
      <c r="W429" s="3" cm="1">
        <f t="array" ref="W429">_xlfn.IFS(
OR(F429="Selenium (Hands-on)",F429="Guest Lecture: HR Interview"),6,
OR(F429="Soft Skill",F429="Soft Skill (Examination)",F429="AWS Training",F429="AWS Session"),7,
OR(ISNUMBER(SEARCH("MAD",F429)),ISNUMBER(SEARCH("STQA",F429)),F429="CI/CD Session"),8,
OR(ISNUMBER(SEARCH("Cloud",F429)),F429="Industry Readiness Program",ISNUMBER(SEARCH("Talenlio",F429))),9,
OR(ISNUMBER(SEARCH("Innovation",F429)),F429="Mini Project"),10,
OR(ISNUMBER(SEARCH("Data Science",F429)),ISNUMBER(SEARCH("DS",F429))),11,
ISNUMBER(SEARCH("Generative AI",F429)),12
=_xlfn.IFS(
OR(F429="Selenium (Hands-on)",F429="Guest Lecture: HR Interview"),6,
OR(F429="Soft Skill",F429="Soft Skill (Examination)",F429="AWS Training",F429="AWS Session"),7,
OR(ISNUMBER(SEARCH("MAD",F429)),ISNUMBER(SEARCH("STQA",F429)),F429="CI/CD Session"),8,
OR(ISNUMBER(SEARCH("Cloud",F429)),F429="Industry Readiness Program",ISNUMBER(SEARCH("Talenlio",F429))),9,
OR(ISNUMBER(SEARCH("Innovation",F429)),F429="Mini Project"),10,
OR(ISNUMBER(SEARCH("Data Science",F429)),ISNUMBER(SEARCH("DS",F429))),11,
ISNUMBER(SEARCH("Generative AI",F429)),12
=_xlfn.IFS(
OR(F429="Selenium (Hands-on)",F429="Guest Lecture: HR Interview"),6,
OR(F429="Soft Skill",F429="Soft Skill (Examination)",F429="AWS Training",F429="AWS Session"),7,
OR(ISNUMBER(SEARCH("MAD",F429)),ISNUMBER(SEARCH("STQA",F429)),F429="CI/CD Session"),8,
OR(ISNUMBER(SEARCH("Cloud",F429)),F429="Industry Readiness Program",ISNUMBER(SEARCH("Talenlio",F429))),9,
OR(ISNUMBER(SEARCH("Innovation",F429)),F429="Mini Project"),10,
OR(ISNUMBER(SEARCH("Data Science",F429)),ISNUMBER(SEARCH("DS",F429))),11,
ISNUMBER(SEARCH("Generative AI",F429)),12
=_xlfn.IFS(
OR(F429="Selenium (Hands-on)",F429="Guest Lecture: HR Interview"),6,
OR(F429="Soft Skill",F429="Soft Skill (Examination)",F429="AWS Training",F429="AWS Session"),7,
OR(ISNUMBER(SEARCH("MAD",F429)),ISNUMBER(SEARCH("STQA",F429)),F429="CI/CD Session"),8,
OR(ISNUMBER(SEARCH("Cloud",F429)),F429="Industry Readiness Program",ISNUMBER(SEARCH("Talenlio",F429))),9,
OR(ISNUMBER(SEARCH("Innovation",F429)),F429="Mini Project"),10,
OR(ISNUMBER(SEARCH("Data Science",F429)),ISNUMBER(SEARCH("DS",F429))),11,
ISNUMBER(SEARCH("Generative AI",F429)),12
))))</f>
        <v>10</v>
      </c>
      <c r="X429" s="3">
        <v>4</v>
      </c>
      <c r="Y429" s="3">
        <v>27</v>
      </c>
      <c r="Z429" s="3" t="s">
        <v>38</v>
      </c>
    </row>
    <row r="430" spans="1:26" x14ac:dyDescent="0.3">
      <c r="A430" s="2">
        <v>46214</v>
      </c>
      <c r="B430" s="3" t="s">
        <v>47</v>
      </c>
      <c r="C430" s="3">
        <v>6</v>
      </c>
      <c r="D430" s="4">
        <v>0.60416666666666696</v>
      </c>
      <c r="E430" s="4">
        <v>0.64583333333333304</v>
      </c>
      <c r="F430" s="3" t="s">
        <v>66</v>
      </c>
      <c r="G430" s="3" t="s">
        <v>67</v>
      </c>
      <c r="H430" s="3" t="s">
        <v>29</v>
      </c>
      <c r="I430" s="3" t="s">
        <v>30</v>
      </c>
      <c r="J430" s="3" t="s">
        <v>84</v>
      </c>
      <c r="K430" s="3" t="s">
        <v>52</v>
      </c>
      <c r="L430" s="5">
        <v>102</v>
      </c>
      <c r="M430" s="5">
        <f t="shared" ca="1" si="30"/>
        <v>78</v>
      </c>
      <c r="N430" s="6">
        <f t="shared" ca="1" si="31"/>
        <v>76.470588235294116</v>
      </c>
      <c r="O430" s="3" cm="1">
        <f t="array" aca="1" ref="O430" ca="1">IFERROR(LOOKUP(2, 1/((F$1:F429=F430)*(J$1:J429=J430)*(ROW(F$1:F429)&lt;ROW(F430))), N$1:N429), "")</f>
        <v>100</v>
      </c>
      <c r="P430" s="3">
        <f t="shared" si="34"/>
        <v>0</v>
      </c>
      <c r="Q430" s="3" t="s">
        <v>43</v>
      </c>
      <c r="R430" s="3" t="s">
        <v>40</v>
      </c>
      <c r="S430" s="3" t="str">
        <f t="shared" si="32"/>
        <v>Yes</v>
      </c>
      <c r="T430" s="3" t="s">
        <v>34</v>
      </c>
      <c r="U430" s="3" t="str">
        <f t="shared" si="33"/>
        <v>Rainy</v>
      </c>
      <c r="V430" s="3" t="s">
        <v>40</v>
      </c>
      <c r="W430" s="3" cm="1">
        <f t="array" ref="W430">_xlfn.IFS(
OR(F430="Selenium (Hands-on)",F430="Guest Lecture: HR Interview"),6,
OR(F430="Soft Skill",F430="Soft Skill (Examination)",F430="AWS Training",F430="AWS Session"),7,
OR(ISNUMBER(SEARCH("MAD",F430)),ISNUMBER(SEARCH("STQA",F430)),F430="CI/CD Session"),8,
OR(ISNUMBER(SEARCH("Cloud",F430)),F430="Industry Readiness Program",ISNUMBER(SEARCH("Talenlio",F430))),9,
OR(ISNUMBER(SEARCH("Innovation",F430)),F430="Mini Project"),10,
OR(ISNUMBER(SEARCH("Data Science",F430)),ISNUMBER(SEARCH("DS",F430))),11,
ISNUMBER(SEARCH("Generative AI",F430)),12
=_xlfn.IFS(
OR(F430="Selenium (Hands-on)",F430="Guest Lecture: HR Interview"),6,
OR(F430="Soft Skill",F430="Soft Skill (Examination)",F430="AWS Training",F430="AWS Session"),7,
OR(ISNUMBER(SEARCH("MAD",F430)),ISNUMBER(SEARCH("STQA",F430)),F430="CI/CD Session"),8,
OR(ISNUMBER(SEARCH("Cloud",F430)),F430="Industry Readiness Program",ISNUMBER(SEARCH("Talenlio",F430))),9,
OR(ISNUMBER(SEARCH("Innovation",F430)),F430="Mini Project"),10,
OR(ISNUMBER(SEARCH("Data Science",F430)),ISNUMBER(SEARCH("DS",F430))),11,
ISNUMBER(SEARCH("Generative AI",F430)),12
=_xlfn.IFS(
OR(F430="Selenium (Hands-on)",F430="Guest Lecture: HR Interview"),6,
OR(F430="Soft Skill",F430="Soft Skill (Examination)",F430="AWS Training",F430="AWS Session"),7,
OR(ISNUMBER(SEARCH("MAD",F430)),ISNUMBER(SEARCH("STQA",F430)),F430="CI/CD Session"),8,
OR(ISNUMBER(SEARCH("Cloud",F430)),F430="Industry Readiness Program",ISNUMBER(SEARCH("Talenlio",F430))),9,
OR(ISNUMBER(SEARCH("Innovation",F430)),F430="Mini Project"),10,
OR(ISNUMBER(SEARCH("Data Science",F430)),ISNUMBER(SEARCH("DS",F430))),11,
ISNUMBER(SEARCH("Generative AI",F430)),12
=_xlfn.IFS(
OR(F430="Selenium (Hands-on)",F430="Guest Lecture: HR Interview"),6,
OR(F430="Soft Skill",F430="Soft Skill (Examination)",F430="AWS Training",F430="AWS Session"),7,
OR(ISNUMBER(SEARCH("MAD",F430)),ISNUMBER(SEARCH("STQA",F430)),F430="CI/CD Session"),8,
OR(ISNUMBER(SEARCH("Cloud",F430)),F430="Industry Readiness Program",ISNUMBER(SEARCH("Talenlio",F430))),9,
OR(ISNUMBER(SEARCH("Innovation",F430)),F430="Mini Project"),10,
OR(ISNUMBER(SEARCH("Data Science",F430)),ISNUMBER(SEARCH("DS",F430))),11,
ISNUMBER(SEARCH("Generative AI",F430)),12
))))</f>
        <v>10</v>
      </c>
      <c r="X430" s="3">
        <v>4</v>
      </c>
      <c r="Y430" s="3">
        <v>27</v>
      </c>
      <c r="Z430" s="3" t="s">
        <v>38</v>
      </c>
    </row>
    <row r="431" spans="1:26" x14ac:dyDescent="0.3">
      <c r="A431" s="2">
        <v>46216</v>
      </c>
      <c r="B431" s="3" t="s">
        <v>26</v>
      </c>
      <c r="C431" s="3">
        <v>1</v>
      </c>
      <c r="D431" s="4">
        <v>0.35416666666666702</v>
      </c>
      <c r="E431" s="4">
        <v>0.38541666666666702</v>
      </c>
      <c r="F431" s="3" t="s">
        <v>50</v>
      </c>
      <c r="G431" s="3" t="s">
        <v>51</v>
      </c>
      <c r="H431" s="3" t="s">
        <v>29</v>
      </c>
      <c r="I431" s="3" t="s">
        <v>30</v>
      </c>
      <c r="J431" s="3" t="s">
        <v>84</v>
      </c>
      <c r="K431" s="3" t="s">
        <v>52</v>
      </c>
      <c r="L431" s="5">
        <v>102</v>
      </c>
      <c r="M431" s="5">
        <f t="shared" ca="1" si="30"/>
        <v>45</v>
      </c>
      <c r="N431" s="6">
        <f t="shared" ca="1" si="31"/>
        <v>44.117647058823529</v>
      </c>
      <c r="O431" s="3" cm="1">
        <f t="array" aca="1" ref="O431" ca="1">IFERROR(LOOKUP(2, 1/((F$1:F430=F431)*(J$1:J430=J431)*(ROW(F$1:F430)&lt;ROW(F431))), N$1:N430), "")</f>
        <v>89.215686274509807</v>
      </c>
      <c r="P431" s="3">
        <f t="shared" si="34"/>
        <v>0</v>
      </c>
      <c r="Q431" s="3" t="s">
        <v>43</v>
      </c>
      <c r="R431" s="3" t="s">
        <v>40</v>
      </c>
      <c r="S431" s="3" t="str">
        <f t="shared" si="32"/>
        <v>No</v>
      </c>
      <c r="T431" s="3" t="s">
        <v>34</v>
      </c>
      <c r="U431" s="3" t="str">
        <f t="shared" si="33"/>
        <v>Rainy</v>
      </c>
      <c r="V431" s="3" t="s">
        <v>40</v>
      </c>
      <c r="W431" s="3" cm="1">
        <f t="array" ref="W431">_xlfn.IFS(
OR(F431="Selenium (Hands-on)",F431="Guest Lecture: HR Interview"),6,
OR(F431="Soft Skill",F431="Soft Skill (Examination)",F431="AWS Training",F431="AWS Session"),7,
OR(ISNUMBER(SEARCH("MAD",F431)),ISNUMBER(SEARCH("STQA",F431)),F431="CI/CD Session"),8,
OR(ISNUMBER(SEARCH("Cloud",F431)),F431="Industry Readiness Program",ISNUMBER(SEARCH("Talenlio",F431))),9,
OR(ISNUMBER(SEARCH("Innovation",F431)),F431="Mini Project"),10,
OR(ISNUMBER(SEARCH("Data Science",F431)),ISNUMBER(SEARCH("DS",F431))),11,
ISNUMBER(SEARCH("Generative AI",F431)),12
=_xlfn.IFS(
OR(F431="Selenium (Hands-on)",F431="Guest Lecture: HR Interview"),6,
OR(F431="Soft Skill",F431="Soft Skill (Examination)",F431="AWS Training",F431="AWS Session"),7,
OR(ISNUMBER(SEARCH("MAD",F431)),ISNUMBER(SEARCH("STQA",F431)),F431="CI/CD Session"),8,
OR(ISNUMBER(SEARCH("Cloud",F431)),F431="Industry Readiness Program",ISNUMBER(SEARCH("Talenlio",F431))),9,
OR(ISNUMBER(SEARCH("Innovation",F431)),F431="Mini Project"),10,
OR(ISNUMBER(SEARCH("Data Science",F431)),ISNUMBER(SEARCH("DS",F431))),11,
ISNUMBER(SEARCH("Generative AI",F431)),12
=_xlfn.IFS(
OR(F431="Selenium (Hands-on)",F431="Guest Lecture: HR Interview"),6,
OR(F431="Soft Skill",F431="Soft Skill (Examination)",F431="AWS Training",F431="AWS Session"),7,
OR(ISNUMBER(SEARCH("MAD",F431)),ISNUMBER(SEARCH("STQA",F431)),F431="CI/CD Session"),8,
OR(ISNUMBER(SEARCH("Cloud",F431)),F431="Industry Readiness Program",ISNUMBER(SEARCH("Talenlio",F431))),9,
OR(ISNUMBER(SEARCH("Innovation",F431)),F431="Mini Project"),10,
OR(ISNUMBER(SEARCH("Data Science",F431)),ISNUMBER(SEARCH("DS",F431))),11,
ISNUMBER(SEARCH("Generative AI",F431)),12
=_xlfn.IFS(
OR(F431="Selenium (Hands-on)",F431="Guest Lecture: HR Interview"),6,
OR(F431="Soft Skill",F431="Soft Skill (Examination)",F431="AWS Training",F431="AWS Session"),7,
OR(ISNUMBER(SEARCH("MAD",F431)),ISNUMBER(SEARCH("STQA",F431)),F431="CI/CD Session"),8,
OR(ISNUMBER(SEARCH("Cloud",F431)),F431="Industry Readiness Program",ISNUMBER(SEARCH("Talenlio",F431))),9,
OR(ISNUMBER(SEARCH("Innovation",F431)),F431="Mini Project"),10,
OR(ISNUMBER(SEARCH("Data Science",F431)),ISNUMBER(SEARCH("DS",F431))),11,
ISNUMBER(SEARCH("Generative AI",F431)),12
))))</f>
        <v>8</v>
      </c>
      <c r="X431" s="3">
        <v>5</v>
      </c>
      <c r="Y431" s="3">
        <v>29</v>
      </c>
      <c r="Z431" s="3" t="s">
        <v>35</v>
      </c>
    </row>
    <row r="432" spans="1:26" x14ac:dyDescent="0.3">
      <c r="A432" s="2">
        <v>46216</v>
      </c>
      <c r="B432" s="3" t="s">
        <v>26</v>
      </c>
      <c r="C432" s="3">
        <v>2</v>
      </c>
      <c r="D432" s="4">
        <v>0.38541666666666702</v>
      </c>
      <c r="E432" s="4">
        <v>0.42708333333333298</v>
      </c>
      <c r="F432" s="3" t="s">
        <v>50</v>
      </c>
      <c r="G432" s="3" t="s">
        <v>51</v>
      </c>
      <c r="H432" s="3" t="s">
        <v>29</v>
      </c>
      <c r="I432" s="3" t="s">
        <v>30</v>
      </c>
      <c r="J432" s="3" t="s">
        <v>84</v>
      </c>
      <c r="K432" s="3" t="s">
        <v>52</v>
      </c>
      <c r="L432" s="5">
        <v>102</v>
      </c>
      <c r="M432" s="5">
        <f t="shared" ca="1" si="30"/>
        <v>52</v>
      </c>
      <c r="N432" s="6">
        <f t="shared" ca="1" si="31"/>
        <v>50.980392156862742</v>
      </c>
      <c r="O432" s="3" cm="1">
        <f t="array" aca="1" ref="O432" ca="1">IFERROR(LOOKUP(2, 1/((F$1:F431=F432)*(J$1:J431=J432)*(ROW(F$1:F431)&lt;ROW(F432))), N$1:N431), "")</f>
        <v>44.117647058823529</v>
      </c>
      <c r="P432" s="3">
        <f t="shared" si="34"/>
        <v>0</v>
      </c>
      <c r="Q432" s="3" t="s">
        <v>43</v>
      </c>
      <c r="R432" s="3" t="s">
        <v>40</v>
      </c>
      <c r="S432" s="3" t="str">
        <f t="shared" si="32"/>
        <v>No</v>
      </c>
      <c r="T432" s="3" t="s">
        <v>34</v>
      </c>
      <c r="U432" s="3" t="str">
        <f t="shared" si="33"/>
        <v>Rainy</v>
      </c>
      <c r="V432" s="3" t="s">
        <v>40</v>
      </c>
      <c r="W432" s="3" cm="1">
        <f t="array" ref="W432">_xlfn.IFS(
OR(F432="Selenium (Hands-on)",F432="Guest Lecture: HR Interview"),6,
OR(F432="Soft Skill",F432="Soft Skill (Examination)",F432="AWS Training",F432="AWS Session"),7,
OR(ISNUMBER(SEARCH("MAD",F432)),ISNUMBER(SEARCH("STQA",F432)),F432="CI/CD Session"),8,
OR(ISNUMBER(SEARCH("Cloud",F432)),F432="Industry Readiness Program",ISNUMBER(SEARCH("Talenlio",F432))),9,
OR(ISNUMBER(SEARCH("Innovation",F432)),F432="Mini Project"),10,
OR(ISNUMBER(SEARCH("Data Science",F432)),ISNUMBER(SEARCH("DS",F432))),11,
ISNUMBER(SEARCH("Generative AI",F432)),12
=_xlfn.IFS(
OR(F432="Selenium (Hands-on)",F432="Guest Lecture: HR Interview"),6,
OR(F432="Soft Skill",F432="Soft Skill (Examination)",F432="AWS Training",F432="AWS Session"),7,
OR(ISNUMBER(SEARCH("MAD",F432)),ISNUMBER(SEARCH("STQA",F432)),F432="CI/CD Session"),8,
OR(ISNUMBER(SEARCH("Cloud",F432)),F432="Industry Readiness Program",ISNUMBER(SEARCH("Talenlio",F432))),9,
OR(ISNUMBER(SEARCH("Innovation",F432)),F432="Mini Project"),10,
OR(ISNUMBER(SEARCH("Data Science",F432)),ISNUMBER(SEARCH("DS",F432))),11,
ISNUMBER(SEARCH("Generative AI",F432)),12
=_xlfn.IFS(
OR(F432="Selenium (Hands-on)",F432="Guest Lecture: HR Interview"),6,
OR(F432="Soft Skill",F432="Soft Skill (Examination)",F432="AWS Training",F432="AWS Session"),7,
OR(ISNUMBER(SEARCH("MAD",F432)),ISNUMBER(SEARCH("STQA",F432)),F432="CI/CD Session"),8,
OR(ISNUMBER(SEARCH("Cloud",F432)),F432="Industry Readiness Program",ISNUMBER(SEARCH("Talenlio",F432))),9,
OR(ISNUMBER(SEARCH("Innovation",F432)),F432="Mini Project"),10,
OR(ISNUMBER(SEARCH("Data Science",F432)),ISNUMBER(SEARCH("DS",F432))),11,
ISNUMBER(SEARCH("Generative AI",F432)),12
=_xlfn.IFS(
OR(F432="Selenium (Hands-on)",F432="Guest Lecture: HR Interview"),6,
OR(F432="Soft Skill",F432="Soft Skill (Examination)",F432="AWS Training",F432="AWS Session"),7,
OR(ISNUMBER(SEARCH("MAD",F432)),ISNUMBER(SEARCH("STQA",F432)),F432="CI/CD Session"),8,
OR(ISNUMBER(SEARCH("Cloud",F432)),F432="Industry Readiness Program",ISNUMBER(SEARCH("Talenlio",F432))),9,
OR(ISNUMBER(SEARCH("Innovation",F432)),F432="Mini Project"),10,
OR(ISNUMBER(SEARCH("Data Science",F432)),ISNUMBER(SEARCH("DS",F432))),11,
ISNUMBER(SEARCH("Generative AI",F432)),12
))))</f>
        <v>8</v>
      </c>
      <c r="X432" s="3">
        <v>5</v>
      </c>
      <c r="Y432" s="3">
        <v>29</v>
      </c>
      <c r="Z432" s="3" t="s">
        <v>35</v>
      </c>
    </row>
    <row r="433" spans="1:26" x14ac:dyDescent="0.3">
      <c r="A433" s="2">
        <v>46216</v>
      </c>
      <c r="B433" s="3" t="s">
        <v>26</v>
      </c>
      <c r="C433" s="3">
        <v>3</v>
      </c>
      <c r="D433" s="4">
        <v>0.42708333333333298</v>
      </c>
      <c r="E433" s="4">
        <v>0.46875</v>
      </c>
      <c r="F433" s="3" t="s">
        <v>53</v>
      </c>
      <c r="G433" s="3" t="s">
        <v>68</v>
      </c>
      <c r="H433" s="3" t="s">
        <v>29</v>
      </c>
      <c r="I433" s="3" t="s">
        <v>30</v>
      </c>
      <c r="J433" s="3" t="s">
        <v>84</v>
      </c>
      <c r="K433" s="3" t="s">
        <v>52</v>
      </c>
      <c r="L433" s="5">
        <v>102</v>
      </c>
      <c r="M433" s="5">
        <f t="shared" ca="1" si="30"/>
        <v>81</v>
      </c>
      <c r="N433" s="6">
        <f t="shared" ca="1" si="31"/>
        <v>79.411764705882348</v>
      </c>
      <c r="O433" s="3" cm="1">
        <f t="array" aca="1" ref="O433" ca="1">IFERROR(LOOKUP(2, 1/((F$1:F432=F433)*(J$1:J432=J433)*(ROW(F$1:F432)&lt;ROW(F433))), N$1:N432), "")</f>
        <v>71.568627450980387</v>
      </c>
      <c r="P433" s="3">
        <f t="shared" si="34"/>
        <v>0</v>
      </c>
      <c r="Q433" s="3" t="s">
        <v>33</v>
      </c>
      <c r="R433" s="3" t="s">
        <v>40</v>
      </c>
      <c r="S433" s="3" t="str">
        <f t="shared" si="32"/>
        <v>No</v>
      </c>
      <c r="T433" s="3" t="s">
        <v>34</v>
      </c>
      <c r="U433" s="3" t="str">
        <f t="shared" si="33"/>
        <v>Rainy</v>
      </c>
      <c r="V433" s="3" t="s">
        <v>40</v>
      </c>
      <c r="W433" s="3" cm="1">
        <f t="array" ref="W433">_xlfn.IFS(
OR(F433="Selenium (Hands-on)",F433="Guest Lecture: HR Interview"),6,
OR(F433="Soft Skill",F433="Soft Skill (Examination)",F433="AWS Training",F433="AWS Session"),7,
OR(ISNUMBER(SEARCH("MAD",F433)),ISNUMBER(SEARCH("STQA",F433)),F433="CI/CD Session"),8,
OR(ISNUMBER(SEARCH("Cloud",F433)),F433="Industry Readiness Program",ISNUMBER(SEARCH("Talenlio",F433))),9,
OR(ISNUMBER(SEARCH("Innovation",F433)),F433="Mini Project"),10,
OR(ISNUMBER(SEARCH("Data Science",F433)),ISNUMBER(SEARCH("DS",F433))),11,
ISNUMBER(SEARCH("Generative AI",F433)),12
=_xlfn.IFS(
OR(F433="Selenium (Hands-on)",F433="Guest Lecture: HR Interview"),6,
OR(F433="Soft Skill",F433="Soft Skill (Examination)",F433="AWS Training",F433="AWS Session"),7,
OR(ISNUMBER(SEARCH("MAD",F433)),ISNUMBER(SEARCH("STQA",F433)),F433="CI/CD Session"),8,
OR(ISNUMBER(SEARCH("Cloud",F433)),F433="Industry Readiness Program",ISNUMBER(SEARCH("Talenlio",F433))),9,
OR(ISNUMBER(SEARCH("Innovation",F433)),F433="Mini Project"),10,
OR(ISNUMBER(SEARCH("Data Science",F433)),ISNUMBER(SEARCH("DS",F433))),11,
ISNUMBER(SEARCH("Generative AI",F433)),12
=_xlfn.IFS(
OR(F433="Selenium (Hands-on)",F433="Guest Lecture: HR Interview"),6,
OR(F433="Soft Skill",F433="Soft Skill (Examination)",F433="AWS Training",F433="AWS Session"),7,
OR(ISNUMBER(SEARCH("MAD",F433)),ISNUMBER(SEARCH("STQA",F433)),F433="CI/CD Session"),8,
OR(ISNUMBER(SEARCH("Cloud",F433)),F433="Industry Readiness Program",ISNUMBER(SEARCH("Talenlio",F433))),9,
OR(ISNUMBER(SEARCH("Innovation",F433)),F433="Mini Project"),10,
OR(ISNUMBER(SEARCH("Data Science",F433)),ISNUMBER(SEARCH("DS",F433))),11,
ISNUMBER(SEARCH("Generative AI",F433)),12
=_xlfn.IFS(
OR(F433="Selenium (Hands-on)",F433="Guest Lecture: HR Interview"),6,
OR(F433="Soft Skill",F433="Soft Skill (Examination)",F433="AWS Training",F433="AWS Session"),7,
OR(ISNUMBER(SEARCH("MAD",F433)),ISNUMBER(SEARCH("STQA",F433)),F433="CI/CD Session"),8,
OR(ISNUMBER(SEARCH("Cloud",F433)),F433="Industry Readiness Program",ISNUMBER(SEARCH("Talenlio",F433))),9,
OR(ISNUMBER(SEARCH("Innovation",F433)),F433="Mini Project"),10,
OR(ISNUMBER(SEARCH("Data Science",F433)),ISNUMBER(SEARCH("DS",F433))),11,
ISNUMBER(SEARCH("Generative AI",F433)),12
))))</f>
        <v>10</v>
      </c>
      <c r="X433" s="3">
        <v>5</v>
      </c>
      <c r="Y433" s="3">
        <v>29</v>
      </c>
      <c r="Z433" s="3" t="s">
        <v>35</v>
      </c>
    </row>
    <row r="434" spans="1:26" x14ac:dyDescent="0.3">
      <c r="A434" s="2">
        <v>46216</v>
      </c>
      <c r="B434" s="3" t="s">
        <v>26</v>
      </c>
      <c r="C434" s="3">
        <v>4</v>
      </c>
      <c r="D434" s="4">
        <v>0.46875</v>
      </c>
      <c r="E434" s="4">
        <v>0.51041666666666696</v>
      </c>
      <c r="F434" s="3" t="s">
        <v>53</v>
      </c>
      <c r="G434" s="3" t="s">
        <v>68</v>
      </c>
      <c r="H434" s="3" t="s">
        <v>29</v>
      </c>
      <c r="I434" s="3" t="s">
        <v>30</v>
      </c>
      <c r="J434" s="3" t="s">
        <v>84</v>
      </c>
      <c r="K434" s="3" t="s">
        <v>52</v>
      </c>
      <c r="L434" s="5">
        <v>102</v>
      </c>
      <c r="M434" s="5">
        <f t="shared" ca="1" si="30"/>
        <v>47</v>
      </c>
      <c r="N434" s="6">
        <f t="shared" ca="1" si="31"/>
        <v>46.078431372549019</v>
      </c>
      <c r="O434" s="3" cm="1">
        <f t="array" aca="1" ref="O434" ca="1">IFERROR(LOOKUP(2, 1/((F$1:F433=F434)*(J$1:J433=J434)*(ROW(F$1:F433)&lt;ROW(F434))), N$1:N433), "")</f>
        <v>79.411764705882348</v>
      </c>
      <c r="P434" s="3">
        <f t="shared" si="34"/>
        <v>0</v>
      </c>
      <c r="Q434" s="3" t="s">
        <v>33</v>
      </c>
      <c r="R434" s="3" t="s">
        <v>40</v>
      </c>
      <c r="S434" s="3" t="str">
        <f t="shared" si="32"/>
        <v>No</v>
      </c>
      <c r="T434" s="3" t="s">
        <v>34</v>
      </c>
      <c r="U434" s="3" t="str">
        <f t="shared" si="33"/>
        <v>Rainy</v>
      </c>
      <c r="V434" s="3" t="s">
        <v>40</v>
      </c>
      <c r="W434" s="3" cm="1">
        <f t="array" ref="W434">_xlfn.IFS(
OR(F434="Selenium (Hands-on)",F434="Guest Lecture: HR Interview"),6,
OR(F434="Soft Skill",F434="Soft Skill (Examination)",F434="AWS Training",F434="AWS Session"),7,
OR(ISNUMBER(SEARCH("MAD",F434)),ISNUMBER(SEARCH("STQA",F434)),F434="CI/CD Session"),8,
OR(ISNUMBER(SEARCH("Cloud",F434)),F434="Industry Readiness Program",ISNUMBER(SEARCH("Talenlio",F434))),9,
OR(ISNUMBER(SEARCH("Innovation",F434)),F434="Mini Project"),10,
OR(ISNUMBER(SEARCH("Data Science",F434)),ISNUMBER(SEARCH("DS",F434))),11,
ISNUMBER(SEARCH("Generative AI",F434)),12
=_xlfn.IFS(
OR(F434="Selenium (Hands-on)",F434="Guest Lecture: HR Interview"),6,
OR(F434="Soft Skill",F434="Soft Skill (Examination)",F434="AWS Training",F434="AWS Session"),7,
OR(ISNUMBER(SEARCH("MAD",F434)),ISNUMBER(SEARCH("STQA",F434)),F434="CI/CD Session"),8,
OR(ISNUMBER(SEARCH("Cloud",F434)),F434="Industry Readiness Program",ISNUMBER(SEARCH("Talenlio",F434))),9,
OR(ISNUMBER(SEARCH("Innovation",F434)),F434="Mini Project"),10,
OR(ISNUMBER(SEARCH("Data Science",F434)),ISNUMBER(SEARCH("DS",F434))),11,
ISNUMBER(SEARCH("Generative AI",F434)),12
=_xlfn.IFS(
OR(F434="Selenium (Hands-on)",F434="Guest Lecture: HR Interview"),6,
OR(F434="Soft Skill",F434="Soft Skill (Examination)",F434="AWS Training",F434="AWS Session"),7,
OR(ISNUMBER(SEARCH("MAD",F434)),ISNUMBER(SEARCH("STQA",F434)),F434="CI/CD Session"),8,
OR(ISNUMBER(SEARCH("Cloud",F434)),F434="Industry Readiness Program",ISNUMBER(SEARCH("Talenlio",F434))),9,
OR(ISNUMBER(SEARCH("Innovation",F434)),F434="Mini Project"),10,
OR(ISNUMBER(SEARCH("Data Science",F434)),ISNUMBER(SEARCH("DS",F434))),11,
ISNUMBER(SEARCH("Generative AI",F434)),12
=_xlfn.IFS(
OR(F434="Selenium (Hands-on)",F434="Guest Lecture: HR Interview"),6,
OR(F434="Soft Skill",F434="Soft Skill (Examination)",F434="AWS Training",F434="AWS Session"),7,
OR(ISNUMBER(SEARCH("MAD",F434)),ISNUMBER(SEARCH("STQA",F434)),F434="CI/CD Session"),8,
OR(ISNUMBER(SEARCH("Cloud",F434)),F434="Industry Readiness Program",ISNUMBER(SEARCH("Talenlio",F434))),9,
OR(ISNUMBER(SEARCH("Innovation",F434)),F434="Mini Project"),10,
OR(ISNUMBER(SEARCH("Data Science",F434)),ISNUMBER(SEARCH("DS",F434))),11,
ISNUMBER(SEARCH("Generative AI",F434)),12
))))</f>
        <v>10</v>
      </c>
      <c r="X434" s="3">
        <v>5</v>
      </c>
      <c r="Y434" s="3">
        <v>29</v>
      </c>
      <c r="Z434" s="3" t="s">
        <v>35</v>
      </c>
    </row>
    <row r="435" spans="1:26" x14ac:dyDescent="0.3">
      <c r="A435" s="2">
        <v>46216</v>
      </c>
      <c r="B435" s="3" t="s">
        <v>26</v>
      </c>
      <c r="C435" s="3">
        <v>5</v>
      </c>
      <c r="D435" s="4">
        <v>0.5625</v>
      </c>
      <c r="E435" s="4">
        <v>0.60416666666666696</v>
      </c>
      <c r="F435" s="3" t="s">
        <v>55</v>
      </c>
      <c r="G435" s="3" t="s">
        <v>56</v>
      </c>
      <c r="H435" s="3" t="s">
        <v>29</v>
      </c>
      <c r="I435" s="3" t="s">
        <v>30</v>
      </c>
      <c r="J435" s="3" t="s">
        <v>84</v>
      </c>
      <c r="K435" s="3" t="s">
        <v>52</v>
      </c>
      <c r="L435" s="5">
        <v>102</v>
      </c>
      <c r="M435" s="5">
        <f t="shared" ca="1" si="30"/>
        <v>82</v>
      </c>
      <c r="N435" s="6">
        <f t="shared" ca="1" si="31"/>
        <v>80.392156862745097</v>
      </c>
      <c r="O435" s="3" cm="1">
        <f t="array" aca="1" ref="O435" ca="1">IFERROR(LOOKUP(2, 1/((F$1:F434=F435)*(J$1:J434=J435)*(ROW(F$1:F434)&lt;ROW(F435))), N$1:N434), "")</f>
        <v>51.960784313725497</v>
      </c>
      <c r="P435" s="3">
        <f t="shared" si="34"/>
        <v>1.25</v>
      </c>
      <c r="Q435" s="3" t="s">
        <v>43</v>
      </c>
      <c r="R435" s="3" t="s">
        <v>40</v>
      </c>
      <c r="S435" s="3" t="str">
        <f t="shared" si="32"/>
        <v>No</v>
      </c>
      <c r="T435" s="3" t="s">
        <v>34</v>
      </c>
      <c r="U435" s="3" t="str">
        <f t="shared" si="33"/>
        <v>Rainy</v>
      </c>
      <c r="V435" s="3" t="s">
        <v>40</v>
      </c>
      <c r="W435" s="3" cm="1">
        <f t="array" ref="W435">_xlfn.IFS(
OR(F435="Selenium (Hands-on)",F435="Guest Lecture: HR Interview"),6,
OR(F435="Soft Skill",F435="Soft Skill (Examination)",F435="AWS Training",F435="AWS Session"),7,
OR(ISNUMBER(SEARCH("MAD",F435)),ISNUMBER(SEARCH("STQA",F435)),F435="CI/CD Session"),8,
OR(ISNUMBER(SEARCH("Cloud",F435)),F435="Industry Readiness Program",ISNUMBER(SEARCH("Talenlio",F435))),9,
OR(ISNUMBER(SEARCH("Innovation",F435)),F435="Mini Project"),10,
OR(ISNUMBER(SEARCH("Data Science",F435)),ISNUMBER(SEARCH("DS",F435))),11,
ISNUMBER(SEARCH("Generative AI",F435)),12
=_xlfn.IFS(
OR(F435="Selenium (Hands-on)",F435="Guest Lecture: HR Interview"),6,
OR(F435="Soft Skill",F435="Soft Skill (Examination)",F435="AWS Training",F435="AWS Session"),7,
OR(ISNUMBER(SEARCH("MAD",F435)),ISNUMBER(SEARCH("STQA",F435)),F435="CI/CD Session"),8,
OR(ISNUMBER(SEARCH("Cloud",F435)),F435="Industry Readiness Program",ISNUMBER(SEARCH("Talenlio",F435))),9,
OR(ISNUMBER(SEARCH("Innovation",F435)),F435="Mini Project"),10,
OR(ISNUMBER(SEARCH("Data Science",F435)),ISNUMBER(SEARCH("DS",F435))),11,
ISNUMBER(SEARCH("Generative AI",F435)),12
=_xlfn.IFS(
OR(F435="Selenium (Hands-on)",F435="Guest Lecture: HR Interview"),6,
OR(F435="Soft Skill",F435="Soft Skill (Examination)",F435="AWS Training",F435="AWS Session"),7,
OR(ISNUMBER(SEARCH("MAD",F435)),ISNUMBER(SEARCH("STQA",F435)),F435="CI/CD Session"),8,
OR(ISNUMBER(SEARCH("Cloud",F435)),F435="Industry Readiness Program",ISNUMBER(SEARCH("Talenlio",F435))),9,
OR(ISNUMBER(SEARCH("Innovation",F435)),F435="Mini Project"),10,
OR(ISNUMBER(SEARCH("Data Science",F435)),ISNUMBER(SEARCH("DS",F435))),11,
ISNUMBER(SEARCH("Generative AI",F435)),12
=_xlfn.IFS(
OR(F435="Selenium (Hands-on)",F435="Guest Lecture: HR Interview"),6,
OR(F435="Soft Skill",F435="Soft Skill (Examination)",F435="AWS Training",F435="AWS Session"),7,
OR(ISNUMBER(SEARCH("MAD",F435)),ISNUMBER(SEARCH("STQA",F435)),F435="CI/CD Session"),8,
OR(ISNUMBER(SEARCH("Cloud",F435)),F435="Industry Readiness Program",ISNUMBER(SEARCH("Talenlio",F435))),9,
OR(ISNUMBER(SEARCH("Innovation",F435)),F435="Mini Project"),10,
OR(ISNUMBER(SEARCH("Data Science",F435)),ISNUMBER(SEARCH("DS",F435))),11,
ISNUMBER(SEARCH("Generative AI",F435)),12
))))</f>
        <v>8</v>
      </c>
      <c r="X435" s="3">
        <v>5</v>
      </c>
      <c r="Y435" s="3">
        <v>29</v>
      </c>
      <c r="Z435" s="3" t="s">
        <v>38</v>
      </c>
    </row>
    <row r="436" spans="1:26" x14ac:dyDescent="0.3">
      <c r="A436" s="2">
        <v>46216</v>
      </c>
      <c r="B436" s="3" t="s">
        <v>26</v>
      </c>
      <c r="C436" s="3">
        <v>6</v>
      </c>
      <c r="D436" s="4">
        <v>0.60416666666666696</v>
      </c>
      <c r="E436" s="4">
        <v>0.64583333333333304</v>
      </c>
      <c r="F436" s="3" t="s">
        <v>55</v>
      </c>
      <c r="G436" s="3" t="s">
        <v>56</v>
      </c>
      <c r="H436" s="3" t="s">
        <v>29</v>
      </c>
      <c r="I436" s="3" t="s">
        <v>30</v>
      </c>
      <c r="J436" s="3" t="s">
        <v>84</v>
      </c>
      <c r="K436" s="3" t="s">
        <v>52</v>
      </c>
      <c r="L436" s="5">
        <v>102</v>
      </c>
      <c r="M436" s="5">
        <f t="shared" ca="1" si="30"/>
        <v>92</v>
      </c>
      <c r="N436" s="6">
        <f t="shared" ca="1" si="31"/>
        <v>90.196078431372555</v>
      </c>
      <c r="O436" s="3" cm="1">
        <f t="array" aca="1" ref="O436" ca="1">IFERROR(LOOKUP(2, 1/((F$1:F435=F436)*(J$1:J435=J436)*(ROW(F$1:F435)&lt;ROW(F436))), N$1:N435), "")</f>
        <v>80.392156862745097</v>
      </c>
      <c r="P436" s="3">
        <f t="shared" si="34"/>
        <v>0</v>
      </c>
      <c r="Q436" s="3" t="s">
        <v>43</v>
      </c>
      <c r="R436" s="3" t="s">
        <v>40</v>
      </c>
      <c r="S436" s="3" t="str">
        <f t="shared" si="32"/>
        <v>No</v>
      </c>
      <c r="T436" s="3" t="s">
        <v>34</v>
      </c>
      <c r="U436" s="3" t="str">
        <f t="shared" si="33"/>
        <v>Rainy</v>
      </c>
      <c r="V436" s="3" t="s">
        <v>40</v>
      </c>
      <c r="W436" s="3" cm="1">
        <f t="array" ref="W436">_xlfn.IFS(
OR(F436="Selenium (Hands-on)",F436="Guest Lecture: HR Interview"),6,
OR(F436="Soft Skill",F436="Soft Skill (Examination)",F436="AWS Training",F436="AWS Session"),7,
OR(ISNUMBER(SEARCH("MAD",F436)),ISNUMBER(SEARCH("STQA",F436)),F436="CI/CD Session"),8,
OR(ISNUMBER(SEARCH("Cloud",F436)),F436="Industry Readiness Program",ISNUMBER(SEARCH("Talenlio",F436))),9,
OR(ISNUMBER(SEARCH("Innovation",F436)),F436="Mini Project"),10,
OR(ISNUMBER(SEARCH("Data Science",F436)),ISNUMBER(SEARCH("DS",F436))),11,
ISNUMBER(SEARCH("Generative AI",F436)),12
=_xlfn.IFS(
OR(F436="Selenium (Hands-on)",F436="Guest Lecture: HR Interview"),6,
OR(F436="Soft Skill",F436="Soft Skill (Examination)",F436="AWS Training",F436="AWS Session"),7,
OR(ISNUMBER(SEARCH("MAD",F436)),ISNUMBER(SEARCH("STQA",F436)),F436="CI/CD Session"),8,
OR(ISNUMBER(SEARCH("Cloud",F436)),F436="Industry Readiness Program",ISNUMBER(SEARCH("Talenlio",F436))),9,
OR(ISNUMBER(SEARCH("Innovation",F436)),F436="Mini Project"),10,
OR(ISNUMBER(SEARCH("Data Science",F436)),ISNUMBER(SEARCH("DS",F436))),11,
ISNUMBER(SEARCH("Generative AI",F436)),12
=_xlfn.IFS(
OR(F436="Selenium (Hands-on)",F436="Guest Lecture: HR Interview"),6,
OR(F436="Soft Skill",F436="Soft Skill (Examination)",F436="AWS Training",F436="AWS Session"),7,
OR(ISNUMBER(SEARCH("MAD",F436)),ISNUMBER(SEARCH("STQA",F436)),F436="CI/CD Session"),8,
OR(ISNUMBER(SEARCH("Cloud",F436)),F436="Industry Readiness Program",ISNUMBER(SEARCH("Talenlio",F436))),9,
OR(ISNUMBER(SEARCH("Innovation",F436)),F436="Mini Project"),10,
OR(ISNUMBER(SEARCH("Data Science",F436)),ISNUMBER(SEARCH("DS",F436))),11,
ISNUMBER(SEARCH("Generative AI",F436)),12
=_xlfn.IFS(
OR(F436="Selenium (Hands-on)",F436="Guest Lecture: HR Interview"),6,
OR(F436="Soft Skill",F436="Soft Skill (Examination)",F436="AWS Training",F436="AWS Session"),7,
OR(ISNUMBER(SEARCH("MAD",F436)),ISNUMBER(SEARCH("STQA",F436)),F436="CI/CD Session"),8,
OR(ISNUMBER(SEARCH("Cloud",F436)),F436="Industry Readiness Program",ISNUMBER(SEARCH("Talenlio",F436))),9,
OR(ISNUMBER(SEARCH("Innovation",F436)),F436="Mini Project"),10,
OR(ISNUMBER(SEARCH("Data Science",F436)),ISNUMBER(SEARCH("DS",F436))),11,
ISNUMBER(SEARCH("Generative AI",F436)),12
))))</f>
        <v>8</v>
      </c>
      <c r="X436" s="3">
        <v>5</v>
      </c>
      <c r="Y436" s="3">
        <v>29</v>
      </c>
      <c r="Z436" s="3" t="s">
        <v>38</v>
      </c>
    </row>
    <row r="437" spans="1:26" x14ac:dyDescent="0.3">
      <c r="A437" s="2">
        <v>46217</v>
      </c>
      <c r="B437" s="3" t="s">
        <v>39</v>
      </c>
      <c r="C437" s="3">
        <v>1</v>
      </c>
      <c r="D437" s="4">
        <v>0.35416666666666702</v>
      </c>
      <c r="E437" s="4">
        <v>0.38541666666666702</v>
      </c>
      <c r="F437" s="3" t="s">
        <v>50</v>
      </c>
      <c r="G437" s="3" t="s">
        <v>51</v>
      </c>
      <c r="H437" s="3" t="s">
        <v>29</v>
      </c>
      <c r="I437" s="3" t="s">
        <v>30</v>
      </c>
      <c r="J437" s="3" t="s">
        <v>84</v>
      </c>
      <c r="K437" s="3" t="s">
        <v>52</v>
      </c>
      <c r="L437" s="5">
        <v>102</v>
      </c>
      <c r="M437" s="5">
        <f t="shared" ca="1" si="30"/>
        <v>51</v>
      </c>
      <c r="N437" s="6">
        <f t="shared" ca="1" si="31"/>
        <v>50</v>
      </c>
      <c r="O437" s="3" cm="1">
        <f t="array" aca="1" ref="O437" ca="1">IFERROR(LOOKUP(2, 1/((F$1:F436=F437)*(J$1:J436=J437)*(ROW(F$1:F436)&lt;ROW(F437))), N$1:N436), "")</f>
        <v>50.980392156862742</v>
      </c>
      <c r="P437" s="3">
        <f t="shared" si="34"/>
        <v>0</v>
      </c>
      <c r="Q437" s="3" t="s">
        <v>43</v>
      </c>
      <c r="R437" s="3" t="s">
        <v>40</v>
      </c>
      <c r="S437" s="3" t="str">
        <f t="shared" si="32"/>
        <v>No</v>
      </c>
      <c r="T437" s="3" t="s">
        <v>40</v>
      </c>
      <c r="U437" s="3" t="str">
        <f t="shared" si="33"/>
        <v>Rainy</v>
      </c>
      <c r="V437" s="3" t="s">
        <v>40</v>
      </c>
      <c r="W437" s="3" cm="1">
        <f t="array" ref="W437">_xlfn.IFS(
OR(F437="Selenium (Hands-on)",F437="Guest Lecture: HR Interview"),6,
OR(F437="Soft Skill",F437="Soft Skill (Examination)",F437="AWS Training",F437="AWS Session"),7,
OR(ISNUMBER(SEARCH("MAD",F437)),ISNUMBER(SEARCH("STQA",F437)),F437="CI/CD Session"),8,
OR(ISNUMBER(SEARCH("Cloud",F437)),F437="Industry Readiness Program",ISNUMBER(SEARCH("Talenlio",F437))),9,
OR(ISNUMBER(SEARCH("Innovation",F437)),F437="Mini Project"),10,
OR(ISNUMBER(SEARCH("Data Science",F437)),ISNUMBER(SEARCH("DS",F437))),11,
ISNUMBER(SEARCH("Generative AI",F437)),12
=_xlfn.IFS(
OR(F437="Selenium (Hands-on)",F437="Guest Lecture: HR Interview"),6,
OR(F437="Soft Skill",F437="Soft Skill (Examination)",F437="AWS Training",F437="AWS Session"),7,
OR(ISNUMBER(SEARCH("MAD",F437)),ISNUMBER(SEARCH("STQA",F437)),F437="CI/CD Session"),8,
OR(ISNUMBER(SEARCH("Cloud",F437)),F437="Industry Readiness Program",ISNUMBER(SEARCH("Talenlio",F437))),9,
OR(ISNUMBER(SEARCH("Innovation",F437)),F437="Mini Project"),10,
OR(ISNUMBER(SEARCH("Data Science",F437)),ISNUMBER(SEARCH("DS",F437))),11,
ISNUMBER(SEARCH("Generative AI",F437)),12
=_xlfn.IFS(
OR(F437="Selenium (Hands-on)",F437="Guest Lecture: HR Interview"),6,
OR(F437="Soft Skill",F437="Soft Skill (Examination)",F437="AWS Training",F437="AWS Session"),7,
OR(ISNUMBER(SEARCH("MAD",F437)),ISNUMBER(SEARCH("STQA",F437)),F437="CI/CD Session"),8,
OR(ISNUMBER(SEARCH("Cloud",F437)),F437="Industry Readiness Program",ISNUMBER(SEARCH("Talenlio",F437))),9,
OR(ISNUMBER(SEARCH("Innovation",F437)),F437="Mini Project"),10,
OR(ISNUMBER(SEARCH("Data Science",F437)),ISNUMBER(SEARCH("DS",F437))),11,
ISNUMBER(SEARCH("Generative AI",F437)),12
=_xlfn.IFS(
OR(F437="Selenium (Hands-on)",F437="Guest Lecture: HR Interview"),6,
OR(F437="Soft Skill",F437="Soft Skill (Examination)",F437="AWS Training",F437="AWS Session"),7,
OR(ISNUMBER(SEARCH("MAD",F437)),ISNUMBER(SEARCH("STQA",F437)),F437="CI/CD Session"),8,
OR(ISNUMBER(SEARCH("Cloud",F437)),F437="Industry Readiness Program",ISNUMBER(SEARCH("Talenlio",F437))),9,
OR(ISNUMBER(SEARCH("Innovation",F437)),F437="Mini Project"),10,
OR(ISNUMBER(SEARCH("Data Science",F437)),ISNUMBER(SEARCH("DS",F437))),11,
ISNUMBER(SEARCH("Generative AI",F437)),12
))))</f>
        <v>8</v>
      </c>
      <c r="X437" s="3">
        <v>5</v>
      </c>
      <c r="Y437" s="3">
        <v>30</v>
      </c>
      <c r="Z437" s="3" t="s">
        <v>35</v>
      </c>
    </row>
    <row r="438" spans="1:26" x14ac:dyDescent="0.3">
      <c r="A438" s="2">
        <v>46217</v>
      </c>
      <c r="B438" s="3" t="s">
        <v>39</v>
      </c>
      <c r="C438" s="3">
        <v>2</v>
      </c>
      <c r="D438" s="4">
        <v>0.39583333333333298</v>
      </c>
      <c r="E438" s="4">
        <v>0.4375</v>
      </c>
      <c r="F438" s="3" t="s">
        <v>50</v>
      </c>
      <c r="G438" s="3" t="s">
        <v>51</v>
      </c>
      <c r="H438" s="3" t="s">
        <v>29</v>
      </c>
      <c r="I438" s="3" t="s">
        <v>30</v>
      </c>
      <c r="J438" s="3" t="s">
        <v>84</v>
      </c>
      <c r="K438" s="3" t="s">
        <v>52</v>
      </c>
      <c r="L438" s="5">
        <v>102</v>
      </c>
      <c r="M438" s="5">
        <f t="shared" ca="1" si="30"/>
        <v>86</v>
      </c>
      <c r="N438" s="6">
        <f t="shared" ca="1" si="31"/>
        <v>84.313725490196077</v>
      </c>
      <c r="O438" s="3" cm="1">
        <f t="array" aca="1" ref="O438" ca="1">IFERROR(LOOKUP(2, 1/((F$1:F437=F438)*(J$1:J437=J438)*(ROW(F$1:F437)&lt;ROW(F438))), N$1:N437), "")</f>
        <v>50</v>
      </c>
      <c r="P438" s="3">
        <f t="shared" si="34"/>
        <v>0.25</v>
      </c>
      <c r="Q438" s="3" t="s">
        <v>43</v>
      </c>
      <c r="R438" s="3" t="s">
        <v>40</v>
      </c>
      <c r="S438" s="3" t="str">
        <f t="shared" si="32"/>
        <v>No</v>
      </c>
      <c r="T438" s="3" t="s">
        <v>40</v>
      </c>
      <c r="U438" s="3" t="str">
        <f t="shared" si="33"/>
        <v>Rainy</v>
      </c>
      <c r="V438" s="3" t="s">
        <v>40</v>
      </c>
      <c r="W438" s="3" cm="1">
        <f t="array" ref="W438">_xlfn.IFS(
OR(F438="Selenium (Hands-on)",F438="Guest Lecture: HR Interview"),6,
OR(F438="Soft Skill",F438="Soft Skill (Examination)",F438="AWS Training",F438="AWS Session"),7,
OR(ISNUMBER(SEARCH("MAD",F438)),ISNUMBER(SEARCH("STQA",F438)),F438="CI/CD Session"),8,
OR(ISNUMBER(SEARCH("Cloud",F438)),F438="Industry Readiness Program",ISNUMBER(SEARCH("Talenlio",F438))),9,
OR(ISNUMBER(SEARCH("Innovation",F438)),F438="Mini Project"),10,
OR(ISNUMBER(SEARCH("Data Science",F438)),ISNUMBER(SEARCH("DS",F438))),11,
ISNUMBER(SEARCH("Generative AI",F438)),12
=_xlfn.IFS(
OR(F438="Selenium (Hands-on)",F438="Guest Lecture: HR Interview"),6,
OR(F438="Soft Skill",F438="Soft Skill (Examination)",F438="AWS Training",F438="AWS Session"),7,
OR(ISNUMBER(SEARCH("MAD",F438)),ISNUMBER(SEARCH("STQA",F438)),F438="CI/CD Session"),8,
OR(ISNUMBER(SEARCH("Cloud",F438)),F438="Industry Readiness Program",ISNUMBER(SEARCH("Talenlio",F438))),9,
OR(ISNUMBER(SEARCH("Innovation",F438)),F438="Mini Project"),10,
OR(ISNUMBER(SEARCH("Data Science",F438)),ISNUMBER(SEARCH("DS",F438))),11,
ISNUMBER(SEARCH("Generative AI",F438)),12
=_xlfn.IFS(
OR(F438="Selenium (Hands-on)",F438="Guest Lecture: HR Interview"),6,
OR(F438="Soft Skill",F438="Soft Skill (Examination)",F438="AWS Training",F438="AWS Session"),7,
OR(ISNUMBER(SEARCH("MAD",F438)),ISNUMBER(SEARCH("STQA",F438)),F438="CI/CD Session"),8,
OR(ISNUMBER(SEARCH("Cloud",F438)),F438="Industry Readiness Program",ISNUMBER(SEARCH("Talenlio",F438))),9,
OR(ISNUMBER(SEARCH("Innovation",F438)),F438="Mini Project"),10,
OR(ISNUMBER(SEARCH("Data Science",F438)),ISNUMBER(SEARCH("DS",F438))),11,
ISNUMBER(SEARCH("Generative AI",F438)),12
=_xlfn.IFS(
OR(F438="Selenium (Hands-on)",F438="Guest Lecture: HR Interview"),6,
OR(F438="Soft Skill",F438="Soft Skill (Examination)",F438="AWS Training",F438="AWS Session"),7,
OR(ISNUMBER(SEARCH("MAD",F438)),ISNUMBER(SEARCH("STQA",F438)),F438="CI/CD Session"),8,
OR(ISNUMBER(SEARCH("Cloud",F438)),F438="Industry Readiness Program",ISNUMBER(SEARCH("Talenlio",F438))),9,
OR(ISNUMBER(SEARCH("Innovation",F438)),F438="Mini Project"),10,
OR(ISNUMBER(SEARCH("Data Science",F438)),ISNUMBER(SEARCH("DS",F438))),11,
ISNUMBER(SEARCH("Generative AI",F438)),12
))))</f>
        <v>8</v>
      </c>
      <c r="X438" s="3">
        <v>5</v>
      </c>
      <c r="Y438" s="3">
        <v>30</v>
      </c>
      <c r="Z438" s="3" t="s">
        <v>35</v>
      </c>
    </row>
    <row r="439" spans="1:26" x14ac:dyDescent="0.3">
      <c r="A439" s="2">
        <v>46217</v>
      </c>
      <c r="B439" s="3" t="s">
        <v>39</v>
      </c>
      <c r="C439" s="3">
        <v>3</v>
      </c>
      <c r="D439" s="4">
        <v>0.4375</v>
      </c>
      <c r="E439" s="4">
        <v>0.47916666666666702</v>
      </c>
      <c r="F439" s="3" t="s">
        <v>57</v>
      </c>
      <c r="G439" s="3" t="s">
        <v>58</v>
      </c>
      <c r="H439" s="3" t="s">
        <v>29</v>
      </c>
      <c r="I439" s="3" t="s">
        <v>30</v>
      </c>
      <c r="J439" s="3" t="s">
        <v>84</v>
      </c>
      <c r="K439" s="3" t="s">
        <v>52</v>
      </c>
      <c r="L439" s="5">
        <v>102</v>
      </c>
      <c r="M439" s="5">
        <f t="shared" ca="1" si="30"/>
        <v>63</v>
      </c>
      <c r="N439" s="6">
        <f t="shared" ca="1" si="31"/>
        <v>61.764705882352942</v>
      </c>
      <c r="O439" s="3" cm="1">
        <f t="array" aca="1" ref="O439" ca="1">IFERROR(LOOKUP(2, 1/((F$1:F438=F439)*(J$1:J438=J439)*(ROW(F$1:F438)&lt;ROW(F439))), N$1:N438), "")</f>
        <v>41.17647058823529</v>
      </c>
      <c r="P439" s="3">
        <f t="shared" si="34"/>
        <v>0</v>
      </c>
      <c r="Q439" s="3" t="s">
        <v>33</v>
      </c>
      <c r="R439" s="3" t="s">
        <v>40</v>
      </c>
      <c r="S439" s="3" t="str">
        <f t="shared" si="32"/>
        <v>No</v>
      </c>
      <c r="T439" s="3" t="s">
        <v>40</v>
      </c>
      <c r="U439" s="3" t="str">
        <f t="shared" si="33"/>
        <v>Rainy</v>
      </c>
      <c r="V439" s="3" t="s">
        <v>40</v>
      </c>
      <c r="W439" s="3" cm="1">
        <f t="array" ref="W439">_xlfn.IFS(
OR(F439="Selenium (Hands-on)",F439="Guest Lecture: HR Interview"),6,
OR(F439="Soft Skill",F439="Soft Skill (Examination)",F439="AWS Training",F439="AWS Session"),7,
OR(ISNUMBER(SEARCH("MAD",F439)),ISNUMBER(SEARCH("STQA",F439)),F439="CI/CD Session"),8,
OR(ISNUMBER(SEARCH("Cloud",F439)),F439="Industry Readiness Program",ISNUMBER(SEARCH("Talenlio",F439))),9,
OR(ISNUMBER(SEARCH("Innovation",F439)),F439="Mini Project"),10,
OR(ISNUMBER(SEARCH("Data Science",F439)),ISNUMBER(SEARCH("DS",F439))),11,
ISNUMBER(SEARCH("Generative AI",F439)),12
=_xlfn.IFS(
OR(F439="Selenium (Hands-on)",F439="Guest Lecture: HR Interview"),6,
OR(F439="Soft Skill",F439="Soft Skill (Examination)",F439="AWS Training",F439="AWS Session"),7,
OR(ISNUMBER(SEARCH("MAD",F439)),ISNUMBER(SEARCH("STQA",F439)),F439="CI/CD Session"),8,
OR(ISNUMBER(SEARCH("Cloud",F439)),F439="Industry Readiness Program",ISNUMBER(SEARCH("Talenlio",F439))),9,
OR(ISNUMBER(SEARCH("Innovation",F439)),F439="Mini Project"),10,
OR(ISNUMBER(SEARCH("Data Science",F439)),ISNUMBER(SEARCH("DS",F439))),11,
ISNUMBER(SEARCH("Generative AI",F439)),12
=_xlfn.IFS(
OR(F439="Selenium (Hands-on)",F439="Guest Lecture: HR Interview"),6,
OR(F439="Soft Skill",F439="Soft Skill (Examination)",F439="AWS Training",F439="AWS Session"),7,
OR(ISNUMBER(SEARCH("MAD",F439)),ISNUMBER(SEARCH("STQA",F439)),F439="CI/CD Session"),8,
OR(ISNUMBER(SEARCH("Cloud",F439)),F439="Industry Readiness Program",ISNUMBER(SEARCH("Talenlio",F439))),9,
OR(ISNUMBER(SEARCH("Innovation",F439)),F439="Mini Project"),10,
OR(ISNUMBER(SEARCH("Data Science",F439)),ISNUMBER(SEARCH("DS",F439))),11,
ISNUMBER(SEARCH("Generative AI",F439)),12
=_xlfn.IFS(
OR(F439="Selenium (Hands-on)",F439="Guest Lecture: HR Interview"),6,
OR(F439="Soft Skill",F439="Soft Skill (Examination)",F439="AWS Training",F439="AWS Session"),7,
OR(ISNUMBER(SEARCH("MAD",F439)),ISNUMBER(SEARCH("STQA",F439)),F439="CI/CD Session"),8,
OR(ISNUMBER(SEARCH("Cloud",F439)),F439="Industry Readiness Program",ISNUMBER(SEARCH("Talenlio",F439))),9,
OR(ISNUMBER(SEARCH("Innovation",F439)),F439="Mini Project"),10,
OR(ISNUMBER(SEARCH("Data Science",F439)),ISNUMBER(SEARCH("DS",F439))),11,
ISNUMBER(SEARCH("Generative AI",F439)),12
))))</f>
        <v>9</v>
      </c>
      <c r="X439" s="3">
        <v>5</v>
      </c>
      <c r="Y439" s="3">
        <v>30</v>
      </c>
      <c r="Z439" s="3" t="s">
        <v>35</v>
      </c>
    </row>
    <row r="440" spans="1:26" x14ac:dyDescent="0.3">
      <c r="A440" s="2">
        <v>46217</v>
      </c>
      <c r="B440" s="3" t="s">
        <v>39</v>
      </c>
      <c r="C440" s="3">
        <v>4</v>
      </c>
      <c r="D440" s="4">
        <v>0.5625</v>
      </c>
      <c r="E440" s="4">
        <v>0.60416666666666696</v>
      </c>
      <c r="F440" s="3" t="s">
        <v>61</v>
      </c>
      <c r="G440" s="3" t="s">
        <v>60</v>
      </c>
      <c r="H440" s="3" t="s">
        <v>29</v>
      </c>
      <c r="I440" s="3" t="s">
        <v>30</v>
      </c>
      <c r="J440" s="3" t="s">
        <v>84</v>
      </c>
      <c r="K440" s="3" t="s">
        <v>52</v>
      </c>
      <c r="L440" s="5">
        <v>102</v>
      </c>
      <c r="M440" s="5">
        <f t="shared" ca="1" si="30"/>
        <v>82</v>
      </c>
      <c r="N440" s="6">
        <f t="shared" ca="1" si="31"/>
        <v>80.392156862745097</v>
      </c>
      <c r="O440" s="3" cm="1">
        <f t="array" aca="1" ref="O440" ca="1">IFERROR(LOOKUP(2, 1/((F$1:F439=F440)*(J$1:J439=J440)*(ROW(F$1:F439)&lt;ROW(F440))), N$1:N439), "")</f>
        <v>48.03921568627451</v>
      </c>
      <c r="P440" s="3">
        <f t="shared" si="34"/>
        <v>2</v>
      </c>
      <c r="Q440" s="3" t="s">
        <v>43</v>
      </c>
      <c r="R440" s="3" t="s">
        <v>40</v>
      </c>
      <c r="S440" s="3" t="str">
        <f t="shared" si="32"/>
        <v>No</v>
      </c>
      <c r="T440" s="3" t="s">
        <v>40</v>
      </c>
      <c r="U440" s="3" t="str">
        <f t="shared" si="33"/>
        <v>Rainy</v>
      </c>
      <c r="V440" s="3" t="s">
        <v>40</v>
      </c>
      <c r="W440" s="3" cm="1">
        <f t="array" ref="W440">_xlfn.IFS(
OR(F440="Selenium (Hands-on)",F440="Guest Lecture: HR Interview"),6,
OR(F440="Soft Skill",F440="Soft Skill (Examination)",F440="AWS Training",F440="AWS Session"),7,
OR(ISNUMBER(SEARCH("MAD",F440)),ISNUMBER(SEARCH("STQA",F440)),F440="CI/CD Session"),8,
OR(ISNUMBER(SEARCH("Cloud",F440)),F440="Industry Readiness Program",ISNUMBER(SEARCH("Talenlio",F440))),9,
OR(ISNUMBER(SEARCH("Innovation",F440)),F440="Mini Project"),10,
OR(ISNUMBER(SEARCH("Data Science",F440)),ISNUMBER(SEARCH("DS",F440))),11,
ISNUMBER(SEARCH("Generative AI",F440)),12
=_xlfn.IFS(
OR(F440="Selenium (Hands-on)",F440="Guest Lecture: HR Interview"),6,
OR(F440="Soft Skill",F440="Soft Skill (Examination)",F440="AWS Training",F440="AWS Session"),7,
OR(ISNUMBER(SEARCH("MAD",F440)),ISNUMBER(SEARCH("STQA",F440)),F440="CI/CD Session"),8,
OR(ISNUMBER(SEARCH("Cloud",F440)),F440="Industry Readiness Program",ISNUMBER(SEARCH("Talenlio",F440))),9,
OR(ISNUMBER(SEARCH("Innovation",F440)),F440="Mini Project"),10,
OR(ISNUMBER(SEARCH("Data Science",F440)),ISNUMBER(SEARCH("DS",F440))),11,
ISNUMBER(SEARCH("Generative AI",F440)),12
=_xlfn.IFS(
OR(F440="Selenium (Hands-on)",F440="Guest Lecture: HR Interview"),6,
OR(F440="Soft Skill",F440="Soft Skill (Examination)",F440="AWS Training",F440="AWS Session"),7,
OR(ISNUMBER(SEARCH("MAD",F440)),ISNUMBER(SEARCH("STQA",F440)),F440="CI/CD Session"),8,
OR(ISNUMBER(SEARCH("Cloud",F440)),F440="Industry Readiness Program",ISNUMBER(SEARCH("Talenlio",F440))),9,
OR(ISNUMBER(SEARCH("Innovation",F440)),F440="Mini Project"),10,
OR(ISNUMBER(SEARCH("Data Science",F440)),ISNUMBER(SEARCH("DS",F440))),11,
ISNUMBER(SEARCH("Generative AI",F440)),12
=_xlfn.IFS(
OR(F440="Selenium (Hands-on)",F440="Guest Lecture: HR Interview"),6,
OR(F440="Soft Skill",F440="Soft Skill (Examination)",F440="AWS Training",F440="AWS Session"),7,
OR(ISNUMBER(SEARCH("MAD",F440)),ISNUMBER(SEARCH("STQA",F440)),F440="CI/CD Session"),8,
OR(ISNUMBER(SEARCH("Cloud",F440)),F440="Industry Readiness Program",ISNUMBER(SEARCH("Talenlio",F440))),9,
OR(ISNUMBER(SEARCH("Innovation",F440)),F440="Mini Project"),10,
OR(ISNUMBER(SEARCH("Data Science",F440)),ISNUMBER(SEARCH("DS",F440))),11,
ISNUMBER(SEARCH("Generative AI",F440)),12
))))</f>
        <v>11</v>
      </c>
      <c r="X440" s="3">
        <v>5</v>
      </c>
      <c r="Y440" s="3">
        <v>30</v>
      </c>
      <c r="Z440" s="3" t="s">
        <v>38</v>
      </c>
    </row>
    <row r="441" spans="1:26" x14ac:dyDescent="0.3">
      <c r="A441" s="2">
        <v>46217</v>
      </c>
      <c r="B441" s="3" t="s">
        <v>39</v>
      </c>
      <c r="C441" s="3">
        <v>5</v>
      </c>
      <c r="D441" s="4">
        <v>0.60416666666666696</v>
      </c>
      <c r="E441" s="4">
        <v>0.64583333333333304</v>
      </c>
      <c r="F441" s="3" t="s">
        <v>61</v>
      </c>
      <c r="G441" s="3" t="s">
        <v>60</v>
      </c>
      <c r="H441" s="3" t="s">
        <v>29</v>
      </c>
      <c r="I441" s="3" t="s">
        <v>30</v>
      </c>
      <c r="J441" s="3" t="s">
        <v>84</v>
      </c>
      <c r="K441" s="3" t="s">
        <v>52</v>
      </c>
      <c r="L441" s="5">
        <v>102</v>
      </c>
      <c r="M441" s="5">
        <f t="shared" ca="1" si="30"/>
        <v>58</v>
      </c>
      <c r="N441" s="6">
        <f t="shared" ca="1" si="31"/>
        <v>56.862745098039213</v>
      </c>
      <c r="O441" s="3" cm="1">
        <f t="array" aca="1" ref="O441" ca="1">IFERROR(LOOKUP(2, 1/((F$1:F440=F441)*(J$1:J440=J441)*(ROW(F$1:F440)&lt;ROW(F441))), N$1:N440), "")</f>
        <v>80.392156862745097</v>
      </c>
      <c r="P441" s="3">
        <f t="shared" si="34"/>
        <v>0</v>
      </c>
      <c r="Q441" s="3" t="s">
        <v>43</v>
      </c>
      <c r="R441" s="3" t="s">
        <v>40</v>
      </c>
      <c r="S441" s="3" t="str">
        <f t="shared" si="32"/>
        <v>No</v>
      </c>
      <c r="T441" s="3" t="s">
        <v>40</v>
      </c>
      <c r="U441" s="3" t="str">
        <f t="shared" si="33"/>
        <v>Rainy</v>
      </c>
      <c r="V441" s="3" t="s">
        <v>40</v>
      </c>
      <c r="W441" s="3" cm="1">
        <f t="array" ref="W441">_xlfn.IFS(
OR(F441="Selenium (Hands-on)",F441="Guest Lecture: HR Interview"),6,
OR(F441="Soft Skill",F441="Soft Skill (Examination)",F441="AWS Training",F441="AWS Session"),7,
OR(ISNUMBER(SEARCH("MAD",F441)),ISNUMBER(SEARCH("STQA",F441)),F441="CI/CD Session"),8,
OR(ISNUMBER(SEARCH("Cloud",F441)),F441="Industry Readiness Program",ISNUMBER(SEARCH("Talenlio",F441))),9,
OR(ISNUMBER(SEARCH("Innovation",F441)),F441="Mini Project"),10,
OR(ISNUMBER(SEARCH("Data Science",F441)),ISNUMBER(SEARCH("DS",F441))),11,
ISNUMBER(SEARCH("Generative AI",F441)),12
=_xlfn.IFS(
OR(F441="Selenium (Hands-on)",F441="Guest Lecture: HR Interview"),6,
OR(F441="Soft Skill",F441="Soft Skill (Examination)",F441="AWS Training",F441="AWS Session"),7,
OR(ISNUMBER(SEARCH("MAD",F441)),ISNUMBER(SEARCH("STQA",F441)),F441="CI/CD Session"),8,
OR(ISNUMBER(SEARCH("Cloud",F441)),F441="Industry Readiness Program",ISNUMBER(SEARCH("Talenlio",F441))),9,
OR(ISNUMBER(SEARCH("Innovation",F441)),F441="Mini Project"),10,
OR(ISNUMBER(SEARCH("Data Science",F441)),ISNUMBER(SEARCH("DS",F441))),11,
ISNUMBER(SEARCH("Generative AI",F441)),12
=_xlfn.IFS(
OR(F441="Selenium (Hands-on)",F441="Guest Lecture: HR Interview"),6,
OR(F441="Soft Skill",F441="Soft Skill (Examination)",F441="AWS Training",F441="AWS Session"),7,
OR(ISNUMBER(SEARCH("MAD",F441)),ISNUMBER(SEARCH("STQA",F441)),F441="CI/CD Session"),8,
OR(ISNUMBER(SEARCH("Cloud",F441)),F441="Industry Readiness Program",ISNUMBER(SEARCH("Talenlio",F441))),9,
OR(ISNUMBER(SEARCH("Innovation",F441)),F441="Mini Project"),10,
OR(ISNUMBER(SEARCH("Data Science",F441)),ISNUMBER(SEARCH("DS",F441))),11,
ISNUMBER(SEARCH("Generative AI",F441)),12
=_xlfn.IFS(
OR(F441="Selenium (Hands-on)",F441="Guest Lecture: HR Interview"),6,
OR(F441="Soft Skill",F441="Soft Skill (Examination)",F441="AWS Training",F441="AWS Session"),7,
OR(ISNUMBER(SEARCH("MAD",F441)),ISNUMBER(SEARCH("STQA",F441)),F441="CI/CD Session"),8,
OR(ISNUMBER(SEARCH("Cloud",F441)),F441="Industry Readiness Program",ISNUMBER(SEARCH("Talenlio",F441))),9,
OR(ISNUMBER(SEARCH("Innovation",F441)),F441="Mini Project"),10,
OR(ISNUMBER(SEARCH("Data Science",F441)),ISNUMBER(SEARCH("DS",F441))),11,
ISNUMBER(SEARCH("Generative AI",F441)),12
))))</f>
        <v>11</v>
      </c>
      <c r="X441" s="3">
        <v>5</v>
      </c>
      <c r="Y441" s="3">
        <v>30</v>
      </c>
      <c r="Z441" s="3" t="s">
        <v>38</v>
      </c>
    </row>
    <row r="442" spans="1:26" x14ac:dyDescent="0.3">
      <c r="A442" s="2">
        <v>46218</v>
      </c>
      <c r="B442" s="3" t="s">
        <v>44</v>
      </c>
      <c r="C442" s="3">
        <v>1</v>
      </c>
      <c r="D442" s="4">
        <v>0.35416666666666702</v>
      </c>
      <c r="E442" s="4">
        <v>0.38541666666666702</v>
      </c>
      <c r="F442" s="3" t="s">
        <v>50</v>
      </c>
      <c r="G442" s="3" t="s">
        <v>51</v>
      </c>
      <c r="H442" s="3" t="s">
        <v>29</v>
      </c>
      <c r="I442" s="3" t="s">
        <v>30</v>
      </c>
      <c r="J442" s="3" t="s">
        <v>84</v>
      </c>
      <c r="K442" s="3" t="s">
        <v>52</v>
      </c>
      <c r="L442" s="5">
        <v>102</v>
      </c>
      <c r="M442" s="5">
        <f t="shared" ca="1" si="30"/>
        <v>41</v>
      </c>
      <c r="N442" s="6">
        <f t="shared" ca="1" si="31"/>
        <v>40.196078431372548</v>
      </c>
      <c r="O442" s="3" cm="1">
        <f t="array" aca="1" ref="O442" ca="1">IFERROR(LOOKUP(2, 1/((F$1:F441=F442)*(J$1:J441=J442)*(ROW(F$1:F441)&lt;ROW(F442))), N$1:N441), "")</f>
        <v>84.313725490196077</v>
      </c>
      <c r="P442" s="3">
        <f t="shared" si="34"/>
        <v>0</v>
      </c>
      <c r="Q442" s="3" t="s">
        <v>43</v>
      </c>
      <c r="R442" s="3" t="s">
        <v>40</v>
      </c>
      <c r="S442" s="3" t="str">
        <f t="shared" si="32"/>
        <v>No</v>
      </c>
      <c r="T442" s="3" t="s">
        <v>40</v>
      </c>
      <c r="U442" s="3" t="str">
        <f t="shared" si="33"/>
        <v>Rainy</v>
      </c>
      <c r="V442" s="3" t="s">
        <v>40</v>
      </c>
      <c r="W442" s="3" cm="1">
        <f t="array" ref="W442">_xlfn.IFS(
OR(F442="Selenium (Hands-on)",F442="Guest Lecture: HR Interview"),6,
OR(F442="Soft Skill",F442="Soft Skill (Examination)",F442="AWS Training",F442="AWS Session"),7,
OR(ISNUMBER(SEARCH("MAD",F442)),ISNUMBER(SEARCH("STQA",F442)),F442="CI/CD Session"),8,
OR(ISNUMBER(SEARCH("Cloud",F442)),F442="Industry Readiness Program",ISNUMBER(SEARCH("Talenlio",F442))),9,
OR(ISNUMBER(SEARCH("Innovation",F442)),F442="Mini Project"),10,
OR(ISNUMBER(SEARCH("Data Science",F442)),ISNUMBER(SEARCH("DS",F442))),11,
ISNUMBER(SEARCH("Generative AI",F442)),12
=_xlfn.IFS(
OR(F442="Selenium (Hands-on)",F442="Guest Lecture: HR Interview"),6,
OR(F442="Soft Skill",F442="Soft Skill (Examination)",F442="AWS Training",F442="AWS Session"),7,
OR(ISNUMBER(SEARCH("MAD",F442)),ISNUMBER(SEARCH("STQA",F442)),F442="CI/CD Session"),8,
OR(ISNUMBER(SEARCH("Cloud",F442)),F442="Industry Readiness Program",ISNUMBER(SEARCH("Talenlio",F442))),9,
OR(ISNUMBER(SEARCH("Innovation",F442)),F442="Mini Project"),10,
OR(ISNUMBER(SEARCH("Data Science",F442)),ISNUMBER(SEARCH("DS",F442))),11,
ISNUMBER(SEARCH("Generative AI",F442)),12
=_xlfn.IFS(
OR(F442="Selenium (Hands-on)",F442="Guest Lecture: HR Interview"),6,
OR(F442="Soft Skill",F442="Soft Skill (Examination)",F442="AWS Training",F442="AWS Session"),7,
OR(ISNUMBER(SEARCH("MAD",F442)),ISNUMBER(SEARCH("STQA",F442)),F442="CI/CD Session"),8,
OR(ISNUMBER(SEARCH("Cloud",F442)),F442="Industry Readiness Program",ISNUMBER(SEARCH("Talenlio",F442))),9,
OR(ISNUMBER(SEARCH("Innovation",F442)),F442="Mini Project"),10,
OR(ISNUMBER(SEARCH("Data Science",F442)),ISNUMBER(SEARCH("DS",F442))),11,
ISNUMBER(SEARCH("Generative AI",F442)),12
=_xlfn.IFS(
OR(F442="Selenium (Hands-on)",F442="Guest Lecture: HR Interview"),6,
OR(F442="Soft Skill",F442="Soft Skill (Examination)",F442="AWS Training",F442="AWS Session"),7,
OR(ISNUMBER(SEARCH("MAD",F442)),ISNUMBER(SEARCH("STQA",F442)),F442="CI/CD Session"),8,
OR(ISNUMBER(SEARCH("Cloud",F442)),F442="Industry Readiness Program",ISNUMBER(SEARCH("Talenlio",F442))),9,
OR(ISNUMBER(SEARCH("Innovation",F442)),F442="Mini Project"),10,
OR(ISNUMBER(SEARCH("Data Science",F442)),ISNUMBER(SEARCH("DS",F442))),11,
ISNUMBER(SEARCH("Generative AI",F442)),12
))))</f>
        <v>8</v>
      </c>
      <c r="X442" s="3">
        <v>5</v>
      </c>
      <c r="Y442" s="3">
        <v>31</v>
      </c>
      <c r="Z442" s="3" t="s">
        <v>35</v>
      </c>
    </row>
    <row r="443" spans="1:26" x14ac:dyDescent="0.3">
      <c r="A443" s="2">
        <v>46218</v>
      </c>
      <c r="B443" s="3" t="s">
        <v>44</v>
      </c>
      <c r="C443" s="3">
        <v>2</v>
      </c>
      <c r="D443" s="4">
        <v>0.39583333333333298</v>
      </c>
      <c r="E443" s="4">
        <v>0.4375</v>
      </c>
      <c r="F443" s="3" t="s">
        <v>50</v>
      </c>
      <c r="G443" s="3" t="s">
        <v>51</v>
      </c>
      <c r="H443" s="3" t="s">
        <v>29</v>
      </c>
      <c r="I443" s="3" t="s">
        <v>30</v>
      </c>
      <c r="J443" s="3" t="s">
        <v>84</v>
      </c>
      <c r="K443" s="3" t="s">
        <v>52</v>
      </c>
      <c r="L443" s="5">
        <v>102</v>
      </c>
      <c r="M443" s="5">
        <f t="shared" ca="1" si="30"/>
        <v>103</v>
      </c>
      <c r="N443" s="6">
        <f t="shared" ca="1" si="31"/>
        <v>100.98039215686273</v>
      </c>
      <c r="O443" s="3" cm="1">
        <f t="array" aca="1" ref="O443" ca="1">IFERROR(LOOKUP(2, 1/((F$1:F442=F443)*(J$1:J442=J443)*(ROW(F$1:F442)&lt;ROW(F443))), N$1:N442), "")</f>
        <v>40.196078431372548</v>
      </c>
      <c r="P443" s="3">
        <f t="shared" si="34"/>
        <v>0.25</v>
      </c>
      <c r="Q443" s="3" t="s">
        <v>43</v>
      </c>
      <c r="R443" s="3" t="s">
        <v>40</v>
      </c>
      <c r="S443" s="3" t="str">
        <f t="shared" si="32"/>
        <v>No</v>
      </c>
      <c r="T443" s="3" t="s">
        <v>40</v>
      </c>
      <c r="U443" s="3" t="str">
        <f t="shared" si="33"/>
        <v>Rainy</v>
      </c>
      <c r="V443" s="3" t="s">
        <v>40</v>
      </c>
      <c r="W443" s="3" cm="1">
        <f t="array" ref="W443">_xlfn.IFS(
OR(F443="Selenium (Hands-on)",F443="Guest Lecture: HR Interview"),6,
OR(F443="Soft Skill",F443="Soft Skill (Examination)",F443="AWS Training",F443="AWS Session"),7,
OR(ISNUMBER(SEARCH("MAD",F443)),ISNUMBER(SEARCH("STQA",F443)),F443="CI/CD Session"),8,
OR(ISNUMBER(SEARCH("Cloud",F443)),F443="Industry Readiness Program",ISNUMBER(SEARCH("Talenlio",F443))),9,
OR(ISNUMBER(SEARCH("Innovation",F443)),F443="Mini Project"),10,
OR(ISNUMBER(SEARCH("Data Science",F443)),ISNUMBER(SEARCH("DS",F443))),11,
ISNUMBER(SEARCH("Generative AI",F443)),12
=_xlfn.IFS(
OR(F443="Selenium (Hands-on)",F443="Guest Lecture: HR Interview"),6,
OR(F443="Soft Skill",F443="Soft Skill (Examination)",F443="AWS Training",F443="AWS Session"),7,
OR(ISNUMBER(SEARCH("MAD",F443)),ISNUMBER(SEARCH("STQA",F443)),F443="CI/CD Session"),8,
OR(ISNUMBER(SEARCH("Cloud",F443)),F443="Industry Readiness Program",ISNUMBER(SEARCH("Talenlio",F443))),9,
OR(ISNUMBER(SEARCH("Innovation",F443)),F443="Mini Project"),10,
OR(ISNUMBER(SEARCH("Data Science",F443)),ISNUMBER(SEARCH("DS",F443))),11,
ISNUMBER(SEARCH("Generative AI",F443)),12
=_xlfn.IFS(
OR(F443="Selenium (Hands-on)",F443="Guest Lecture: HR Interview"),6,
OR(F443="Soft Skill",F443="Soft Skill (Examination)",F443="AWS Training",F443="AWS Session"),7,
OR(ISNUMBER(SEARCH("MAD",F443)),ISNUMBER(SEARCH("STQA",F443)),F443="CI/CD Session"),8,
OR(ISNUMBER(SEARCH("Cloud",F443)),F443="Industry Readiness Program",ISNUMBER(SEARCH("Talenlio",F443))),9,
OR(ISNUMBER(SEARCH("Innovation",F443)),F443="Mini Project"),10,
OR(ISNUMBER(SEARCH("Data Science",F443)),ISNUMBER(SEARCH("DS",F443))),11,
ISNUMBER(SEARCH("Generative AI",F443)),12
=_xlfn.IFS(
OR(F443="Selenium (Hands-on)",F443="Guest Lecture: HR Interview"),6,
OR(F443="Soft Skill",F443="Soft Skill (Examination)",F443="AWS Training",F443="AWS Session"),7,
OR(ISNUMBER(SEARCH("MAD",F443)),ISNUMBER(SEARCH("STQA",F443)),F443="CI/CD Session"),8,
OR(ISNUMBER(SEARCH("Cloud",F443)),F443="Industry Readiness Program",ISNUMBER(SEARCH("Talenlio",F443))),9,
OR(ISNUMBER(SEARCH("Innovation",F443)),F443="Mini Project"),10,
OR(ISNUMBER(SEARCH("Data Science",F443)),ISNUMBER(SEARCH("DS",F443))),11,
ISNUMBER(SEARCH("Generative AI",F443)),12
))))</f>
        <v>8</v>
      </c>
      <c r="X443" s="3">
        <v>5</v>
      </c>
      <c r="Y443" s="3">
        <v>31</v>
      </c>
      <c r="Z443" s="3" t="s">
        <v>35</v>
      </c>
    </row>
    <row r="444" spans="1:26" x14ac:dyDescent="0.3">
      <c r="A444" s="2">
        <v>46218</v>
      </c>
      <c r="B444" s="3" t="s">
        <v>44</v>
      </c>
      <c r="C444" s="3">
        <v>3</v>
      </c>
      <c r="D444" s="4">
        <v>0.4375</v>
      </c>
      <c r="E444" s="4">
        <v>0.47916666666666702</v>
      </c>
      <c r="F444" s="3" t="s">
        <v>62</v>
      </c>
      <c r="G444" s="3" t="s">
        <v>56</v>
      </c>
      <c r="H444" s="3" t="s">
        <v>29</v>
      </c>
      <c r="I444" s="3" t="s">
        <v>30</v>
      </c>
      <c r="J444" s="3" t="s">
        <v>84</v>
      </c>
      <c r="K444" s="3" t="s">
        <v>52</v>
      </c>
      <c r="L444" s="5">
        <v>102</v>
      </c>
      <c r="M444" s="5">
        <f t="shared" ca="1" si="30"/>
        <v>80</v>
      </c>
      <c r="N444" s="6">
        <f t="shared" ca="1" si="31"/>
        <v>78.431372549019613</v>
      </c>
      <c r="O444" s="3" cm="1">
        <f t="array" aca="1" ref="O444" ca="1">IFERROR(LOOKUP(2, 1/((F$1:F443=F444)*(J$1:J443=J444)*(ROW(F$1:F443)&lt;ROW(F444))), N$1:N443), "")</f>
        <v>60.784313725490193</v>
      </c>
      <c r="P444" s="3">
        <f t="shared" si="34"/>
        <v>0</v>
      </c>
      <c r="Q444" s="3" t="s">
        <v>33</v>
      </c>
      <c r="R444" s="3" t="s">
        <v>40</v>
      </c>
      <c r="S444" s="3" t="str">
        <f t="shared" si="32"/>
        <v>No</v>
      </c>
      <c r="T444" s="3" t="s">
        <v>40</v>
      </c>
      <c r="U444" s="3" t="str">
        <f t="shared" si="33"/>
        <v>Rainy</v>
      </c>
      <c r="V444" s="3" t="s">
        <v>40</v>
      </c>
      <c r="W444" s="3">
        <v>7</v>
      </c>
      <c r="X444" s="3">
        <v>5</v>
      </c>
      <c r="Y444" s="3">
        <v>31</v>
      </c>
      <c r="Z444" s="3" t="s">
        <v>35</v>
      </c>
    </row>
    <row r="445" spans="1:26" x14ac:dyDescent="0.3">
      <c r="A445" s="2">
        <v>46218</v>
      </c>
      <c r="B445" s="3" t="s">
        <v>44</v>
      </c>
      <c r="C445" s="3">
        <v>4</v>
      </c>
      <c r="D445" s="4">
        <v>0.5625</v>
      </c>
      <c r="E445" s="4">
        <v>0.60416666666666696</v>
      </c>
      <c r="F445" s="3" t="s">
        <v>53</v>
      </c>
      <c r="G445" s="3" t="s">
        <v>54</v>
      </c>
      <c r="H445" s="3" t="s">
        <v>29</v>
      </c>
      <c r="I445" s="3" t="s">
        <v>30</v>
      </c>
      <c r="J445" s="3" t="s">
        <v>84</v>
      </c>
      <c r="K445" s="3" t="s">
        <v>52</v>
      </c>
      <c r="L445" s="5">
        <v>102</v>
      </c>
      <c r="M445" s="5">
        <f t="shared" ca="1" si="30"/>
        <v>72</v>
      </c>
      <c r="N445" s="6">
        <f t="shared" ca="1" si="31"/>
        <v>70.588235294117652</v>
      </c>
      <c r="O445" s="3" cm="1">
        <f t="array" aca="1" ref="O445" ca="1">IFERROR(LOOKUP(2, 1/((F$1:F444=F445)*(J$1:J444=J445)*(ROW(F$1:F444)&lt;ROW(F445))), N$1:N444), "")</f>
        <v>46.078431372549019</v>
      </c>
      <c r="P445" s="3">
        <f t="shared" si="34"/>
        <v>2</v>
      </c>
      <c r="Q445" s="3" t="s">
        <v>33</v>
      </c>
      <c r="R445" s="3" t="s">
        <v>40</v>
      </c>
      <c r="S445" s="3" t="str">
        <f t="shared" si="32"/>
        <v>No</v>
      </c>
      <c r="T445" s="3" t="s">
        <v>40</v>
      </c>
      <c r="U445" s="3" t="str">
        <f t="shared" si="33"/>
        <v>Rainy</v>
      </c>
      <c r="V445" s="3" t="s">
        <v>40</v>
      </c>
      <c r="W445" s="3" cm="1">
        <f t="array" ref="W445">_xlfn.IFS(
OR(F445="Selenium (Hands-on)",F445="Guest Lecture: HR Interview"),6,
OR(F445="Soft Skill",F445="Soft Skill (Examination)",F445="AWS Training",F445="AWS Session"),7,
OR(ISNUMBER(SEARCH("MAD",F445)),ISNUMBER(SEARCH("STQA",F445)),F445="CI/CD Session"),8,
OR(ISNUMBER(SEARCH("Cloud",F445)),F445="Industry Readiness Program",ISNUMBER(SEARCH("Talenlio",F445))),9,
OR(ISNUMBER(SEARCH("Innovation",F445)),F445="Mini Project"),10,
OR(ISNUMBER(SEARCH("Data Science",F445)),ISNUMBER(SEARCH("DS",F445))),11,
ISNUMBER(SEARCH("Generative AI",F445)),12
=_xlfn.IFS(
OR(F445="Selenium (Hands-on)",F445="Guest Lecture: HR Interview"),6,
OR(F445="Soft Skill",F445="Soft Skill (Examination)",F445="AWS Training",F445="AWS Session"),7,
OR(ISNUMBER(SEARCH("MAD",F445)),ISNUMBER(SEARCH("STQA",F445)),F445="CI/CD Session"),8,
OR(ISNUMBER(SEARCH("Cloud",F445)),F445="Industry Readiness Program",ISNUMBER(SEARCH("Talenlio",F445))),9,
OR(ISNUMBER(SEARCH("Innovation",F445)),F445="Mini Project"),10,
OR(ISNUMBER(SEARCH("Data Science",F445)),ISNUMBER(SEARCH("DS",F445))),11,
ISNUMBER(SEARCH("Generative AI",F445)),12
=_xlfn.IFS(
OR(F445="Selenium (Hands-on)",F445="Guest Lecture: HR Interview"),6,
OR(F445="Soft Skill",F445="Soft Skill (Examination)",F445="AWS Training",F445="AWS Session"),7,
OR(ISNUMBER(SEARCH("MAD",F445)),ISNUMBER(SEARCH("STQA",F445)),F445="CI/CD Session"),8,
OR(ISNUMBER(SEARCH("Cloud",F445)),F445="Industry Readiness Program",ISNUMBER(SEARCH("Talenlio",F445))),9,
OR(ISNUMBER(SEARCH("Innovation",F445)),F445="Mini Project"),10,
OR(ISNUMBER(SEARCH("Data Science",F445)),ISNUMBER(SEARCH("DS",F445))),11,
ISNUMBER(SEARCH("Generative AI",F445)),12
=_xlfn.IFS(
OR(F445="Selenium (Hands-on)",F445="Guest Lecture: HR Interview"),6,
OR(F445="Soft Skill",F445="Soft Skill (Examination)",F445="AWS Training",F445="AWS Session"),7,
OR(ISNUMBER(SEARCH("MAD",F445)),ISNUMBER(SEARCH("STQA",F445)),F445="CI/CD Session"),8,
OR(ISNUMBER(SEARCH("Cloud",F445)),F445="Industry Readiness Program",ISNUMBER(SEARCH("Talenlio",F445))),9,
OR(ISNUMBER(SEARCH("Innovation",F445)),F445="Mini Project"),10,
OR(ISNUMBER(SEARCH("Data Science",F445)),ISNUMBER(SEARCH("DS",F445))),11,
ISNUMBER(SEARCH("Generative AI",F445)),12
))))</f>
        <v>10</v>
      </c>
      <c r="X445" s="3">
        <v>5</v>
      </c>
      <c r="Y445" s="3">
        <v>31</v>
      </c>
      <c r="Z445" s="3" t="s">
        <v>38</v>
      </c>
    </row>
    <row r="446" spans="1:26" x14ac:dyDescent="0.3">
      <c r="A446" s="2">
        <v>46218</v>
      </c>
      <c r="B446" s="3" t="s">
        <v>44</v>
      </c>
      <c r="C446" s="3">
        <v>5</v>
      </c>
      <c r="D446" s="4">
        <v>0.60416666666666696</v>
      </c>
      <c r="E446" s="4">
        <v>0.64583333333333304</v>
      </c>
      <c r="F446" s="3" t="s">
        <v>53</v>
      </c>
      <c r="G446" s="3" t="s">
        <v>54</v>
      </c>
      <c r="H446" s="3" t="s">
        <v>29</v>
      </c>
      <c r="I446" s="3" t="s">
        <v>30</v>
      </c>
      <c r="J446" s="3" t="s">
        <v>84</v>
      </c>
      <c r="K446" s="3" t="s">
        <v>52</v>
      </c>
      <c r="L446" s="5">
        <v>102</v>
      </c>
      <c r="M446" s="5">
        <f t="shared" ca="1" si="30"/>
        <v>97</v>
      </c>
      <c r="N446" s="6">
        <f t="shared" ca="1" si="31"/>
        <v>95.098039215686271</v>
      </c>
      <c r="O446" s="3" cm="1">
        <f t="array" aca="1" ref="O446" ca="1">IFERROR(LOOKUP(2, 1/((F$1:F445=F446)*(J$1:J445=J446)*(ROW(F$1:F445)&lt;ROW(F446))), N$1:N445), "")</f>
        <v>70.588235294117652</v>
      </c>
      <c r="P446" s="3">
        <f t="shared" si="34"/>
        <v>0</v>
      </c>
      <c r="Q446" s="3" t="s">
        <v>33</v>
      </c>
      <c r="R446" s="3" t="s">
        <v>40</v>
      </c>
      <c r="S446" s="3" t="str">
        <f t="shared" si="32"/>
        <v>No</v>
      </c>
      <c r="T446" s="3" t="s">
        <v>40</v>
      </c>
      <c r="U446" s="3" t="str">
        <f t="shared" si="33"/>
        <v>Rainy</v>
      </c>
      <c r="V446" s="3" t="s">
        <v>40</v>
      </c>
      <c r="W446" s="3" cm="1">
        <f t="array" ref="W446">_xlfn.IFS(
OR(F446="Selenium (Hands-on)",F446="Guest Lecture: HR Interview"),6,
OR(F446="Soft Skill",F446="Soft Skill (Examination)",F446="AWS Training",F446="AWS Session"),7,
OR(ISNUMBER(SEARCH("MAD",F446)),ISNUMBER(SEARCH("STQA",F446)),F446="CI/CD Session"),8,
OR(ISNUMBER(SEARCH("Cloud",F446)),F446="Industry Readiness Program",ISNUMBER(SEARCH("Talenlio",F446))),9,
OR(ISNUMBER(SEARCH("Innovation",F446)),F446="Mini Project"),10,
OR(ISNUMBER(SEARCH("Data Science",F446)),ISNUMBER(SEARCH("DS",F446))),11,
ISNUMBER(SEARCH("Generative AI",F446)),12
=_xlfn.IFS(
OR(F446="Selenium (Hands-on)",F446="Guest Lecture: HR Interview"),6,
OR(F446="Soft Skill",F446="Soft Skill (Examination)",F446="AWS Training",F446="AWS Session"),7,
OR(ISNUMBER(SEARCH("MAD",F446)),ISNUMBER(SEARCH("STQA",F446)),F446="CI/CD Session"),8,
OR(ISNUMBER(SEARCH("Cloud",F446)),F446="Industry Readiness Program",ISNUMBER(SEARCH("Talenlio",F446))),9,
OR(ISNUMBER(SEARCH("Innovation",F446)),F446="Mini Project"),10,
OR(ISNUMBER(SEARCH("Data Science",F446)),ISNUMBER(SEARCH("DS",F446))),11,
ISNUMBER(SEARCH("Generative AI",F446)),12
=_xlfn.IFS(
OR(F446="Selenium (Hands-on)",F446="Guest Lecture: HR Interview"),6,
OR(F446="Soft Skill",F446="Soft Skill (Examination)",F446="AWS Training",F446="AWS Session"),7,
OR(ISNUMBER(SEARCH("MAD",F446)),ISNUMBER(SEARCH("STQA",F446)),F446="CI/CD Session"),8,
OR(ISNUMBER(SEARCH("Cloud",F446)),F446="Industry Readiness Program",ISNUMBER(SEARCH("Talenlio",F446))),9,
OR(ISNUMBER(SEARCH("Innovation",F446)),F446="Mini Project"),10,
OR(ISNUMBER(SEARCH("Data Science",F446)),ISNUMBER(SEARCH("DS",F446))),11,
ISNUMBER(SEARCH("Generative AI",F446)),12
=_xlfn.IFS(
OR(F446="Selenium (Hands-on)",F446="Guest Lecture: HR Interview"),6,
OR(F446="Soft Skill",F446="Soft Skill (Examination)",F446="AWS Training",F446="AWS Session"),7,
OR(ISNUMBER(SEARCH("MAD",F446)),ISNUMBER(SEARCH("STQA",F446)),F446="CI/CD Session"),8,
OR(ISNUMBER(SEARCH("Cloud",F446)),F446="Industry Readiness Program",ISNUMBER(SEARCH("Talenlio",F446))),9,
OR(ISNUMBER(SEARCH("Innovation",F446)),F446="Mini Project"),10,
OR(ISNUMBER(SEARCH("Data Science",F446)),ISNUMBER(SEARCH("DS",F446))),11,
ISNUMBER(SEARCH("Generative AI",F446)),12
))))</f>
        <v>10</v>
      </c>
      <c r="X446" s="3">
        <v>5</v>
      </c>
      <c r="Y446" s="3">
        <v>31</v>
      </c>
      <c r="Z446" s="3" t="s">
        <v>38</v>
      </c>
    </row>
    <row r="447" spans="1:26" x14ac:dyDescent="0.3">
      <c r="A447" s="2">
        <v>46219</v>
      </c>
      <c r="B447" s="3" t="s">
        <v>45</v>
      </c>
      <c r="C447" s="3">
        <v>1</v>
      </c>
      <c r="D447" s="4">
        <v>0.35416666666666702</v>
      </c>
      <c r="E447" s="4">
        <v>0.38541666666666702</v>
      </c>
      <c r="F447" s="3" t="s">
        <v>50</v>
      </c>
      <c r="G447" s="3" t="s">
        <v>51</v>
      </c>
      <c r="H447" s="3" t="s">
        <v>29</v>
      </c>
      <c r="I447" s="3" t="s">
        <v>30</v>
      </c>
      <c r="J447" s="3" t="s">
        <v>84</v>
      </c>
      <c r="K447" s="3" t="s">
        <v>52</v>
      </c>
      <c r="L447" s="5">
        <v>102</v>
      </c>
      <c r="M447" s="5">
        <f t="shared" ca="1" si="30"/>
        <v>62</v>
      </c>
      <c r="N447" s="6">
        <f t="shared" ca="1" si="31"/>
        <v>60.784313725490193</v>
      </c>
      <c r="O447" s="3" cm="1">
        <f t="array" aca="1" ref="O447" ca="1">IFERROR(LOOKUP(2, 1/((F$1:F446=F447)*(J$1:J446=J447)*(ROW(F$1:F446)&lt;ROW(F447))), N$1:N446), "")</f>
        <v>100.98039215686273</v>
      </c>
      <c r="P447" s="3">
        <f t="shared" si="34"/>
        <v>0</v>
      </c>
      <c r="Q447" s="3" t="s">
        <v>43</v>
      </c>
      <c r="R447" s="3" t="s">
        <v>40</v>
      </c>
      <c r="S447" s="3" t="str">
        <f t="shared" si="32"/>
        <v>No</v>
      </c>
      <c r="T447" s="3" t="s">
        <v>40</v>
      </c>
      <c r="U447" s="3" t="str">
        <f t="shared" si="33"/>
        <v>Rainy</v>
      </c>
      <c r="V447" s="3" t="s">
        <v>40</v>
      </c>
      <c r="W447" s="3" cm="1">
        <f t="array" ref="W447">_xlfn.IFS(
OR(F447="Selenium (Hands-on)",F447="Guest Lecture: HR Interview"),6,
OR(F447="Soft Skill",F447="Soft Skill (Examination)",F447="AWS Training",F447="AWS Session"),7,
OR(ISNUMBER(SEARCH("MAD",F447)),ISNUMBER(SEARCH("STQA",F447)),F447="CI/CD Session"),8,
OR(ISNUMBER(SEARCH("Cloud",F447)),F447="Industry Readiness Program",ISNUMBER(SEARCH("Talenlio",F447))),9,
OR(ISNUMBER(SEARCH("Innovation",F447)),F447="Mini Project"),10,
OR(ISNUMBER(SEARCH("Data Science",F447)),ISNUMBER(SEARCH("DS",F447))),11,
ISNUMBER(SEARCH("Generative AI",F447)),12
=_xlfn.IFS(
OR(F447="Selenium (Hands-on)",F447="Guest Lecture: HR Interview"),6,
OR(F447="Soft Skill",F447="Soft Skill (Examination)",F447="AWS Training",F447="AWS Session"),7,
OR(ISNUMBER(SEARCH("MAD",F447)),ISNUMBER(SEARCH("STQA",F447)),F447="CI/CD Session"),8,
OR(ISNUMBER(SEARCH("Cloud",F447)),F447="Industry Readiness Program",ISNUMBER(SEARCH("Talenlio",F447))),9,
OR(ISNUMBER(SEARCH("Innovation",F447)),F447="Mini Project"),10,
OR(ISNUMBER(SEARCH("Data Science",F447)),ISNUMBER(SEARCH("DS",F447))),11,
ISNUMBER(SEARCH("Generative AI",F447)),12
=_xlfn.IFS(
OR(F447="Selenium (Hands-on)",F447="Guest Lecture: HR Interview"),6,
OR(F447="Soft Skill",F447="Soft Skill (Examination)",F447="AWS Training",F447="AWS Session"),7,
OR(ISNUMBER(SEARCH("MAD",F447)),ISNUMBER(SEARCH("STQA",F447)),F447="CI/CD Session"),8,
OR(ISNUMBER(SEARCH("Cloud",F447)),F447="Industry Readiness Program",ISNUMBER(SEARCH("Talenlio",F447))),9,
OR(ISNUMBER(SEARCH("Innovation",F447)),F447="Mini Project"),10,
OR(ISNUMBER(SEARCH("Data Science",F447)),ISNUMBER(SEARCH("DS",F447))),11,
ISNUMBER(SEARCH("Generative AI",F447)),12
=_xlfn.IFS(
OR(F447="Selenium (Hands-on)",F447="Guest Lecture: HR Interview"),6,
OR(F447="Soft Skill",F447="Soft Skill (Examination)",F447="AWS Training",F447="AWS Session"),7,
OR(ISNUMBER(SEARCH("MAD",F447)),ISNUMBER(SEARCH("STQA",F447)),F447="CI/CD Session"),8,
OR(ISNUMBER(SEARCH("Cloud",F447)),F447="Industry Readiness Program",ISNUMBER(SEARCH("Talenlio",F447))),9,
OR(ISNUMBER(SEARCH("Innovation",F447)),F447="Mini Project"),10,
OR(ISNUMBER(SEARCH("Data Science",F447)),ISNUMBER(SEARCH("DS",F447))),11,
ISNUMBER(SEARCH("Generative AI",F447)),12
))))</f>
        <v>8</v>
      </c>
      <c r="X447" s="3">
        <v>5</v>
      </c>
      <c r="Y447" s="3">
        <v>32</v>
      </c>
      <c r="Z447" s="3" t="s">
        <v>35</v>
      </c>
    </row>
    <row r="448" spans="1:26" x14ac:dyDescent="0.3">
      <c r="A448" s="2">
        <v>46219</v>
      </c>
      <c r="B448" s="3" t="s">
        <v>45</v>
      </c>
      <c r="C448" s="3">
        <v>2</v>
      </c>
      <c r="D448" s="4">
        <v>0.39583333333333298</v>
      </c>
      <c r="E448" s="4">
        <v>0.4375</v>
      </c>
      <c r="F448" s="3" t="s">
        <v>50</v>
      </c>
      <c r="G448" s="3" t="s">
        <v>51</v>
      </c>
      <c r="H448" s="3" t="s">
        <v>29</v>
      </c>
      <c r="I448" s="3" t="s">
        <v>30</v>
      </c>
      <c r="J448" s="3" t="s">
        <v>84</v>
      </c>
      <c r="K448" s="3" t="s">
        <v>52</v>
      </c>
      <c r="L448" s="5">
        <v>102</v>
      </c>
      <c r="M448" s="5">
        <f t="shared" ca="1" si="30"/>
        <v>58</v>
      </c>
      <c r="N448" s="6">
        <f t="shared" ca="1" si="31"/>
        <v>56.862745098039213</v>
      </c>
      <c r="O448" s="3" cm="1">
        <f t="array" aca="1" ref="O448" ca="1">IFERROR(LOOKUP(2, 1/((F$1:F447=F448)*(J$1:J447=J448)*(ROW(F$1:F447)&lt;ROW(F448))), N$1:N447), "")</f>
        <v>60.784313725490193</v>
      </c>
      <c r="P448" s="3">
        <f t="shared" si="34"/>
        <v>0.25</v>
      </c>
      <c r="Q448" s="3" t="s">
        <v>43</v>
      </c>
      <c r="R448" s="3" t="s">
        <v>40</v>
      </c>
      <c r="S448" s="3" t="str">
        <f t="shared" si="32"/>
        <v>No</v>
      </c>
      <c r="T448" s="3" t="s">
        <v>40</v>
      </c>
      <c r="U448" s="3" t="str">
        <f t="shared" si="33"/>
        <v>Rainy</v>
      </c>
      <c r="V448" s="3" t="s">
        <v>40</v>
      </c>
      <c r="W448" s="3" cm="1">
        <f t="array" ref="W448">_xlfn.IFS(
OR(F448="Selenium (Hands-on)",F448="Guest Lecture: HR Interview"),6,
OR(F448="Soft Skill",F448="Soft Skill (Examination)",F448="AWS Training",F448="AWS Session"),7,
OR(ISNUMBER(SEARCH("MAD",F448)),ISNUMBER(SEARCH("STQA",F448)),F448="CI/CD Session"),8,
OR(ISNUMBER(SEARCH("Cloud",F448)),F448="Industry Readiness Program",ISNUMBER(SEARCH("Talenlio",F448))),9,
OR(ISNUMBER(SEARCH("Innovation",F448)),F448="Mini Project"),10,
OR(ISNUMBER(SEARCH("Data Science",F448)),ISNUMBER(SEARCH("DS",F448))),11,
ISNUMBER(SEARCH("Generative AI",F448)),12
=_xlfn.IFS(
OR(F448="Selenium (Hands-on)",F448="Guest Lecture: HR Interview"),6,
OR(F448="Soft Skill",F448="Soft Skill (Examination)",F448="AWS Training",F448="AWS Session"),7,
OR(ISNUMBER(SEARCH("MAD",F448)),ISNUMBER(SEARCH("STQA",F448)),F448="CI/CD Session"),8,
OR(ISNUMBER(SEARCH("Cloud",F448)),F448="Industry Readiness Program",ISNUMBER(SEARCH("Talenlio",F448))),9,
OR(ISNUMBER(SEARCH("Innovation",F448)),F448="Mini Project"),10,
OR(ISNUMBER(SEARCH("Data Science",F448)),ISNUMBER(SEARCH("DS",F448))),11,
ISNUMBER(SEARCH("Generative AI",F448)),12
=_xlfn.IFS(
OR(F448="Selenium (Hands-on)",F448="Guest Lecture: HR Interview"),6,
OR(F448="Soft Skill",F448="Soft Skill (Examination)",F448="AWS Training",F448="AWS Session"),7,
OR(ISNUMBER(SEARCH("MAD",F448)),ISNUMBER(SEARCH("STQA",F448)),F448="CI/CD Session"),8,
OR(ISNUMBER(SEARCH("Cloud",F448)),F448="Industry Readiness Program",ISNUMBER(SEARCH("Talenlio",F448))),9,
OR(ISNUMBER(SEARCH("Innovation",F448)),F448="Mini Project"),10,
OR(ISNUMBER(SEARCH("Data Science",F448)),ISNUMBER(SEARCH("DS",F448))),11,
ISNUMBER(SEARCH("Generative AI",F448)),12
=_xlfn.IFS(
OR(F448="Selenium (Hands-on)",F448="Guest Lecture: HR Interview"),6,
OR(F448="Soft Skill",F448="Soft Skill (Examination)",F448="AWS Training",F448="AWS Session"),7,
OR(ISNUMBER(SEARCH("MAD",F448)),ISNUMBER(SEARCH("STQA",F448)),F448="CI/CD Session"),8,
OR(ISNUMBER(SEARCH("Cloud",F448)),F448="Industry Readiness Program",ISNUMBER(SEARCH("Talenlio",F448))),9,
OR(ISNUMBER(SEARCH("Innovation",F448)),F448="Mini Project"),10,
OR(ISNUMBER(SEARCH("Data Science",F448)),ISNUMBER(SEARCH("DS",F448))),11,
ISNUMBER(SEARCH("Generative AI",F448)),12
))))</f>
        <v>8</v>
      </c>
      <c r="X448" s="3">
        <v>5</v>
      </c>
      <c r="Y448" s="3">
        <v>32</v>
      </c>
      <c r="Z448" s="3" t="s">
        <v>35</v>
      </c>
    </row>
    <row r="449" spans="1:26" x14ac:dyDescent="0.3">
      <c r="A449" s="2">
        <v>46219</v>
      </c>
      <c r="B449" s="3" t="s">
        <v>45</v>
      </c>
      <c r="C449" s="3">
        <v>3</v>
      </c>
      <c r="D449" s="4">
        <v>0.4375</v>
      </c>
      <c r="E449" s="4">
        <v>0.47916666666666702</v>
      </c>
      <c r="F449" s="3" t="s">
        <v>59</v>
      </c>
      <c r="G449" s="3" t="s">
        <v>60</v>
      </c>
      <c r="H449" s="3" t="s">
        <v>29</v>
      </c>
      <c r="I449" s="3" t="s">
        <v>30</v>
      </c>
      <c r="J449" s="3" t="s">
        <v>84</v>
      </c>
      <c r="K449" s="3" t="s">
        <v>52</v>
      </c>
      <c r="L449" s="5">
        <v>102</v>
      </c>
      <c r="M449" s="5">
        <f t="shared" ca="1" si="30"/>
        <v>45</v>
      </c>
      <c r="N449" s="6">
        <f t="shared" ca="1" si="31"/>
        <v>44.117647058823529</v>
      </c>
      <c r="O449" s="3" cm="1">
        <f t="array" aca="1" ref="O449" ca="1">IFERROR(LOOKUP(2, 1/((F$1:F448=F449)*(J$1:J448=J449)*(ROW(F$1:F448)&lt;ROW(F449))), N$1:N448), "")</f>
        <v>84.313725490196077</v>
      </c>
      <c r="P449" s="3">
        <f t="shared" si="34"/>
        <v>0</v>
      </c>
      <c r="Q449" s="3" t="s">
        <v>33</v>
      </c>
      <c r="R449" s="3" t="s">
        <v>40</v>
      </c>
      <c r="S449" s="3" t="str">
        <f t="shared" si="32"/>
        <v>No</v>
      </c>
      <c r="T449" s="3" t="s">
        <v>40</v>
      </c>
      <c r="U449" s="3" t="str">
        <f t="shared" si="33"/>
        <v>Rainy</v>
      </c>
      <c r="V449" s="3" t="s">
        <v>40</v>
      </c>
      <c r="W449" s="3" cm="1">
        <f t="array" ref="W449">_xlfn.IFS(
OR(F449="Selenium (Hands-on)",F449="Guest Lecture: HR Interview"),6,
OR(F449="Soft Skill",F449="Soft Skill (Examination)",F449="AWS Training",F449="AWS Session"),7,
OR(ISNUMBER(SEARCH("MAD",F449)),ISNUMBER(SEARCH("STQA",F449)),F449="CI/CD Session"),8,
OR(ISNUMBER(SEARCH("Cloud",F449)),F449="Industry Readiness Program",ISNUMBER(SEARCH("Talenlio",F449))),9,
OR(ISNUMBER(SEARCH("Innovation",F449)),F449="Mini Project"),10,
OR(ISNUMBER(SEARCH("Data Science",F449)),ISNUMBER(SEARCH("DS",F449))),11,
ISNUMBER(SEARCH("Generative AI",F449)),12
=_xlfn.IFS(
OR(F449="Selenium (Hands-on)",F449="Guest Lecture: HR Interview"),6,
OR(F449="Soft Skill",F449="Soft Skill (Examination)",F449="AWS Training",F449="AWS Session"),7,
OR(ISNUMBER(SEARCH("MAD",F449)),ISNUMBER(SEARCH("STQA",F449)),F449="CI/CD Session"),8,
OR(ISNUMBER(SEARCH("Cloud",F449)),F449="Industry Readiness Program",ISNUMBER(SEARCH("Talenlio",F449))),9,
OR(ISNUMBER(SEARCH("Innovation",F449)),F449="Mini Project"),10,
OR(ISNUMBER(SEARCH("Data Science",F449)),ISNUMBER(SEARCH("DS",F449))),11,
ISNUMBER(SEARCH("Generative AI",F449)),12
=_xlfn.IFS(
OR(F449="Selenium (Hands-on)",F449="Guest Lecture: HR Interview"),6,
OR(F449="Soft Skill",F449="Soft Skill (Examination)",F449="AWS Training",F449="AWS Session"),7,
OR(ISNUMBER(SEARCH("MAD",F449)),ISNUMBER(SEARCH("STQA",F449)),F449="CI/CD Session"),8,
OR(ISNUMBER(SEARCH("Cloud",F449)),F449="Industry Readiness Program",ISNUMBER(SEARCH("Talenlio",F449))),9,
OR(ISNUMBER(SEARCH("Innovation",F449)),F449="Mini Project"),10,
OR(ISNUMBER(SEARCH("Data Science",F449)),ISNUMBER(SEARCH("DS",F449))),11,
ISNUMBER(SEARCH("Generative AI",F449)),12
=_xlfn.IFS(
OR(F449="Selenium (Hands-on)",F449="Guest Lecture: HR Interview"),6,
OR(F449="Soft Skill",F449="Soft Skill (Examination)",F449="AWS Training",F449="AWS Session"),7,
OR(ISNUMBER(SEARCH("MAD",F449)),ISNUMBER(SEARCH("STQA",F449)),F449="CI/CD Session"),8,
OR(ISNUMBER(SEARCH("Cloud",F449)),F449="Industry Readiness Program",ISNUMBER(SEARCH("Talenlio",F449))),9,
OR(ISNUMBER(SEARCH("Innovation",F449)),F449="Mini Project"),10,
OR(ISNUMBER(SEARCH("Data Science",F449)),ISNUMBER(SEARCH("DS",F449))),11,
ISNUMBER(SEARCH("Generative AI",F449)),12
))))</f>
        <v>11</v>
      </c>
      <c r="X449" s="3">
        <v>5</v>
      </c>
      <c r="Y449" s="3">
        <v>32</v>
      </c>
      <c r="Z449" s="3" t="s">
        <v>35</v>
      </c>
    </row>
    <row r="450" spans="1:26" x14ac:dyDescent="0.3">
      <c r="A450" s="2">
        <v>46219</v>
      </c>
      <c r="B450" s="3" t="s">
        <v>45</v>
      </c>
      <c r="C450" s="3">
        <v>4</v>
      </c>
      <c r="D450" s="4">
        <v>0.5625</v>
      </c>
      <c r="E450" s="4">
        <v>0.60416666666666696</v>
      </c>
      <c r="F450" s="3" t="s">
        <v>63</v>
      </c>
      <c r="G450" s="3" t="s">
        <v>64</v>
      </c>
      <c r="H450" s="3" t="s">
        <v>29</v>
      </c>
      <c r="I450" s="3" t="s">
        <v>30</v>
      </c>
      <c r="J450" s="3" t="s">
        <v>84</v>
      </c>
      <c r="K450" s="3" t="s">
        <v>52</v>
      </c>
      <c r="L450" s="5">
        <v>102</v>
      </c>
      <c r="M450" s="5">
        <f t="shared" ref="M450:M513" ca="1" si="35">RANDBETWEEN(40,103)</f>
        <v>48</v>
      </c>
      <c r="N450" s="6">
        <f t="shared" ref="N450:N513" ca="1" si="36">IF(OR(L450="",M450=""),"",M450/L450*100)</f>
        <v>47.058823529411761</v>
      </c>
      <c r="O450" s="3" cm="1">
        <f t="array" aca="1" ref="O450" ca="1">IFERROR(LOOKUP(2, 1/((F$1:F449=F450)*(J$1:J449=J450)*(ROW(F$1:F449)&lt;ROW(F450))), N$1:N449), "")</f>
        <v>67.64705882352942</v>
      </c>
      <c r="P450" s="3">
        <f t="shared" si="34"/>
        <v>2</v>
      </c>
      <c r="Q450" s="3" t="s">
        <v>33</v>
      </c>
      <c r="R450" s="3" t="s">
        <v>40</v>
      </c>
      <c r="S450" s="3" t="str">
        <f t="shared" ref="S450:S513" si="37">IF(OR(ISNUMBER(SEARCH("Guest", F450)), ISNUMBER(SEARCH("Hands-on", F450)), ISNUMBER(SEARCH("Project", F450)), B450="Friday"), "Yes", "No")</f>
        <v>No</v>
      </c>
      <c r="T450" s="3" t="s">
        <v>40</v>
      </c>
      <c r="U450" s="3" t="str">
        <f t="shared" ref="U450:U513" si="38">IF(MONTH(A450)=6, IF(DAY(A450)&lt;20, "Sunny", "Cloudy"), IF(OR(MONTH(A450)=7, MONTH(A450)=8), "Rainy", "Sunny"))</f>
        <v>Rainy</v>
      </c>
      <c r="V450" s="3" t="s">
        <v>40</v>
      </c>
      <c r="W450" s="3" cm="1">
        <f t="array" ref="W450">_xlfn.IFS(
OR(F450="Selenium (Hands-on)",F450="Guest Lecture: HR Interview"),6,
OR(F450="Soft Skill",F450="Soft Skill (Examination)",F450="AWS Training",F450="AWS Session"),7,
OR(ISNUMBER(SEARCH("MAD",F450)),ISNUMBER(SEARCH("STQA",F450)),F450="CI/CD Session"),8,
OR(ISNUMBER(SEARCH("Cloud",F450)),F450="Industry Readiness Program",ISNUMBER(SEARCH("Talenlio",F450))),9,
OR(ISNUMBER(SEARCH("Innovation",F450)),F450="Mini Project"),10,
OR(ISNUMBER(SEARCH("Data Science",F450)),ISNUMBER(SEARCH("DS",F450))),11,
ISNUMBER(SEARCH("Generative AI",F450)),12
=_xlfn.IFS(
OR(F450="Selenium (Hands-on)",F450="Guest Lecture: HR Interview"),6,
OR(F450="Soft Skill",F450="Soft Skill (Examination)",F450="AWS Training",F450="AWS Session"),7,
OR(ISNUMBER(SEARCH("MAD",F450)),ISNUMBER(SEARCH("STQA",F450)),F450="CI/CD Session"),8,
OR(ISNUMBER(SEARCH("Cloud",F450)),F450="Industry Readiness Program",ISNUMBER(SEARCH("Talenlio",F450))),9,
OR(ISNUMBER(SEARCH("Innovation",F450)),F450="Mini Project"),10,
OR(ISNUMBER(SEARCH("Data Science",F450)),ISNUMBER(SEARCH("DS",F450))),11,
ISNUMBER(SEARCH("Generative AI",F450)),12
=_xlfn.IFS(
OR(F450="Selenium (Hands-on)",F450="Guest Lecture: HR Interview"),6,
OR(F450="Soft Skill",F450="Soft Skill (Examination)",F450="AWS Training",F450="AWS Session"),7,
OR(ISNUMBER(SEARCH("MAD",F450)),ISNUMBER(SEARCH("STQA",F450)),F450="CI/CD Session"),8,
OR(ISNUMBER(SEARCH("Cloud",F450)),F450="Industry Readiness Program",ISNUMBER(SEARCH("Talenlio",F450))),9,
OR(ISNUMBER(SEARCH("Innovation",F450)),F450="Mini Project"),10,
OR(ISNUMBER(SEARCH("Data Science",F450)),ISNUMBER(SEARCH("DS",F450))),11,
ISNUMBER(SEARCH("Generative AI",F450)),12
=_xlfn.IFS(
OR(F450="Selenium (Hands-on)",F450="Guest Lecture: HR Interview"),6,
OR(F450="Soft Skill",F450="Soft Skill (Examination)",F450="AWS Training",F450="AWS Session"),7,
OR(ISNUMBER(SEARCH("MAD",F450)),ISNUMBER(SEARCH("STQA",F450)),F450="CI/CD Session"),8,
OR(ISNUMBER(SEARCH("Cloud",F450)),F450="Industry Readiness Program",ISNUMBER(SEARCH("Talenlio",F450))),9,
OR(ISNUMBER(SEARCH("Innovation",F450)),F450="Mini Project"),10,
OR(ISNUMBER(SEARCH("Data Science",F450)),ISNUMBER(SEARCH("DS",F450))),11,
ISNUMBER(SEARCH("Generative AI",F450)),12
))))</f>
        <v>9</v>
      </c>
      <c r="X450" s="3">
        <v>5</v>
      </c>
      <c r="Y450" s="3">
        <v>32</v>
      </c>
      <c r="Z450" s="3" t="s">
        <v>38</v>
      </c>
    </row>
    <row r="451" spans="1:26" x14ac:dyDescent="0.3">
      <c r="A451" s="2">
        <v>46219</v>
      </c>
      <c r="B451" s="3" t="s">
        <v>45</v>
      </c>
      <c r="C451" s="3">
        <v>5</v>
      </c>
      <c r="D451" s="4">
        <v>0.60416666666666696</v>
      </c>
      <c r="E451" s="4">
        <v>0.64583333333333304</v>
      </c>
      <c r="F451" s="3" t="s">
        <v>63</v>
      </c>
      <c r="G451" s="3" t="s">
        <v>64</v>
      </c>
      <c r="H451" s="3" t="s">
        <v>29</v>
      </c>
      <c r="I451" s="3" t="s">
        <v>30</v>
      </c>
      <c r="J451" s="3" t="s">
        <v>84</v>
      </c>
      <c r="K451" s="3" t="s">
        <v>52</v>
      </c>
      <c r="L451" s="5">
        <v>102</v>
      </c>
      <c r="M451" s="5">
        <f t="shared" ca="1" si="35"/>
        <v>45</v>
      </c>
      <c r="N451" s="6">
        <f t="shared" ca="1" si="36"/>
        <v>44.117647058823529</v>
      </c>
      <c r="O451" s="3" cm="1">
        <f t="array" aca="1" ref="O451" ca="1">IFERROR(LOOKUP(2, 1/((F$1:F450=F451)*(J$1:J450=J451)*(ROW(F$1:F450)&lt;ROW(F451))), N$1:N450), "")</f>
        <v>47.058823529411761</v>
      </c>
      <c r="P451" s="3">
        <f t="shared" ref="P451:P514" si="39">IF(C451=1, 0, IF(AND(A451=A450, J451=J450), ROUND(MAX(0, (D451-E450)*24), 2), 0))</f>
        <v>0</v>
      </c>
      <c r="Q451" s="3" t="s">
        <v>33</v>
      </c>
      <c r="R451" s="3" t="s">
        <v>40</v>
      </c>
      <c r="S451" s="3" t="str">
        <f t="shared" si="37"/>
        <v>No</v>
      </c>
      <c r="T451" s="3" t="s">
        <v>40</v>
      </c>
      <c r="U451" s="3" t="str">
        <f t="shared" si="38"/>
        <v>Rainy</v>
      </c>
      <c r="V451" s="3" t="s">
        <v>40</v>
      </c>
      <c r="W451" s="3" cm="1">
        <f t="array" ref="W451">_xlfn.IFS(
OR(F451="Selenium (Hands-on)",F451="Guest Lecture: HR Interview"),6,
OR(F451="Soft Skill",F451="Soft Skill (Examination)",F451="AWS Training",F451="AWS Session"),7,
OR(ISNUMBER(SEARCH("MAD",F451)),ISNUMBER(SEARCH("STQA",F451)),F451="CI/CD Session"),8,
OR(ISNUMBER(SEARCH("Cloud",F451)),F451="Industry Readiness Program",ISNUMBER(SEARCH("Talenlio",F451))),9,
OR(ISNUMBER(SEARCH("Innovation",F451)),F451="Mini Project"),10,
OR(ISNUMBER(SEARCH("Data Science",F451)),ISNUMBER(SEARCH("DS",F451))),11,
ISNUMBER(SEARCH("Generative AI",F451)),12
=_xlfn.IFS(
OR(F451="Selenium (Hands-on)",F451="Guest Lecture: HR Interview"),6,
OR(F451="Soft Skill",F451="Soft Skill (Examination)",F451="AWS Training",F451="AWS Session"),7,
OR(ISNUMBER(SEARCH("MAD",F451)),ISNUMBER(SEARCH("STQA",F451)),F451="CI/CD Session"),8,
OR(ISNUMBER(SEARCH("Cloud",F451)),F451="Industry Readiness Program",ISNUMBER(SEARCH("Talenlio",F451))),9,
OR(ISNUMBER(SEARCH("Innovation",F451)),F451="Mini Project"),10,
OR(ISNUMBER(SEARCH("Data Science",F451)),ISNUMBER(SEARCH("DS",F451))),11,
ISNUMBER(SEARCH("Generative AI",F451)),12
=_xlfn.IFS(
OR(F451="Selenium (Hands-on)",F451="Guest Lecture: HR Interview"),6,
OR(F451="Soft Skill",F451="Soft Skill (Examination)",F451="AWS Training",F451="AWS Session"),7,
OR(ISNUMBER(SEARCH("MAD",F451)),ISNUMBER(SEARCH("STQA",F451)),F451="CI/CD Session"),8,
OR(ISNUMBER(SEARCH("Cloud",F451)),F451="Industry Readiness Program",ISNUMBER(SEARCH("Talenlio",F451))),9,
OR(ISNUMBER(SEARCH("Innovation",F451)),F451="Mini Project"),10,
OR(ISNUMBER(SEARCH("Data Science",F451)),ISNUMBER(SEARCH("DS",F451))),11,
ISNUMBER(SEARCH("Generative AI",F451)),12
=_xlfn.IFS(
OR(F451="Selenium (Hands-on)",F451="Guest Lecture: HR Interview"),6,
OR(F451="Soft Skill",F451="Soft Skill (Examination)",F451="AWS Training",F451="AWS Session"),7,
OR(ISNUMBER(SEARCH("MAD",F451)),ISNUMBER(SEARCH("STQA",F451)),F451="CI/CD Session"),8,
OR(ISNUMBER(SEARCH("Cloud",F451)),F451="Industry Readiness Program",ISNUMBER(SEARCH("Talenlio",F451))),9,
OR(ISNUMBER(SEARCH("Innovation",F451)),F451="Mini Project"),10,
OR(ISNUMBER(SEARCH("Data Science",F451)),ISNUMBER(SEARCH("DS",F451))),11,
ISNUMBER(SEARCH("Generative AI",F451)),12
))))</f>
        <v>9</v>
      </c>
      <c r="X451" s="3">
        <v>5</v>
      </c>
      <c r="Y451" s="3">
        <v>32</v>
      </c>
      <c r="Z451" s="3" t="s">
        <v>38</v>
      </c>
    </row>
    <row r="452" spans="1:26" x14ac:dyDescent="0.3">
      <c r="A452" s="2">
        <v>46220</v>
      </c>
      <c r="B452" s="3" t="s">
        <v>46</v>
      </c>
      <c r="C452" s="3">
        <v>1</v>
      </c>
      <c r="D452" s="4">
        <v>0.35416666666666702</v>
      </c>
      <c r="E452" s="4">
        <v>0.38541666666666702</v>
      </c>
      <c r="F452" s="3" t="s">
        <v>50</v>
      </c>
      <c r="G452" s="3" t="s">
        <v>51</v>
      </c>
      <c r="H452" s="3" t="s">
        <v>29</v>
      </c>
      <c r="I452" s="3" t="s">
        <v>30</v>
      </c>
      <c r="J452" s="3" t="s">
        <v>84</v>
      </c>
      <c r="K452" s="3" t="s">
        <v>52</v>
      </c>
      <c r="L452" s="5">
        <v>102</v>
      </c>
      <c r="M452" s="5">
        <f t="shared" ca="1" si="35"/>
        <v>46</v>
      </c>
      <c r="N452" s="6">
        <f t="shared" ca="1" si="36"/>
        <v>45.098039215686278</v>
      </c>
      <c r="O452" s="3" cm="1">
        <f t="array" aca="1" ref="O452" ca="1">IFERROR(LOOKUP(2, 1/((F$1:F451=F452)*(J$1:J451=J452)*(ROW(F$1:F451)&lt;ROW(F452))), N$1:N451), "")</f>
        <v>56.862745098039213</v>
      </c>
      <c r="P452" s="3">
        <f t="shared" si="39"/>
        <v>0</v>
      </c>
      <c r="Q452" s="3" t="s">
        <v>43</v>
      </c>
      <c r="R452" s="3" t="s">
        <v>40</v>
      </c>
      <c r="S452" s="3" t="str">
        <f t="shared" si="37"/>
        <v>Yes</v>
      </c>
      <c r="T452" s="3" t="s">
        <v>40</v>
      </c>
      <c r="U452" s="3" t="str">
        <f t="shared" si="38"/>
        <v>Rainy</v>
      </c>
      <c r="V452" s="3" t="s">
        <v>40</v>
      </c>
      <c r="W452" s="3" cm="1">
        <f t="array" ref="W452">_xlfn.IFS(
OR(F452="Selenium (Hands-on)",F452="Guest Lecture: HR Interview"),6,
OR(F452="Soft Skill",F452="Soft Skill (Examination)",F452="AWS Training",F452="AWS Session"),7,
OR(ISNUMBER(SEARCH("MAD",F452)),ISNUMBER(SEARCH("STQA",F452)),F452="CI/CD Session"),8,
OR(ISNUMBER(SEARCH("Cloud",F452)),F452="Industry Readiness Program",ISNUMBER(SEARCH("Talenlio",F452))),9,
OR(ISNUMBER(SEARCH("Innovation",F452)),F452="Mini Project"),10,
OR(ISNUMBER(SEARCH("Data Science",F452)),ISNUMBER(SEARCH("DS",F452))),11,
ISNUMBER(SEARCH("Generative AI",F452)),12
=_xlfn.IFS(
OR(F452="Selenium (Hands-on)",F452="Guest Lecture: HR Interview"),6,
OR(F452="Soft Skill",F452="Soft Skill (Examination)",F452="AWS Training",F452="AWS Session"),7,
OR(ISNUMBER(SEARCH("MAD",F452)),ISNUMBER(SEARCH("STQA",F452)),F452="CI/CD Session"),8,
OR(ISNUMBER(SEARCH("Cloud",F452)),F452="Industry Readiness Program",ISNUMBER(SEARCH("Talenlio",F452))),9,
OR(ISNUMBER(SEARCH("Innovation",F452)),F452="Mini Project"),10,
OR(ISNUMBER(SEARCH("Data Science",F452)),ISNUMBER(SEARCH("DS",F452))),11,
ISNUMBER(SEARCH("Generative AI",F452)),12
=_xlfn.IFS(
OR(F452="Selenium (Hands-on)",F452="Guest Lecture: HR Interview"),6,
OR(F452="Soft Skill",F452="Soft Skill (Examination)",F452="AWS Training",F452="AWS Session"),7,
OR(ISNUMBER(SEARCH("MAD",F452)),ISNUMBER(SEARCH("STQA",F452)),F452="CI/CD Session"),8,
OR(ISNUMBER(SEARCH("Cloud",F452)),F452="Industry Readiness Program",ISNUMBER(SEARCH("Talenlio",F452))),9,
OR(ISNUMBER(SEARCH("Innovation",F452)),F452="Mini Project"),10,
OR(ISNUMBER(SEARCH("Data Science",F452)),ISNUMBER(SEARCH("DS",F452))),11,
ISNUMBER(SEARCH("Generative AI",F452)),12
=_xlfn.IFS(
OR(F452="Selenium (Hands-on)",F452="Guest Lecture: HR Interview"),6,
OR(F452="Soft Skill",F452="Soft Skill (Examination)",F452="AWS Training",F452="AWS Session"),7,
OR(ISNUMBER(SEARCH("MAD",F452)),ISNUMBER(SEARCH("STQA",F452)),F452="CI/CD Session"),8,
OR(ISNUMBER(SEARCH("Cloud",F452)),F452="Industry Readiness Program",ISNUMBER(SEARCH("Talenlio",F452))),9,
OR(ISNUMBER(SEARCH("Innovation",F452)),F452="Mini Project"),10,
OR(ISNUMBER(SEARCH("Data Science",F452)),ISNUMBER(SEARCH("DS",F452))),11,
ISNUMBER(SEARCH("Generative AI",F452)),12
))))</f>
        <v>8</v>
      </c>
      <c r="X452" s="3">
        <v>5</v>
      </c>
      <c r="Y452" s="3">
        <v>33</v>
      </c>
      <c r="Z452" s="3" t="s">
        <v>35</v>
      </c>
    </row>
    <row r="453" spans="1:26" x14ac:dyDescent="0.3">
      <c r="A453" s="2">
        <v>46220</v>
      </c>
      <c r="B453" s="3" t="s">
        <v>46</v>
      </c>
      <c r="C453" s="3">
        <v>2</v>
      </c>
      <c r="D453" s="4">
        <v>0.39583333333333298</v>
      </c>
      <c r="E453" s="4">
        <v>0.4375</v>
      </c>
      <c r="F453" s="3" t="s">
        <v>50</v>
      </c>
      <c r="G453" s="3" t="s">
        <v>51</v>
      </c>
      <c r="H453" s="3" t="s">
        <v>29</v>
      </c>
      <c r="I453" s="3" t="s">
        <v>30</v>
      </c>
      <c r="J453" s="3" t="s">
        <v>84</v>
      </c>
      <c r="K453" s="3" t="s">
        <v>52</v>
      </c>
      <c r="L453" s="5">
        <v>102</v>
      </c>
      <c r="M453" s="5">
        <f t="shared" ca="1" si="35"/>
        <v>47</v>
      </c>
      <c r="N453" s="6">
        <f t="shared" ca="1" si="36"/>
        <v>46.078431372549019</v>
      </c>
      <c r="O453" s="3" cm="1">
        <f t="array" aca="1" ref="O453" ca="1">IFERROR(LOOKUP(2, 1/((F$1:F452=F453)*(J$1:J452=J453)*(ROW(F$1:F452)&lt;ROW(F453))), N$1:N452), "")</f>
        <v>45.098039215686278</v>
      </c>
      <c r="P453" s="3">
        <f t="shared" si="39"/>
        <v>0.25</v>
      </c>
      <c r="Q453" s="3" t="s">
        <v>43</v>
      </c>
      <c r="R453" s="3" t="s">
        <v>40</v>
      </c>
      <c r="S453" s="3" t="str">
        <f t="shared" si="37"/>
        <v>Yes</v>
      </c>
      <c r="T453" s="3" t="s">
        <v>40</v>
      </c>
      <c r="U453" s="3" t="str">
        <f t="shared" si="38"/>
        <v>Rainy</v>
      </c>
      <c r="V453" s="3" t="s">
        <v>40</v>
      </c>
      <c r="W453" s="3" cm="1">
        <f t="array" ref="W453">_xlfn.IFS(
OR(F453="Selenium (Hands-on)",F453="Guest Lecture: HR Interview"),6,
OR(F453="Soft Skill",F453="Soft Skill (Examination)",F453="AWS Training",F453="AWS Session"),7,
OR(ISNUMBER(SEARCH("MAD",F453)),ISNUMBER(SEARCH("STQA",F453)),F453="CI/CD Session"),8,
OR(ISNUMBER(SEARCH("Cloud",F453)),F453="Industry Readiness Program",ISNUMBER(SEARCH("Talenlio",F453))),9,
OR(ISNUMBER(SEARCH("Innovation",F453)),F453="Mini Project"),10,
OR(ISNUMBER(SEARCH("Data Science",F453)),ISNUMBER(SEARCH("DS",F453))),11,
ISNUMBER(SEARCH("Generative AI",F453)),12
=_xlfn.IFS(
OR(F453="Selenium (Hands-on)",F453="Guest Lecture: HR Interview"),6,
OR(F453="Soft Skill",F453="Soft Skill (Examination)",F453="AWS Training",F453="AWS Session"),7,
OR(ISNUMBER(SEARCH("MAD",F453)),ISNUMBER(SEARCH("STQA",F453)),F453="CI/CD Session"),8,
OR(ISNUMBER(SEARCH("Cloud",F453)),F453="Industry Readiness Program",ISNUMBER(SEARCH("Talenlio",F453))),9,
OR(ISNUMBER(SEARCH("Innovation",F453)),F453="Mini Project"),10,
OR(ISNUMBER(SEARCH("Data Science",F453)),ISNUMBER(SEARCH("DS",F453))),11,
ISNUMBER(SEARCH("Generative AI",F453)),12
=_xlfn.IFS(
OR(F453="Selenium (Hands-on)",F453="Guest Lecture: HR Interview"),6,
OR(F453="Soft Skill",F453="Soft Skill (Examination)",F453="AWS Training",F453="AWS Session"),7,
OR(ISNUMBER(SEARCH("MAD",F453)),ISNUMBER(SEARCH("STQA",F453)),F453="CI/CD Session"),8,
OR(ISNUMBER(SEARCH("Cloud",F453)),F453="Industry Readiness Program",ISNUMBER(SEARCH("Talenlio",F453))),9,
OR(ISNUMBER(SEARCH("Innovation",F453)),F453="Mini Project"),10,
OR(ISNUMBER(SEARCH("Data Science",F453)),ISNUMBER(SEARCH("DS",F453))),11,
ISNUMBER(SEARCH("Generative AI",F453)),12
=_xlfn.IFS(
OR(F453="Selenium (Hands-on)",F453="Guest Lecture: HR Interview"),6,
OR(F453="Soft Skill",F453="Soft Skill (Examination)",F453="AWS Training",F453="AWS Session"),7,
OR(ISNUMBER(SEARCH("MAD",F453)),ISNUMBER(SEARCH("STQA",F453)),F453="CI/CD Session"),8,
OR(ISNUMBER(SEARCH("Cloud",F453)),F453="Industry Readiness Program",ISNUMBER(SEARCH("Talenlio",F453))),9,
OR(ISNUMBER(SEARCH("Innovation",F453)),F453="Mini Project"),10,
OR(ISNUMBER(SEARCH("Data Science",F453)),ISNUMBER(SEARCH("DS",F453))),11,
ISNUMBER(SEARCH("Generative AI",F453)),12
))))</f>
        <v>8</v>
      </c>
      <c r="X453" s="3">
        <v>5</v>
      </c>
      <c r="Y453" s="3">
        <v>33</v>
      </c>
      <c r="Z453" s="3" t="s">
        <v>35</v>
      </c>
    </row>
    <row r="454" spans="1:26" x14ac:dyDescent="0.3">
      <c r="A454" s="2">
        <v>46220</v>
      </c>
      <c r="B454" s="3" t="s">
        <v>46</v>
      </c>
      <c r="C454" s="3">
        <v>3</v>
      </c>
      <c r="D454" s="4">
        <v>0.4375</v>
      </c>
      <c r="E454" s="4">
        <v>0.47916666666666702</v>
      </c>
      <c r="F454" s="3" t="s">
        <v>59</v>
      </c>
      <c r="G454" s="3" t="s">
        <v>60</v>
      </c>
      <c r="H454" s="3" t="s">
        <v>29</v>
      </c>
      <c r="I454" s="3" t="s">
        <v>30</v>
      </c>
      <c r="J454" s="3" t="s">
        <v>84</v>
      </c>
      <c r="K454" s="3" t="s">
        <v>52</v>
      </c>
      <c r="L454" s="5">
        <v>102</v>
      </c>
      <c r="M454" s="5">
        <f t="shared" ca="1" si="35"/>
        <v>70</v>
      </c>
      <c r="N454" s="6">
        <f t="shared" ca="1" si="36"/>
        <v>68.627450980392155</v>
      </c>
      <c r="O454" s="3" cm="1">
        <f t="array" aca="1" ref="O454" ca="1">IFERROR(LOOKUP(2, 1/((F$1:F453=F454)*(J$1:J453=J454)*(ROW(F$1:F453)&lt;ROW(F454))), N$1:N453), "")</f>
        <v>44.117647058823529</v>
      </c>
      <c r="P454" s="3">
        <f t="shared" si="39"/>
        <v>0</v>
      </c>
      <c r="Q454" s="3" t="s">
        <v>33</v>
      </c>
      <c r="R454" s="3" t="s">
        <v>40</v>
      </c>
      <c r="S454" s="3" t="str">
        <f t="shared" si="37"/>
        <v>Yes</v>
      </c>
      <c r="T454" s="3" t="s">
        <v>40</v>
      </c>
      <c r="U454" s="3" t="str">
        <f t="shared" si="38"/>
        <v>Rainy</v>
      </c>
      <c r="V454" s="3" t="s">
        <v>40</v>
      </c>
      <c r="W454" s="3" cm="1">
        <f t="array" ref="W454">_xlfn.IFS(
OR(F454="Selenium (Hands-on)",F454="Guest Lecture: HR Interview"),6,
OR(F454="Soft Skill",F454="Soft Skill (Examination)",F454="AWS Training",F454="AWS Session"),7,
OR(ISNUMBER(SEARCH("MAD",F454)),ISNUMBER(SEARCH("STQA",F454)),F454="CI/CD Session"),8,
OR(ISNUMBER(SEARCH("Cloud",F454)),F454="Industry Readiness Program",ISNUMBER(SEARCH("Talenlio",F454))),9,
OR(ISNUMBER(SEARCH("Innovation",F454)),F454="Mini Project"),10,
OR(ISNUMBER(SEARCH("Data Science",F454)),ISNUMBER(SEARCH("DS",F454))),11,
ISNUMBER(SEARCH("Generative AI",F454)),12
=_xlfn.IFS(
OR(F454="Selenium (Hands-on)",F454="Guest Lecture: HR Interview"),6,
OR(F454="Soft Skill",F454="Soft Skill (Examination)",F454="AWS Training",F454="AWS Session"),7,
OR(ISNUMBER(SEARCH("MAD",F454)),ISNUMBER(SEARCH("STQA",F454)),F454="CI/CD Session"),8,
OR(ISNUMBER(SEARCH("Cloud",F454)),F454="Industry Readiness Program",ISNUMBER(SEARCH("Talenlio",F454))),9,
OR(ISNUMBER(SEARCH("Innovation",F454)),F454="Mini Project"),10,
OR(ISNUMBER(SEARCH("Data Science",F454)),ISNUMBER(SEARCH("DS",F454))),11,
ISNUMBER(SEARCH("Generative AI",F454)),12
=_xlfn.IFS(
OR(F454="Selenium (Hands-on)",F454="Guest Lecture: HR Interview"),6,
OR(F454="Soft Skill",F454="Soft Skill (Examination)",F454="AWS Training",F454="AWS Session"),7,
OR(ISNUMBER(SEARCH("MAD",F454)),ISNUMBER(SEARCH("STQA",F454)),F454="CI/CD Session"),8,
OR(ISNUMBER(SEARCH("Cloud",F454)),F454="Industry Readiness Program",ISNUMBER(SEARCH("Talenlio",F454))),9,
OR(ISNUMBER(SEARCH("Innovation",F454)),F454="Mini Project"),10,
OR(ISNUMBER(SEARCH("Data Science",F454)),ISNUMBER(SEARCH("DS",F454))),11,
ISNUMBER(SEARCH("Generative AI",F454)),12
=_xlfn.IFS(
OR(F454="Selenium (Hands-on)",F454="Guest Lecture: HR Interview"),6,
OR(F454="Soft Skill",F454="Soft Skill (Examination)",F454="AWS Training",F454="AWS Session"),7,
OR(ISNUMBER(SEARCH("MAD",F454)),ISNUMBER(SEARCH("STQA",F454)),F454="CI/CD Session"),8,
OR(ISNUMBER(SEARCH("Cloud",F454)),F454="Industry Readiness Program",ISNUMBER(SEARCH("Talenlio",F454))),9,
OR(ISNUMBER(SEARCH("Innovation",F454)),F454="Mini Project"),10,
OR(ISNUMBER(SEARCH("Data Science",F454)),ISNUMBER(SEARCH("DS",F454))),11,
ISNUMBER(SEARCH("Generative AI",F454)),12
))))</f>
        <v>11</v>
      </c>
      <c r="X454" s="3">
        <v>5</v>
      </c>
      <c r="Y454" s="3">
        <v>33</v>
      </c>
      <c r="Z454" s="3" t="s">
        <v>35</v>
      </c>
    </row>
    <row r="455" spans="1:26" x14ac:dyDescent="0.3">
      <c r="A455" s="2">
        <v>46220</v>
      </c>
      <c r="B455" s="3" t="s">
        <v>46</v>
      </c>
      <c r="C455" s="3">
        <v>4</v>
      </c>
      <c r="D455" s="4">
        <v>0.5625</v>
      </c>
      <c r="E455" s="4">
        <v>0.60416666666666696</v>
      </c>
      <c r="F455" s="3" t="s">
        <v>62</v>
      </c>
      <c r="G455" s="3" t="s">
        <v>56</v>
      </c>
      <c r="H455" s="3" t="s">
        <v>29</v>
      </c>
      <c r="I455" s="3" t="s">
        <v>30</v>
      </c>
      <c r="J455" s="3" t="s">
        <v>84</v>
      </c>
      <c r="K455" s="3" t="s">
        <v>52</v>
      </c>
      <c r="L455" s="5">
        <v>102</v>
      </c>
      <c r="M455" s="5">
        <f t="shared" ca="1" si="35"/>
        <v>60</v>
      </c>
      <c r="N455" s="6">
        <f t="shared" ca="1" si="36"/>
        <v>58.82352941176471</v>
      </c>
      <c r="O455" s="3" cm="1">
        <f t="array" aca="1" ref="O455" ca="1">IFERROR(LOOKUP(2, 1/((F$1:F454=F455)*(J$1:J454=J455)*(ROW(F$1:F454)&lt;ROW(F455))), N$1:N454), "")</f>
        <v>78.431372549019613</v>
      </c>
      <c r="P455" s="3">
        <f t="shared" si="39"/>
        <v>2</v>
      </c>
      <c r="Q455" s="3" t="s">
        <v>33</v>
      </c>
      <c r="R455" s="3" t="s">
        <v>40</v>
      </c>
      <c r="S455" s="3" t="str">
        <f t="shared" si="37"/>
        <v>Yes</v>
      </c>
      <c r="T455" s="3" t="s">
        <v>40</v>
      </c>
      <c r="U455" s="3" t="str">
        <f t="shared" si="38"/>
        <v>Rainy</v>
      </c>
      <c r="V455" s="3" t="s">
        <v>40</v>
      </c>
      <c r="W455" s="3">
        <v>7</v>
      </c>
      <c r="X455" s="3">
        <v>5</v>
      </c>
      <c r="Y455" s="3">
        <v>33</v>
      </c>
      <c r="Z455" s="3" t="s">
        <v>38</v>
      </c>
    </row>
    <row r="456" spans="1:26" x14ac:dyDescent="0.3">
      <c r="A456" s="2">
        <v>46220</v>
      </c>
      <c r="B456" s="3" t="s">
        <v>46</v>
      </c>
      <c r="C456" s="3">
        <v>5</v>
      </c>
      <c r="D456" s="4">
        <v>0.60416666666666696</v>
      </c>
      <c r="E456" s="4">
        <v>0.64583333333333304</v>
      </c>
      <c r="F456" s="3" t="s">
        <v>62</v>
      </c>
      <c r="G456" s="3" t="s">
        <v>56</v>
      </c>
      <c r="H456" s="3" t="s">
        <v>29</v>
      </c>
      <c r="I456" s="3" t="s">
        <v>30</v>
      </c>
      <c r="J456" s="3" t="s">
        <v>84</v>
      </c>
      <c r="K456" s="3" t="s">
        <v>52</v>
      </c>
      <c r="L456" s="5">
        <v>102</v>
      </c>
      <c r="M456" s="5">
        <f t="shared" ca="1" si="35"/>
        <v>58</v>
      </c>
      <c r="N456" s="6">
        <f t="shared" ca="1" si="36"/>
        <v>56.862745098039213</v>
      </c>
      <c r="O456" s="3" cm="1">
        <f t="array" aca="1" ref="O456" ca="1">IFERROR(LOOKUP(2, 1/((F$1:F455=F456)*(J$1:J455=J456)*(ROW(F$1:F455)&lt;ROW(F456))), N$1:N455), "")</f>
        <v>58.82352941176471</v>
      </c>
      <c r="P456" s="3">
        <f t="shared" si="39"/>
        <v>0</v>
      </c>
      <c r="Q456" s="3" t="s">
        <v>33</v>
      </c>
      <c r="R456" s="3" t="s">
        <v>40</v>
      </c>
      <c r="S456" s="3" t="str">
        <f t="shared" si="37"/>
        <v>Yes</v>
      </c>
      <c r="T456" s="3" t="s">
        <v>40</v>
      </c>
      <c r="U456" s="3" t="str">
        <f t="shared" si="38"/>
        <v>Rainy</v>
      </c>
      <c r="V456" s="3" t="s">
        <v>40</v>
      </c>
      <c r="W456" s="3">
        <v>7</v>
      </c>
      <c r="X456" s="3">
        <v>5</v>
      </c>
      <c r="Y456" s="3">
        <v>33</v>
      </c>
      <c r="Z456" s="3" t="s">
        <v>38</v>
      </c>
    </row>
    <row r="457" spans="1:26" x14ac:dyDescent="0.3">
      <c r="A457" s="2">
        <v>46221</v>
      </c>
      <c r="B457" s="3" t="s">
        <v>47</v>
      </c>
      <c r="C457" s="3">
        <v>1</v>
      </c>
      <c r="D457" s="4">
        <v>0.35416666666666702</v>
      </c>
      <c r="E457" s="4">
        <v>0.38541666666666702</v>
      </c>
      <c r="F457" s="3" t="s">
        <v>65</v>
      </c>
      <c r="G457" s="3" t="s">
        <v>51</v>
      </c>
      <c r="H457" s="3" t="s">
        <v>29</v>
      </c>
      <c r="I457" s="3" t="s">
        <v>30</v>
      </c>
      <c r="J457" s="3" t="s">
        <v>84</v>
      </c>
      <c r="K457" s="3" t="s">
        <v>52</v>
      </c>
      <c r="L457" s="5">
        <v>102</v>
      </c>
      <c r="M457" s="5">
        <f t="shared" ca="1" si="35"/>
        <v>61</v>
      </c>
      <c r="N457" s="6">
        <f t="shared" ca="1" si="36"/>
        <v>59.803921568627452</v>
      </c>
      <c r="O457" s="3" cm="1">
        <f t="array" aca="1" ref="O457" ca="1">IFERROR(LOOKUP(2, 1/((F$1:F456=F457)*(J$1:J456=J457)*(ROW(F$1:F456)&lt;ROW(F457))), N$1:N456), "")</f>
        <v>57.843137254901968</v>
      </c>
      <c r="P457" s="3">
        <f t="shared" si="39"/>
        <v>0</v>
      </c>
      <c r="Q457" s="3" t="s">
        <v>43</v>
      </c>
      <c r="R457" s="3" t="s">
        <v>40</v>
      </c>
      <c r="S457" s="3" t="str">
        <f t="shared" si="37"/>
        <v>No</v>
      </c>
      <c r="T457" s="3" t="s">
        <v>34</v>
      </c>
      <c r="U457" s="3" t="str">
        <f t="shared" si="38"/>
        <v>Rainy</v>
      </c>
      <c r="V457" s="3" t="s">
        <v>40</v>
      </c>
      <c r="W457" s="3" cm="1">
        <f t="array" ref="W457">_xlfn.IFS(
OR(F457="Selenium (Hands-on)",F457="Guest Lecture: HR Interview"),6,
OR(F457="Soft Skill",F457="Soft Skill (Examination)",F457="AWS Training",F457="AWS Session"),7,
OR(ISNUMBER(SEARCH("MAD",F457)),ISNUMBER(SEARCH("STQA",F457)),F457="CI/CD Session"),8,
OR(ISNUMBER(SEARCH("Cloud",F457)),F457="Industry Readiness Program",ISNUMBER(SEARCH("Talenlio",F457))),9,
OR(ISNUMBER(SEARCH("Innovation",F457)),F457="Mini Project"),10,
OR(ISNUMBER(SEARCH("Data Science",F457)),ISNUMBER(SEARCH("DS",F457))),11,
ISNUMBER(SEARCH("Generative AI",F457)),12
=_xlfn.IFS(
OR(F457="Selenium (Hands-on)",F457="Guest Lecture: HR Interview"),6,
OR(F457="Soft Skill",F457="Soft Skill (Examination)",F457="AWS Training",F457="AWS Session"),7,
OR(ISNUMBER(SEARCH("MAD",F457)),ISNUMBER(SEARCH("STQA",F457)),F457="CI/CD Session"),8,
OR(ISNUMBER(SEARCH("Cloud",F457)),F457="Industry Readiness Program",ISNUMBER(SEARCH("Talenlio",F457))),9,
OR(ISNUMBER(SEARCH("Innovation",F457)),F457="Mini Project"),10,
OR(ISNUMBER(SEARCH("Data Science",F457)),ISNUMBER(SEARCH("DS",F457))),11,
ISNUMBER(SEARCH("Generative AI",F457)),12
=_xlfn.IFS(
OR(F457="Selenium (Hands-on)",F457="Guest Lecture: HR Interview"),6,
OR(F457="Soft Skill",F457="Soft Skill (Examination)",F457="AWS Training",F457="AWS Session"),7,
OR(ISNUMBER(SEARCH("MAD",F457)),ISNUMBER(SEARCH("STQA",F457)),F457="CI/CD Session"),8,
OR(ISNUMBER(SEARCH("Cloud",F457)),F457="Industry Readiness Program",ISNUMBER(SEARCH("Talenlio",F457))),9,
OR(ISNUMBER(SEARCH("Innovation",F457)),F457="Mini Project"),10,
OR(ISNUMBER(SEARCH("Data Science",F457)),ISNUMBER(SEARCH("DS",F457))),11,
ISNUMBER(SEARCH("Generative AI",F457)),12
=_xlfn.IFS(
OR(F457="Selenium (Hands-on)",F457="Guest Lecture: HR Interview"),6,
OR(F457="Soft Skill",F457="Soft Skill (Examination)",F457="AWS Training",F457="AWS Session"),7,
OR(ISNUMBER(SEARCH("MAD",F457)),ISNUMBER(SEARCH("STQA",F457)),F457="CI/CD Session"),8,
OR(ISNUMBER(SEARCH("Cloud",F457)),F457="Industry Readiness Program",ISNUMBER(SEARCH("Talenlio",F457))),9,
OR(ISNUMBER(SEARCH("Innovation",F457)),F457="Mini Project"),10,
OR(ISNUMBER(SEARCH("Data Science",F457)),ISNUMBER(SEARCH("DS",F457))),11,
ISNUMBER(SEARCH("Generative AI",F457)),12
))))</f>
        <v>8</v>
      </c>
      <c r="X457" s="3">
        <v>5</v>
      </c>
      <c r="Y457" s="3">
        <v>34</v>
      </c>
      <c r="Z457" s="3" t="s">
        <v>35</v>
      </c>
    </row>
    <row r="458" spans="1:26" x14ac:dyDescent="0.3">
      <c r="A458" s="2">
        <v>46221</v>
      </c>
      <c r="B458" s="3" t="s">
        <v>47</v>
      </c>
      <c r="C458" s="3">
        <v>2</v>
      </c>
      <c r="D458" s="4">
        <v>0.38541666666666702</v>
      </c>
      <c r="E458" s="4">
        <v>0.42708333333333298</v>
      </c>
      <c r="F458" s="3" t="s">
        <v>65</v>
      </c>
      <c r="G458" s="3" t="s">
        <v>51</v>
      </c>
      <c r="H458" s="3" t="s">
        <v>29</v>
      </c>
      <c r="I458" s="3" t="s">
        <v>30</v>
      </c>
      <c r="J458" s="3" t="s">
        <v>84</v>
      </c>
      <c r="K458" s="3" t="s">
        <v>52</v>
      </c>
      <c r="L458" s="5">
        <v>102</v>
      </c>
      <c r="M458" s="5">
        <f t="shared" ca="1" si="35"/>
        <v>95</v>
      </c>
      <c r="N458" s="6">
        <f t="shared" ca="1" si="36"/>
        <v>93.137254901960787</v>
      </c>
      <c r="O458" s="3" cm="1">
        <f t="array" aca="1" ref="O458" ca="1">IFERROR(LOOKUP(2, 1/((F$1:F457=F458)*(J$1:J457=J458)*(ROW(F$1:F457)&lt;ROW(F458))), N$1:N457), "")</f>
        <v>59.803921568627452</v>
      </c>
      <c r="P458" s="3">
        <f t="shared" si="39"/>
        <v>0</v>
      </c>
      <c r="Q458" s="3" t="s">
        <v>43</v>
      </c>
      <c r="R458" s="3" t="s">
        <v>40</v>
      </c>
      <c r="S458" s="3" t="str">
        <f t="shared" si="37"/>
        <v>No</v>
      </c>
      <c r="T458" s="3" t="s">
        <v>34</v>
      </c>
      <c r="U458" s="3" t="str">
        <f t="shared" si="38"/>
        <v>Rainy</v>
      </c>
      <c r="V458" s="3" t="s">
        <v>40</v>
      </c>
      <c r="W458" s="3" cm="1">
        <f t="array" ref="W458">_xlfn.IFS(
OR(F458="Selenium (Hands-on)",F458="Guest Lecture: HR Interview"),6,
OR(F458="Soft Skill",F458="Soft Skill (Examination)",F458="AWS Training",F458="AWS Session"),7,
OR(ISNUMBER(SEARCH("MAD",F458)),ISNUMBER(SEARCH("STQA",F458)),F458="CI/CD Session"),8,
OR(ISNUMBER(SEARCH("Cloud",F458)),F458="Industry Readiness Program",ISNUMBER(SEARCH("Talenlio",F458))),9,
OR(ISNUMBER(SEARCH("Innovation",F458)),F458="Mini Project"),10,
OR(ISNUMBER(SEARCH("Data Science",F458)),ISNUMBER(SEARCH("DS",F458))),11,
ISNUMBER(SEARCH("Generative AI",F458)),12
=_xlfn.IFS(
OR(F458="Selenium (Hands-on)",F458="Guest Lecture: HR Interview"),6,
OR(F458="Soft Skill",F458="Soft Skill (Examination)",F458="AWS Training",F458="AWS Session"),7,
OR(ISNUMBER(SEARCH("MAD",F458)),ISNUMBER(SEARCH("STQA",F458)),F458="CI/CD Session"),8,
OR(ISNUMBER(SEARCH("Cloud",F458)),F458="Industry Readiness Program",ISNUMBER(SEARCH("Talenlio",F458))),9,
OR(ISNUMBER(SEARCH("Innovation",F458)),F458="Mini Project"),10,
OR(ISNUMBER(SEARCH("Data Science",F458)),ISNUMBER(SEARCH("DS",F458))),11,
ISNUMBER(SEARCH("Generative AI",F458)),12
=_xlfn.IFS(
OR(F458="Selenium (Hands-on)",F458="Guest Lecture: HR Interview"),6,
OR(F458="Soft Skill",F458="Soft Skill (Examination)",F458="AWS Training",F458="AWS Session"),7,
OR(ISNUMBER(SEARCH("MAD",F458)),ISNUMBER(SEARCH("STQA",F458)),F458="CI/CD Session"),8,
OR(ISNUMBER(SEARCH("Cloud",F458)),F458="Industry Readiness Program",ISNUMBER(SEARCH("Talenlio",F458))),9,
OR(ISNUMBER(SEARCH("Innovation",F458)),F458="Mini Project"),10,
OR(ISNUMBER(SEARCH("Data Science",F458)),ISNUMBER(SEARCH("DS",F458))),11,
ISNUMBER(SEARCH("Generative AI",F458)),12
=_xlfn.IFS(
OR(F458="Selenium (Hands-on)",F458="Guest Lecture: HR Interview"),6,
OR(F458="Soft Skill",F458="Soft Skill (Examination)",F458="AWS Training",F458="AWS Session"),7,
OR(ISNUMBER(SEARCH("MAD",F458)),ISNUMBER(SEARCH("STQA",F458)),F458="CI/CD Session"),8,
OR(ISNUMBER(SEARCH("Cloud",F458)),F458="Industry Readiness Program",ISNUMBER(SEARCH("Talenlio",F458))),9,
OR(ISNUMBER(SEARCH("Innovation",F458)),F458="Mini Project"),10,
OR(ISNUMBER(SEARCH("Data Science",F458)),ISNUMBER(SEARCH("DS",F458))),11,
ISNUMBER(SEARCH("Generative AI",F458)),12
))))</f>
        <v>8</v>
      </c>
      <c r="X458" s="3">
        <v>5</v>
      </c>
      <c r="Y458" s="3">
        <v>34</v>
      </c>
      <c r="Z458" s="3" t="s">
        <v>35</v>
      </c>
    </row>
    <row r="459" spans="1:26" x14ac:dyDescent="0.3">
      <c r="A459" s="2">
        <v>46221</v>
      </c>
      <c r="B459" s="3" t="s">
        <v>47</v>
      </c>
      <c r="C459" s="3">
        <v>3</v>
      </c>
      <c r="D459" s="4">
        <v>0.42708333333333298</v>
      </c>
      <c r="E459" s="4">
        <v>0.46875</v>
      </c>
      <c r="F459" s="3" t="s">
        <v>66</v>
      </c>
      <c r="G459" s="3" t="s">
        <v>67</v>
      </c>
      <c r="H459" s="3" t="s">
        <v>29</v>
      </c>
      <c r="I459" s="3" t="s">
        <v>30</v>
      </c>
      <c r="J459" s="3" t="s">
        <v>84</v>
      </c>
      <c r="K459" s="3" t="s">
        <v>52</v>
      </c>
      <c r="L459" s="5">
        <v>102</v>
      </c>
      <c r="M459" s="5">
        <f t="shared" ca="1" si="35"/>
        <v>95</v>
      </c>
      <c r="N459" s="6">
        <f t="shared" ca="1" si="36"/>
        <v>93.137254901960787</v>
      </c>
      <c r="O459" s="3" cm="1">
        <f t="array" aca="1" ref="O459" ca="1">IFERROR(LOOKUP(2, 1/((F$1:F458=F459)*(J$1:J458=J459)*(ROW(F$1:F458)&lt;ROW(F459))), N$1:N458), "")</f>
        <v>76.470588235294116</v>
      </c>
      <c r="P459" s="3">
        <f t="shared" si="39"/>
        <v>0</v>
      </c>
      <c r="Q459" s="3" t="s">
        <v>43</v>
      </c>
      <c r="R459" s="3" t="s">
        <v>40</v>
      </c>
      <c r="S459" s="3" t="str">
        <f t="shared" si="37"/>
        <v>Yes</v>
      </c>
      <c r="T459" s="3" t="s">
        <v>34</v>
      </c>
      <c r="U459" s="3" t="str">
        <f t="shared" si="38"/>
        <v>Rainy</v>
      </c>
      <c r="V459" s="3" t="s">
        <v>40</v>
      </c>
      <c r="W459" s="3" cm="1">
        <f t="array" ref="W459">_xlfn.IFS(
OR(F459="Selenium (Hands-on)",F459="Guest Lecture: HR Interview"),6,
OR(F459="Soft Skill",F459="Soft Skill (Examination)",F459="AWS Training",F459="AWS Session"),7,
OR(ISNUMBER(SEARCH("MAD",F459)),ISNUMBER(SEARCH("STQA",F459)),F459="CI/CD Session"),8,
OR(ISNUMBER(SEARCH("Cloud",F459)),F459="Industry Readiness Program",ISNUMBER(SEARCH("Talenlio",F459))),9,
OR(ISNUMBER(SEARCH("Innovation",F459)),F459="Mini Project"),10,
OR(ISNUMBER(SEARCH("Data Science",F459)),ISNUMBER(SEARCH("DS",F459))),11,
ISNUMBER(SEARCH("Generative AI",F459)),12
=_xlfn.IFS(
OR(F459="Selenium (Hands-on)",F459="Guest Lecture: HR Interview"),6,
OR(F459="Soft Skill",F459="Soft Skill (Examination)",F459="AWS Training",F459="AWS Session"),7,
OR(ISNUMBER(SEARCH("MAD",F459)),ISNUMBER(SEARCH("STQA",F459)),F459="CI/CD Session"),8,
OR(ISNUMBER(SEARCH("Cloud",F459)),F459="Industry Readiness Program",ISNUMBER(SEARCH("Talenlio",F459))),9,
OR(ISNUMBER(SEARCH("Innovation",F459)),F459="Mini Project"),10,
OR(ISNUMBER(SEARCH("Data Science",F459)),ISNUMBER(SEARCH("DS",F459))),11,
ISNUMBER(SEARCH("Generative AI",F459)),12
=_xlfn.IFS(
OR(F459="Selenium (Hands-on)",F459="Guest Lecture: HR Interview"),6,
OR(F459="Soft Skill",F459="Soft Skill (Examination)",F459="AWS Training",F459="AWS Session"),7,
OR(ISNUMBER(SEARCH("MAD",F459)),ISNUMBER(SEARCH("STQA",F459)),F459="CI/CD Session"),8,
OR(ISNUMBER(SEARCH("Cloud",F459)),F459="Industry Readiness Program",ISNUMBER(SEARCH("Talenlio",F459))),9,
OR(ISNUMBER(SEARCH("Innovation",F459)),F459="Mini Project"),10,
OR(ISNUMBER(SEARCH("Data Science",F459)),ISNUMBER(SEARCH("DS",F459))),11,
ISNUMBER(SEARCH("Generative AI",F459)),12
=_xlfn.IFS(
OR(F459="Selenium (Hands-on)",F459="Guest Lecture: HR Interview"),6,
OR(F459="Soft Skill",F459="Soft Skill (Examination)",F459="AWS Training",F459="AWS Session"),7,
OR(ISNUMBER(SEARCH("MAD",F459)),ISNUMBER(SEARCH("STQA",F459)),F459="CI/CD Session"),8,
OR(ISNUMBER(SEARCH("Cloud",F459)),F459="Industry Readiness Program",ISNUMBER(SEARCH("Talenlio",F459))),9,
OR(ISNUMBER(SEARCH("Innovation",F459)),F459="Mini Project"),10,
OR(ISNUMBER(SEARCH("Data Science",F459)),ISNUMBER(SEARCH("DS",F459))),11,
ISNUMBER(SEARCH("Generative AI",F459)),12
))))</f>
        <v>10</v>
      </c>
      <c r="X459" s="3">
        <v>5</v>
      </c>
      <c r="Y459" s="3">
        <v>34</v>
      </c>
      <c r="Z459" s="3" t="s">
        <v>35</v>
      </c>
    </row>
    <row r="460" spans="1:26" x14ac:dyDescent="0.3">
      <c r="A460" s="2">
        <v>46221</v>
      </c>
      <c r="B460" s="3" t="s">
        <v>47</v>
      </c>
      <c r="C460" s="3">
        <v>4</v>
      </c>
      <c r="D460" s="4">
        <v>0.46875</v>
      </c>
      <c r="E460" s="4">
        <v>0.51041666666666696</v>
      </c>
      <c r="F460" s="3" t="s">
        <v>66</v>
      </c>
      <c r="G460" s="3" t="s">
        <v>67</v>
      </c>
      <c r="H460" s="3" t="s">
        <v>29</v>
      </c>
      <c r="I460" s="3" t="s">
        <v>30</v>
      </c>
      <c r="J460" s="3" t="s">
        <v>84</v>
      </c>
      <c r="K460" s="3" t="s">
        <v>52</v>
      </c>
      <c r="L460" s="5">
        <v>102</v>
      </c>
      <c r="M460" s="5">
        <f t="shared" ca="1" si="35"/>
        <v>51</v>
      </c>
      <c r="N460" s="6">
        <f t="shared" ca="1" si="36"/>
        <v>50</v>
      </c>
      <c r="O460" s="3" cm="1">
        <f t="array" aca="1" ref="O460" ca="1">IFERROR(LOOKUP(2, 1/((F$1:F459=F460)*(J$1:J459=J460)*(ROW(F$1:F459)&lt;ROW(F460))), N$1:N459), "")</f>
        <v>93.137254901960787</v>
      </c>
      <c r="P460" s="3">
        <f t="shared" si="39"/>
        <v>0</v>
      </c>
      <c r="Q460" s="3" t="s">
        <v>43</v>
      </c>
      <c r="R460" s="3" t="s">
        <v>40</v>
      </c>
      <c r="S460" s="3" t="str">
        <f t="shared" si="37"/>
        <v>Yes</v>
      </c>
      <c r="T460" s="3" t="s">
        <v>34</v>
      </c>
      <c r="U460" s="3" t="str">
        <f t="shared" si="38"/>
        <v>Rainy</v>
      </c>
      <c r="V460" s="3" t="s">
        <v>40</v>
      </c>
      <c r="W460" s="3" cm="1">
        <f t="array" ref="W460">_xlfn.IFS(
OR(F460="Selenium (Hands-on)",F460="Guest Lecture: HR Interview"),6,
OR(F460="Soft Skill",F460="Soft Skill (Examination)",F460="AWS Training",F460="AWS Session"),7,
OR(ISNUMBER(SEARCH("MAD",F460)),ISNUMBER(SEARCH("STQA",F460)),F460="CI/CD Session"),8,
OR(ISNUMBER(SEARCH("Cloud",F460)),F460="Industry Readiness Program",ISNUMBER(SEARCH("Talenlio",F460))),9,
OR(ISNUMBER(SEARCH("Innovation",F460)),F460="Mini Project"),10,
OR(ISNUMBER(SEARCH("Data Science",F460)),ISNUMBER(SEARCH("DS",F460))),11,
ISNUMBER(SEARCH("Generative AI",F460)),12
=_xlfn.IFS(
OR(F460="Selenium (Hands-on)",F460="Guest Lecture: HR Interview"),6,
OR(F460="Soft Skill",F460="Soft Skill (Examination)",F460="AWS Training",F460="AWS Session"),7,
OR(ISNUMBER(SEARCH("MAD",F460)),ISNUMBER(SEARCH("STQA",F460)),F460="CI/CD Session"),8,
OR(ISNUMBER(SEARCH("Cloud",F460)),F460="Industry Readiness Program",ISNUMBER(SEARCH("Talenlio",F460))),9,
OR(ISNUMBER(SEARCH("Innovation",F460)),F460="Mini Project"),10,
OR(ISNUMBER(SEARCH("Data Science",F460)),ISNUMBER(SEARCH("DS",F460))),11,
ISNUMBER(SEARCH("Generative AI",F460)),12
=_xlfn.IFS(
OR(F460="Selenium (Hands-on)",F460="Guest Lecture: HR Interview"),6,
OR(F460="Soft Skill",F460="Soft Skill (Examination)",F460="AWS Training",F460="AWS Session"),7,
OR(ISNUMBER(SEARCH("MAD",F460)),ISNUMBER(SEARCH("STQA",F460)),F460="CI/CD Session"),8,
OR(ISNUMBER(SEARCH("Cloud",F460)),F460="Industry Readiness Program",ISNUMBER(SEARCH("Talenlio",F460))),9,
OR(ISNUMBER(SEARCH("Innovation",F460)),F460="Mini Project"),10,
OR(ISNUMBER(SEARCH("Data Science",F460)),ISNUMBER(SEARCH("DS",F460))),11,
ISNUMBER(SEARCH("Generative AI",F460)),12
=_xlfn.IFS(
OR(F460="Selenium (Hands-on)",F460="Guest Lecture: HR Interview"),6,
OR(F460="Soft Skill",F460="Soft Skill (Examination)",F460="AWS Training",F460="AWS Session"),7,
OR(ISNUMBER(SEARCH("MAD",F460)),ISNUMBER(SEARCH("STQA",F460)),F460="CI/CD Session"),8,
OR(ISNUMBER(SEARCH("Cloud",F460)),F460="Industry Readiness Program",ISNUMBER(SEARCH("Talenlio",F460))),9,
OR(ISNUMBER(SEARCH("Innovation",F460)),F460="Mini Project"),10,
OR(ISNUMBER(SEARCH("Data Science",F460)),ISNUMBER(SEARCH("DS",F460))),11,
ISNUMBER(SEARCH("Generative AI",F460)),12
))))</f>
        <v>10</v>
      </c>
      <c r="X460" s="3">
        <v>5</v>
      </c>
      <c r="Y460" s="3">
        <v>34</v>
      </c>
      <c r="Z460" s="3" t="s">
        <v>35</v>
      </c>
    </row>
    <row r="461" spans="1:26" x14ac:dyDescent="0.3">
      <c r="A461" s="2">
        <v>46221</v>
      </c>
      <c r="B461" s="3" t="s">
        <v>47</v>
      </c>
      <c r="C461" s="3">
        <v>5</v>
      </c>
      <c r="D461" s="4">
        <v>0.5625</v>
      </c>
      <c r="E461" s="4">
        <v>0.60416666666666696</v>
      </c>
      <c r="F461" s="3" t="s">
        <v>66</v>
      </c>
      <c r="G461" s="3" t="s">
        <v>67</v>
      </c>
      <c r="H461" s="3" t="s">
        <v>29</v>
      </c>
      <c r="I461" s="3" t="s">
        <v>30</v>
      </c>
      <c r="J461" s="3" t="s">
        <v>84</v>
      </c>
      <c r="K461" s="3" t="s">
        <v>52</v>
      </c>
      <c r="L461" s="5">
        <v>102</v>
      </c>
      <c r="M461" s="5">
        <f t="shared" ca="1" si="35"/>
        <v>58</v>
      </c>
      <c r="N461" s="6">
        <f t="shared" ca="1" si="36"/>
        <v>56.862745098039213</v>
      </c>
      <c r="O461" s="3" cm="1">
        <f t="array" aca="1" ref="O461" ca="1">IFERROR(LOOKUP(2, 1/((F$1:F460=F461)*(J$1:J460=J461)*(ROW(F$1:F460)&lt;ROW(F461))), N$1:N460), "")</f>
        <v>50</v>
      </c>
      <c r="P461" s="3">
        <f t="shared" si="39"/>
        <v>1.25</v>
      </c>
      <c r="Q461" s="3" t="s">
        <v>43</v>
      </c>
      <c r="R461" s="3" t="s">
        <v>40</v>
      </c>
      <c r="S461" s="3" t="str">
        <f t="shared" si="37"/>
        <v>Yes</v>
      </c>
      <c r="T461" s="3" t="s">
        <v>34</v>
      </c>
      <c r="U461" s="3" t="str">
        <f t="shared" si="38"/>
        <v>Rainy</v>
      </c>
      <c r="V461" s="3" t="s">
        <v>40</v>
      </c>
      <c r="W461" s="3" cm="1">
        <f t="array" ref="W461">_xlfn.IFS(
OR(F461="Selenium (Hands-on)",F461="Guest Lecture: HR Interview"),6,
OR(F461="Soft Skill",F461="Soft Skill (Examination)",F461="AWS Training",F461="AWS Session"),7,
OR(ISNUMBER(SEARCH("MAD",F461)),ISNUMBER(SEARCH("STQA",F461)),F461="CI/CD Session"),8,
OR(ISNUMBER(SEARCH("Cloud",F461)),F461="Industry Readiness Program",ISNUMBER(SEARCH("Talenlio",F461))),9,
OR(ISNUMBER(SEARCH("Innovation",F461)),F461="Mini Project"),10,
OR(ISNUMBER(SEARCH("Data Science",F461)),ISNUMBER(SEARCH("DS",F461))),11,
ISNUMBER(SEARCH("Generative AI",F461)),12
=_xlfn.IFS(
OR(F461="Selenium (Hands-on)",F461="Guest Lecture: HR Interview"),6,
OR(F461="Soft Skill",F461="Soft Skill (Examination)",F461="AWS Training",F461="AWS Session"),7,
OR(ISNUMBER(SEARCH("MAD",F461)),ISNUMBER(SEARCH("STQA",F461)),F461="CI/CD Session"),8,
OR(ISNUMBER(SEARCH("Cloud",F461)),F461="Industry Readiness Program",ISNUMBER(SEARCH("Talenlio",F461))),9,
OR(ISNUMBER(SEARCH("Innovation",F461)),F461="Mini Project"),10,
OR(ISNUMBER(SEARCH("Data Science",F461)),ISNUMBER(SEARCH("DS",F461))),11,
ISNUMBER(SEARCH("Generative AI",F461)),12
=_xlfn.IFS(
OR(F461="Selenium (Hands-on)",F461="Guest Lecture: HR Interview"),6,
OR(F461="Soft Skill",F461="Soft Skill (Examination)",F461="AWS Training",F461="AWS Session"),7,
OR(ISNUMBER(SEARCH("MAD",F461)),ISNUMBER(SEARCH("STQA",F461)),F461="CI/CD Session"),8,
OR(ISNUMBER(SEARCH("Cloud",F461)),F461="Industry Readiness Program",ISNUMBER(SEARCH("Talenlio",F461))),9,
OR(ISNUMBER(SEARCH("Innovation",F461)),F461="Mini Project"),10,
OR(ISNUMBER(SEARCH("Data Science",F461)),ISNUMBER(SEARCH("DS",F461))),11,
ISNUMBER(SEARCH("Generative AI",F461)),12
=_xlfn.IFS(
OR(F461="Selenium (Hands-on)",F461="Guest Lecture: HR Interview"),6,
OR(F461="Soft Skill",F461="Soft Skill (Examination)",F461="AWS Training",F461="AWS Session"),7,
OR(ISNUMBER(SEARCH("MAD",F461)),ISNUMBER(SEARCH("STQA",F461)),F461="CI/CD Session"),8,
OR(ISNUMBER(SEARCH("Cloud",F461)),F461="Industry Readiness Program",ISNUMBER(SEARCH("Talenlio",F461))),9,
OR(ISNUMBER(SEARCH("Innovation",F461)),F461="Mini Project"),10,
OR(ISNUMBER(SEARCH("Data Science",F461)),ISNUMBER(SEARCH("DS",F461))),11,
ISNUMBER(SEARCH("Generative AI",F461)),12
))))</f>
        <v>10</v>
      </c>
      <c r="X461" s="3">
        <v>5</v>
      </c>
      <c r="Y461" s="3">
        <v>34</v>
      </c>
      <c r="Z461" s="3" t="s">
        <v>38</v>
      </c>
    </row>
    <row r="462" spans="1:26" x14ac:dyDescent="0.3">
      <c r="A462" s="2">
        <v>46221</v>
      </c>
      <c r="B462" s="3" t="s">
        <v>47</v>
      </c>
      <c r="C462" s="3">
        <v>6</v>
      </c>
      <c r="D462" s="4">
        <v>0.60416666666666696</v>
      </c>
      <c r="E462" s="4">
        <v>0.64583333333333304</v>
      </c>
      <c r="F462" s="3" t="s">
        <v>66</v>
      </c>
      <c r="G462" s="3" t="s">
        <v>67</v>
      </c>
      <c r="H462" s="3" t="s">
        <v>29</v>
      </c>
      <c r="I462" s="3" t="s">
        <v>30</v>
      </c>
      <c r="J462" s="3" t="s">
        <v>84</v>
      </c>
      <c r="K462" s="3" t="s">
        <v>52</v>
      </c>
      <c r="L462" s="5">
        <v>102</v>
      </c>
      <c r="M462" s="5">
        <f t="shared" ca="1" si="35"/>
        <v>44</v>
      </c>
      <c r="N462" s="6">
        <f t="shared" ca="1" si="36"/>
        <v>43.137254901960787</v>
      </c>
      <c r="O462" s="3" cm="1">
        <f t="array" aca="1" ref="O462" ca="1">IFERROR(LOOKUP(2, 1/((F$1:F461=F462)*(J$1:J461=J462)*(ROW(F$1:F461)&lt;ROW(F462))), N$1:N461), "")</f>
        <v>56.862745098039213</v>
      </c>
      <c r="P462" s="3">
        <f t="shared" si="39"/>
        <v>0</v>
      </c>
      <c r="Q462" s="3" t="s">
        <v>43</v>
      </c>
      <c r="R462" s="3" t="s">
        <v>40</v>
      </c>
      <c r="S462" s="3" t="str">
        <f t="shared" si="37"/>
        <v>Yes</v>
      </c>
      <c r="T462" s="3" t="s">
        <v>34</v>
      </c>
      <c r="U462" s="3" t="str">
        <f t="shared" si="38"/>
        <v>Rainy</v>
      </c>
      <c r="V462" s="3" t="s">
        <v>40</v>
      </c>
      <c r="W462" s="3" cm="1">
        <f t="array" ref="W462">_xlfn.IFS(
OR(F462="Selenium (Hands-on)",F462="Guest Lecture: HR Interview"),6,
OR(F462="Soft Skill",F462="Soft Skill (Examination)",F462="AWS Training",F462="AWS Session"),7,
OR(ISNUMBER(SEARCH("MAD",F462)),ISNUMBER(SEARCH("STQA",F462)),F462="CI/CD Session"),8,
OR(ISNUMBER(SEARCH("Cloud",F462)),F462="Industry Readiness Program",ISNUMBER(SEARCH("Talenlio",F462))),9,
OR(ISNUMBER(SEARCH("Innovation",F462)),F462="Mini Project"),10,
OR(ISNUMBER(SEARCH("Data Science",F462)),ISNUMBER(SEARCH("DS",F462))),11,
ISNUMBER(SEARCH("Generative AI",F462)),12
=_xlfn.IFS(
OR(F462="Selenium (Hands-on)",F462="Guest Lecture: HR Interview"),6,
OR(F462="Soft Skill",F462="Soft Skill (Examination)",F462="AWS Training",F462="AWS Session"),7,
OR(ISNUMBER(SEARCH("MAD",F462)),ISNUMBER(SEARCH("STQA",F462)),F462="CI/CD Session"),8,
OR(ISNUMBER(SEARCH("Cloud",F462)),F462="Industry Readiness Program",ISNUMBER(SEARCH("Talenlio",F462))),9,
OR(ISNUMBER(SEARCH("Innovation",F462)),F462="Mini Project"),10,
OR(ISNUMBER(SEARCH("Data Science",F462)),ISNUMBER(SEARCH("DS",F462))),11,
ISNUMBER(SEARCH("Generative AI",F462)),12
=_xlfn.IFS(
OR(F462="Selenium (Hands-on)",F462="Guest Lecture: HR Interview"),6,
OR(F462="Soft Skill",F462="Soft Skill (Examination)",F462="AWS Training",F462="AWS Session"),7,
OR(ISNUMBER(SEARCH("MAD",F462)),ISNUMBER(SEARCH("STQA",F462)),F462="CI/CD Session"),8,
OR(ISNUMBER(SEARCH("Cloud",F462)),F462="Industry Readiness Program",ISNUMBER(SEARCH("Talenlio",F462))),9,
OR(ISNUMBER(SEARCH("Innovation",F462)),F462="Mini Project"),10,
OR(ISNUMBER(SEARCH("Data Science",F462)),ISNUMBER(SEARCH("DS",F462))),11,
ISNUMBER(SEARCH("Generative AI",F462)),12
=_xlfn.IFS(
OR(F462="Selenium (Hands-on)",F462="Guest Lecture: HR Interview"),6,
OR(F462="Soft Skill",F462="Soft Skill (Examination)",F462="AWS Training",F462="AWS Session"),7,
OR(ISNUMBER(SEARCH("MAD",F462)),ISNUMBER(SEARCH("STQA",F462)),F462="CI/CD Session"),8,
OR(ISNUMBER(SEARCH("Cloud",F462)),F462="Industry Readiness Program",ISNUMBER(SEARCH("Talenlio",F462))),9,
OR(ISNUMBER(SEARCH("Innovation",F462)),F462="Mini Project"),10,
OR(ISNUMBER(SEARCH("Data Science",F462)),ISNUMBER(SEARCH("DS",F462))),11,
ISNUMBER(SEARCH("Generative AI",F462)),12
))))</f>
        <v>10</v>
      </c>
      <c r="X462" s="3">
        <v>5</v>
      </c>
      <c r="Y462" s="3">
        <v>34</v>
      </c>
      <c r="Z462" s="3" t="s">
        <v>38</v>
      </c>
    </row>
    <row r="463" spans="1:26" x14ac:dyDescent="0.3">
      <c r="A463" s="2">
        <v>46223</v>
      </c>
      <c r="B463" s="3" t="s">
        <v>26</v>
      </c>
      <c r="C463" s="3">
        <v>3</v>
      </c>
      <c r="D463" s="3"/>
      <c r="E463" s="3"/>
      <c r="F463" s="3" t="s">
        <v>69</v>
      </c>
      <c r="G463" s="3" t="s">
        <v>70</v>
      </c>
      <c r="H463" s="3" t="s">
        <v>29</v>
      </c>
      <c r="I463" s="3" t="s">
        <v>30</v>
      </c>
      <c r="J463" s="3" t="s">
        <v>84</v>
      </c>
      <c r="K463" s="3" t="s">
        <v>32</v>
      </c>
      <c r="L463" s="5">
        <v>102</v>
      </c>
      <c r="M463" s="5">
        <f t="shared" ca="1" si="35"/>
        <v>74</v>
      </c>
      <c r="N463" s="6">
        <f t="shared" ca="1" si="36"/>
        <v>72.549019607843135</v>
      </c>
      <c r="O463" s="3">
        <v>64.155181600000006</v>
      </c>
      <c r="P463" s="3">
        <f t="shared" si="39"/>
        <v>0</v>
      </c>
      <c r="Q463" s="3" t="s">
        <v>33</v>
      </c>
      <c r="R463" s="3" t="s">
        <v>40</v>
      </c>
      <c r="S463" s="3" t="str">
        <f t="shared" si="37"/>
        <v>Yes</v>
      </c>
      <c r="T463" s="3" t="s">
        <v>34</v>
      </c>
      <c r="U463" s="3" t="str">
        <f t="shared" si="38"/>
        <v>Rainy</v>
      </c>
      <c r="V463" s="3" t="s">
        <v>34</v>
      </c>
      <c r="W463" s="3" cm="1">
        <f t="array" ref="W463">_xlfn.IFS(
OR(F463="Selenium (Hands-on)",F463="Guest Lecture: HR Interview"),6,
OR(F463="Soft Skill",F463="Soft Skill (Examination)",F463="AWS Training",F463="AWS Session"),7,
OR(ISNUMBER(SEARCH("MAD",F463)),ISNUMBER(SEARCH("STQA",F463)),F463="CI/CD Session"),8,
OR(ISNUMBER(SEARCH("Cloud",F463)),F463="Industry Readiness Program",ISNUMBER(SEARCH("Talenlio",F463))),9,
OR(ISNUMBER(SEARCH("Innovation",F463)),F463="Mini Project"),10,
OR(ISNUMBER(SEARCH("Data Science",F463)),ISNUMBER(SEARCH("DS",F463))),11,
ISNUMBER(SEARCH("Generative AI",F463)),12
=_xlfn.IFS(
OR(F463="Selenium (Hands-on)",F463="Guest Lecture: HR Interview"),6,
OR(F463="Soft Skill",F463="Soft Skill (Examination)",F463="AWS Training",F463="AWS Session"),7,
OR(ISNUMBER(SEARCH("MAD",F463)),ISNUMBER(SEARCH("STQA",F463)),F463="CI/CD Session"),8,
OR(ISNUMBER(SEARCH("Cloud",F463)),F463="Industry Readiness Program",ISNUMBER(SEARCH("Talenlio",F463))),9,
OR(ISNUMBER(SEARCH("Innovation",F463)),F463="Mini Project"),10,
OR(ISNUMBER(SEARCH("Data Science",F463)),ISNUMBER(SEARCH("DS",F463))),11,
ISNUMBER(SEARCH("Generative AI",F463)),12
=_xlfn.IFS(
OR(F463="Selenium (Hands-on)",F463="Guest Lecture: HR Interview"),6,
OR(F463="Soft Skill",F463="Soft Skill (Examination)",F463="AWS Training",F463="AWS Session"),7,
OR(ISNUMBER(SEARCH("MAD",F463)),ISNUMBER(SEARCH("STQA",F463)),F463="CI/CD Session"),8,
OR(ISNUMBER(SEARCH("Cloud",F463)),F463="Industry Readiness Program",ISNUMBER(SEARCH("Talenlio",F463))),9,
OR(ISNUMBER(SEARCH("Innovation",F463)),F463="Mini Project"),10,
OR(ISNUMBER(SEARCH("Data Science",F463)),ISNUMBER(SEARCH("DS",F463))),11,
ISNUMBER(SEARCH("Generative AI",F463)),12
=_xlfn.IFS(
OR(F463="Selenium (Hands-on)",F463="Guest Lecture: HR Interview"),6,
OR(F463="Soft Skill",F463="Soft Skill (Examination)",F463="AWS Training",F463="AWS Session"),7,
OR(ISNUMBER(SEARCH("MAD",F463)),ISNUMBER(SEARCH("STQA",F463)),F463="CI/CD Session"),8,
OR(ISNUMBER(SEARCH("Cloud",F463)),F463="Industry Readiness Program",ISNUMBER(SEARCH("Talenlio",F463))),9,
OR(ISNUMBER(SEARCH("Innovation",F463)),F463="Mini Project"),10,
OR(ISNUMBER(SEARCH("Data Science",F463)),ISNUMBER(SEARCH("DS",F463))),11,
ISNUMBER(SEARCH("Generative AI",F463)),12
))))</f>
        <v>6</v>
      </c>
      <c r="X463" s="3">
        <v>6</v>
      </c>
      <c r="Y463" s="3">
        <v>36</v>
      </c>
      <c r="Z463" s="3"/>
    </row>
    <row r="464" spans="1:26" x14ac:dyDescent="0.3">
      <c r="A464" s="2">
        <v>46223</v>
      </c>
      <c r="B464" s="3" t="s">
        <v>26</v>
      </c>
      <c r="C464" s="3">
        <v>1</v>
      </c>
      <c r="D464" s="4">
        <v>0.375</v>
      </c>
      <c r="E464" s="4">
        <v>0.41666666666666702</v>
      </c>
      <c r="F464" s="3" t="s">
        <v>53</v>
      </c>
      <c r="G464" s="3" t="s">
        <v>68</v>
      </c>
      <c r="H464" s="3" t="s">
        <v>29</v>
      </c>
      <c r="I464" s="3" t="s">
        <v>30</v>
      </c>
      <c r="J464" s="3" t="s">
        <v>84</v>
      </c>
      <c r="K464" s="3" t="s">
        <v>32</v>
      </c>
      <c r="L464" s="5">
        <v>102</v>
      </c>
      <c r="M464" s="5">
        <f t="shared" ca="1" si="35"/>
        <v>60</v>
      </c>
      <c r="N464" s="6">
        <f t="shared" ca="1" si="36"/>
        <v>58.82352941176471</v>
      </c>
      <c r="O464" s="3" cm="1">
        <f t="array" aca="1" ref="O464" ca="1">IFERROR(LOOKUP(2, 1/((F$1:F463=F464)*(J$1:J463=J464)*(ROW(F$1:F463)&lt;ROW(F464))), N$1:N463), "")</f>
        <v>95.098039215686271</v>
      </c>
      <c r="P464" s="3">
        <f t="shared" si="39"/>
        <v>0</v>
      </c>
      <c r="Q464" s="3" t="s">
        <v>33</v>
      </c>
      <c r="R464" s="3" t="s">
        <v>40</v>
      </c>
      <c r="S464" s="3" t="str">
        <f t="shared" si="37"/>
        <v>No</v>
      </c>
      <c r="T464" s="3" t="s">
        <v>34</v>
      </c>
      <c r="U464" s="3" t="str">
        <f t="shared" si="38"/>
        <v>Rainy</v>
      </c>
      <c r="V464" s="3" t="s">
        <v>40</v>
      </c>
      <c r="W464" s="3" cm="1">
        <f t="array" ref="W464">_xlfn.IFS(
OR(F464="Selenium (Hands-on)",F464="Guest Lecture: HR Interview"),6,
OR(F464="Soft Skill",F464="Soft Skill (Examination)",F464="AWS Training",F464="AWS Session"),7,
OR(ISNUMBER(SEARCH("MAD",F464)),ISNUMBER(SEARCH("STQA",F464)),F464="CI/CD Session"),8,
OR(ISNUMBER(SEARCH("Cloud",F464)),F464="Industry Readiness Program",ISNUMBER(SEARCH("Talenlio",F464))),9,
OR(ISNUMBER(SEARCH("Innovation",F464)),F464="Mini Project"),10,
OR(ISNUMBER(SEARCH("Data Science",F464)),ISNUMBER(SEARCH("DS",F464))),11,
ISNUMBER(SEARCH("Generative AI",F464)),12
=_xlfn.IFS(
OR(F464="Selenium (Hands-on)",F464="Guest Lecture: HR Interview"),6,
OR(F464="Soft Skill",F464="Soft Skill (Examination)",F464="AWS Training",F464="AWS Session"),7,
OR(ISNUMBER(SEARCH("MAD",F464)),ISNUMBER(SEARCH("STQA",F464)),F464="CI/CD Session"),8,
OR(ISNUMBER(SEARCH("Cloud",F464)),F464="Industry Readiness Program",ISNUMBER(SEARCH("Talenlio",F464))),9,
OR(ISNUMBER(SEARCH("Innovation",F464)),F464="Mini Project"),10,
OR(ISNUMBER(SEARCH("Data Science",F464)),ISNUMBER(SEARCH("DS",F464))),11,
ISNUMBER(SEARCH("Generative AI",F464)),12
=_xlfn.IFS(
OR(F464="Selenium (Hands-on)",F464="Guest Lecture: HR Interview"),6,
OR(F464="Soft Skill",F464="Soft Skill (Examination)",F464="AWS Training",F464="AWS Session"),7,
OR(ISNUMBER(SEARCH("MAD",F464)),ISNUMBER(SEARCH("STQA",F464)),F464="CI/CD Session"),8,
OR(ISNUMBER(SEARCH("Cloud",F464)),F464="Industry Readiness Program",ISNUMBER(SEARCH("Talenlio",F464))),9,
OR(ISNUMBER(SEARCH("Innovation",F464)),F464="Mini Project"),10,
OR(ISNUMBER(SEARCH("Data Science",F464)),ISNUMBER(SEARCH("DS",F464))),11,
ISNUMBER(SEARCH("Generative AI",F464)),12
=_xlfn.IFS(
OR(F464="Selenium (Hands-on)",F464="Guest Lecture: HR Interview"),6,
OR(F464="Soft Skill",F464="Soft Skill (Examination)",F464="AWS Training",F464="AWS Session"),7,
OR(ISNUMBER(SEARCH("MAD",F464)),ISNUMBER(SEARCH("STQA",F464)),F464="CI/CD Session"),8,
OR(ISNUMBER(SEARCH("Cloud",F464)),F464="Industry Readiness Program",ISNUMBER(SEARCH("Talenlio",F464))),9,
OR(ISNUMBER(SEARCH("Innovation",F464)),F464="Mini Project"),10,
OR(ISNUMBER(SEARCH("Data Science",F464)),ISNUMBER(SEARCH("DS",F464))),11,
ISNUMBER(SEARCH("Generative AI",F464)),12
))))</f>
        <v>10</v>
      </c>
      <c r="X464" s="3">
        <v>6</v>
      </c>
      <c r="Y464" s="3">
        <v>36</v>
      </c>
      <c r="Z464" s="3" t="s">
        <v>35</v>
      </c>
    </row>
    <row r="465" spans="1:26" x14ac:dyDescent="0.3">
      <c r="A465" s="2">
        <v>46223</v>
      </c>
      <c r="B465" s="3" t="s">
        <v>26</v>
      </c>
      <c r="C465" s="3">
        <v>2</v>
      </c>
      <c r="D465" s="4">
        <v>0.41666666666666702</v>
      </c>
      <c r="E465" s="4">
        <v>0.45833333333333298</v>
      </c>
      <c r="F465" s="3" t="s">
        <v>53</v>
      </c>
      <c r="G465" s="3" t="s">
        <v>68</v>
      </c>
      <c r="H465" s="3" t="s">
        <v>29</v>
      </c>
      <c r="I465" s="3" t="s">
        <v>30</v>
      </c>
      <c r="J465" s="3" t="s">
        <v>84</v>
      </c>
      <c r="K465" s="3" t="s">
        <v>32</v>
      </c>
      <c r="L465" s="5">
        <v>102</v>
      </c>
      <c r="M465" s="5">
        <f t="shared" ca="1" si="35"/>
        <v>77</v>
      </c>
      <c r="N465" s="6">
        <f t="shared" ca="1" si="36"/>
        <v>75.490196078431367</v>
      </c>
      <c r="O465" s="3" cm="1">
        <f t="array" aca="1" ref="O465" ca="1">IFERROR(LOOKUP(2, 1/((F$1:F464=F465)*(J$1:J464=J465)*(ROW(F$1:F464)&lt;ROW(F465))), N$1:N464), "")</f>
        <v>58.82352941176471</v>
      </c>
      <c r="P465" s="3">
        <f t="shared" si="39"/>
        <v>0</v>
      </c>
      <c r="Q465" s="3" t="s">
        <v>33</v>
      </c>
      <c r="R465" s="3" t="s">
        <v>40</v>
      </c>
      <c r="S465" s="3" t="str">
        <f t="shared" si="37"/>
        <v>No</v>
      </c>
      <c r="T465" s="3" t="s">
        <v>34</v>
      </c>
      <c r="U465" s="3" t="str">
        <f t="shared" si="38"/>
        <v>Rainy</v>
      </c>
      <c r="V465" s="3" t="s">
        <v>40</v>
      </c>
      <c r="W465" s="3" cm="1">
        <f t="array" ref="W465">_xlfn.IFS(
OR(F465="Selenium (Hands-on)",F465="Guest Lecture: HR Interview"),6,
OR(F465="Soft Skill",F465="Soft Skill (Examination)",F465="AWS Training",F465="AWS Session"),7,
OR(ISNUMBER(SEARCH("MAD",F465)),ISNUMBER(SEARCH("STQA",F465)),F465="CI/CD Session"),8,
OR(ISNUMBER(SEARCH("Cloud",F465)),F465="Industry Readiness Program",ISNUMBER(SEARCH("Talenlio",F465))),9,
OR(ISNUMBER(SEARCH("Innovation",F465)),F465="Mini Project"),10,
OR(ISNUMBER(SEARCH("Data Science",F465)),ISNUMBER(SEARCH("DS",F465))),11,
ISNUMBER(SEARCH("Generative AI",F465)),12
=_xlfn.IFS(
OR(F465="Selenium (Hands-on)",F465="Guest Lecture: HR Interview"),6,
OR(F465="Soft Skill",F465="Soft Skill (Examination)",F465="AWS Training",F465="AWS Session"),7,
OR(ISNUMBER(SEARCH("MAD",F465)),ISNUMBER(SEARCH("STQA",F465)),F465="CI/CD Session"),8,
OR(ISNUMBER(SEARCH("Cloud",F465)),F465="Industry Readiness Program",ISNUMBER(SEARCH("Talenlio",F465))),9,
OR(ISNUMBER(SEARCH("Innovation",F465)),F465="Mini Project"),10,
OR(ISNUMBER(SEARCH("Data Science",F465)),ISNUMBER(SEARCH("DS",F465))),11,
ISNUMBER(SEARCH("Generative AI",F465)),12
=_xlfn.IFS(
OR(F465="Selenium (Hands-on)",F465="Guest Lecture: HR Interview"),6,
OR(F465="Soft Skill",F465="Soft Skill (Examination)",F465="AWS Training",F465="AWS Session"),7,
OR(ISNUMBER(SEARCH("MAD",F465)),ISNUMBER(SEARCH("STQA",F465)),F465="CI/CD Session"),8,
OR(ISNUMBER(SEARCH("Cloud",F465)),F465="Industry Readiness Program",ISNUMBER(SEARCH("Talenlio",F465))),9,
OR(ISNUMBER(SEARCH("Innovation",F465)),F465="Mini Project"),10,
OR(ISNUMBER(SEARCH("Data Science",F465)),ISNUMBER(SEARCH("DS",F465))),11,
ISNUMBER(SEARCH("Generative AI",F465)),12
=_xlfn.IFS(
OR(F465="Selenium (Hands-on)",F465="Guest Lecture: HR Interview"),6,
OR(F465="Soft Skill",F465="Soft Skill (Examination)",F465="AWS Training",F465="AWS Session"),7,
OR(ISNUMBER(SEARCH("MAD",F465)),ISNUMBER(SEARCH("STQA",F465)),F465="CI/CD Session"),8,
OR(ISNUMBER(SEARCH("Cloud",F465)),F465="Industry Readiness Program",ISNUMBER(SEARCH("Talenlio",F465))),9,
OR(ISNUMBER(SEARCH("Innovation",F465)),F465="Mini Project"),10,
OR(ISNUMBER(SEARCH("Data Science",F465)),ISNUMBER(SEARCH("DS",F465))),11,
ISNUMBER(SEARCH("Generative AI",F465)),12
))))</f>
        <v>10</v>
      </c>
      <c r="X465" s="3">
        <v>6</v>
      </c>
      <c r="Y465" s="3">
        <v>36</v>
      </c>
      <c r="Z465" s="3" t="s">
        <v>35</v>
      </c>
    </row>
    <row r="466" spans="1:26" x14ac:dyDescent="0.3">
      <c r="A466" s="2">
        <v>46225</v>
      </c>
      <c r="B466" s="3" t="s">
        <v>44</v>
      </c>
      <c r="C466" s="3">
        <v>1</v>
      </c>
      <c r="D466" s="4">
        <v>0.35416666666666702</v>
      </c>
      <c r="E466" s="4">
        <v>0.38541666666666702</v>
      </c>
      <c r="F466" s="3" t="s">
        <v>50</v>
      </c>
      <c r="G466" s="3" t="s">
        <v>51</v>
      </c>
      <c r="H466" s="3" t="s">
        <v>29</v>
      </c>
      <c r="I466" s="3" t="s">
        <v>30</v>
      </c>
      <c r="J466" s="3" t="s">
        <v>84</v>
      </c>
      <c r="K466" s="3" t="s">
        <v>52</v>
      </c>
      <c r="L466" s="5">
        <v>102</v>
      </c>
      <c r="M466" s="5">
        <f t="shared" ca="1" si="35"/>
        <v>42</v>
      </c>
      <c r="N466" s="6">
        <f t="shared" ca="1" si="36"/>
        <v>41.17647058823529</v>
      </c>
      <c r="O466" s="3" cm="1">
        <f t="array" aca="1" ref="O466" ca="1">IFERROR(LOOKUP(2, 1/((F$1:F465=F466)*(J$1:J465=J466)*(ROW(F$1:F465)&lt;ROW(F466))), N$1:N465), "")</f>
        <v>46.078431372549019</v>
      </c>
      <c r="P466" s="3">
        <f t="shared" si="39"/>
        <v>0</v>
      </c>
      <c r="Q466" s="3" t="s">
        <v>43</v>
      </c>
      <c r="R466" s="3" t="s">
        <v>40</v>
      </c>
      <c r="S466" s="3" t="str">
        <f t="shared" si="37"/>
        <v>No</v>
      </c>
      <c r="T466" s="3" t="s">
        <v>40</v>
      </c>
      <c r="U466" s="3" t="str">
        <f t="shared" si="38"/>
        <v>Rainy</v>
      </c>
      <c r="V466" s="3" t="s">
        <v>40</v>
      </c>
      <c r="W466" s="3" cm="1">
        <f t="array" ref="W466">_xlfn.IFS(
OR(F466="Selenium (Hands-on)",F466="Guest Lecture: HR Interview"),6,
OR(F466="Soft Skill",F466="Soft Skill (Examination)",F466="AWS Training",F466="AWS Session"),7,
OR(ISNUMBER(SEARCH("MAD",F466)),ISNUMBER(SEARCH("STQA",F466)),F466="CI/CD Session"),8,
OR(ISNUMBER(SEARCH("Cloud",F466)),F466="Industry Readiness Program",ISNUMBER(SEARCH("Talenlio",F466))),9,
OR(ISNUMBER(SEARCH("Innovation",F466)),F466="Mini Project"),10,
OR(ISNUMBER(SEARCH("Data Science",F466)),ISNUMBER(SEARCH("DS",F466))),11,
ISNUMBER(SEARCH("Generative AI",F466)),12
=_xlfn.IFS(
OR(F466="Selenium (Hands-on)",F466="Guest Lecture: HR Interview"),6,
OR(F466="Soft Skill",F466="Soft Skill (Examination)",F466="AWS Training",F466="AWS Session"),7,
OR(ISNUMBER(SEARCH("MAD",F466)),ISNUMBER(SEARCH("STQA",F466)),F466="CI/CD Session"),8,
OR(ISNUMBER(SEARCH("Cloud",F466)),F466="Industry Readiness Program",ISNUMBER(SEARCH("Talenlio",F466))),9,
OR(ISNUMBER(SEARCH("Innovation",F466)),F466="Mini Project"),10,
OR(ISNUMBER(SEARCH("Data Science",F466)),ISNUMBER(SEARCH("DS",F466))),11,
ISNUMBER(SEARCH("Generative AI",F466)),12
=_xlfn.IFS(
OR(F466="Selenium (Hands-on)",F466="Guest Lecture: HR Interview"),6,
OR(F466="Soft Skill",F466="Soft Skill (Examination)",F466="AWS Training",F466="AWS Session"),7,
OR(ISNUMBER(SEARCH("MAD",F466)),ISNUMBER(SEARCH("STQA",F466)),F466="CI/CD Session"),8,
OR(ISNUMBER(SEARCH("Cloud",F466)),F466="Industry Readiness Program",ISNUMBER(SEARCH("Talenlio",F466))),9,
OR(ISNUMBER(SEARCH("Innovation",F466)),F466="Mini Project"),10,
OR(ISNUMBER(SEARCH("Data Science",F466)),ISNUMBER(SEARCH("DS",F466))),11,
ISNUMBER(SEARCH("Generative AI",F466)),12
=_xlfn.IFS(
OR(F466="Selenium (Hands-on)",F466="Guest Lecture: HR Interview"),6,
OR(F466="Soft Skill",F466="Soft Skill (Examination)",F466="AWS Training",F466="AWS Session"),7,
OR(ISNUMBER(SEARCH("MAD",F466)),ISNUMBER(SEARCH("STQA",F466)),F466="CI/CD Session"),8,
OR(ISNUMBER(SEARCH("Cloud",F466)),F466="Industry Readiness Program",ISNUMBER(SEARCH("Talenlio",F466))),9,
OR(ISNUMBER(SEARCH("Innovation",F466)),F466="Mini Project"),10,
OR(ISNUMBER(SEARCH("Data Science",F466)),ISNUMBER(SEARCH("DS",F466))),11,
ISNUMBER(SEARCH("Generative AI",F466)),12
))))</f>
        <v>8</v>
      </c>
      <c r="X466" s="3">
        <v>6</v>
      </c>
      <c r="Y466" s="3">
        <v>38</v>
      </c>
      <c r="Z466" s="3" t="s">
        <v>35</v>
      </c>
    </row>
    <row r="467" spans="1:26" x14ac:dyDescent="0.3">
      <c r="A467" s="2">
        <v>46225</v>
      </c>
      <c r="B467" s="3" t="s">
        <v>44</v>
      </c>
      <c r="C467" s="3">
        <v>2</v>
      </c>
      <c r="D467" s="4">
        <v>0.38541666666666702</v>
      </c>
      <c r="E467" s="4">
        <v>0.42708333333333298</v>
      </c>
      <c r="F467" s="3" t="s">
        <v>50</v>
      </c>
      <c r="G467" s="3" t="s">
        <v>51</v>
      </c>
      <c r="H467" s="3" t="s">
        <v>29</v>
      </c>
      <c r="I467" s="3" t="s">
        <v>30</v>
      </c>
      <c r="J467" s="3" t="s">
        <v>84</v>
      </c>
      <c r="K467" s="3" t="s">
        <v>52</v>
      </c>
      <c r="L467" s="5">
        <v>102</v>
      </c>
      <c r="M467" s="5">
        <f t="shared" ca="1" si="35"/>
        <v>98</v>
      </c>
      <c r="N467" s="6">
        <f t="shared" ca="1" si="36"/>
        <v>96.078431372549019</v>
      </c>
      <c r="O467" s="3" cm="1">
        <f t="array" aca="1" ref="O467" ca="1">IFERROR(LOOKUP(2, 1/((F$1:F466=F467)*(J$1:J466=J467)*(ROW(F$1:F466)&lt;ROW(F467))), N$1:N466), "")</f>
        <v>41.17647058823529</v>
      </c>
      <c r="P467" s="3">
        <f t="shared" si="39"/>
        <v>0</v>
      </c>
      <c r="Q467" s="3" t="s">
        <v>43</v>
      </c>
      <c r="R467" s="3" t="s">
        <v>40</v>
      </c>
      <c r="S467" s="3" t="str">
        <f t="shared" si="37"/>
        <v>No</v>
      </c>
      <c r="T467" s="3" t="s">
        <v>40</v>
      </c>
      <c r="U467" s="3" t="str">
        <f t="shared" si="38"/>
        <v>Rainy</v>
      </c>
      <c r="V467" s="3" t="s">
        <v>40</v>
      </c>
      <c r="W467" s="3" cm="1">
        <f t="array" ref="W467">_xlfn.IFS(
OR(F467="Selenium (Hands-on)",F467="Guest Lecture: HR Interview"),6,
OR(F467="Soft Skill",F467="Soft Skill (Examination)",F467="AWS Training",F467="AWS Session"),7,
OR(ISNUMBER(SEARCH("MAD",F467)),ISNUMBER(SEARCH("STQA",F467)),F467="CI/CD Session"),8,
OR(ISNUMBER(SEARCH("Cloud",F467)),F467="Industry Readiness Program",ISNUMBER(SEARCH("Talenlio",F467))),9,
OR(ISNUMBER(SEARCH("Innovation",F467)),F467="Mini Project"),10,
OR(ISNUMBER(SEARCH("Data Science",F467)),ISNUMBER(SEARCH("DS",F467))),11,
ISNUMBER(SEARCH("Generative AI",F467)),12
=_xlfn.IFS(
OR(F467="Selenium (Hands-on)",F467="Guest Lecture: HR Interview"),6,
OR(F467="Soft Skill",F467="Soft Skill (Examination)",F467="AWS Training",F467="AWS Session"),7,
OR(ISNUMBER(SEARCH("MAD",F467)),ISNUMBER(SEARCH("STQA",F467)),F467="CI/CD Session"),8,
OR(ISNUMBER(SEARCH("Cloud",F467)),F467="Industry Readiness Program",ISNUMBER(SEARCH("Talenlio",F467))),9,
OR(ISNUMBER(SEARCH("Innovation",F467)),F467="Mini Project"),10,
OR(ISNUMBER(SEARCH("Data Science",F467)),ISNUMBER(SEARCH("DS",F467))),11,
ISNUMBER(SEARCH("Generative AI",F467)),12
=_xlfn.IFS(
OR(F467="Selenium (Hands-on)",F467="Guest Lecture: HR Interview"),6,
OR(F467="Soft Skill",F467="Soft Skill (Examination)",F467="AWS Training",F467="AWS Session"),7,
OR(ISNUMBER(SEARCH("MAD",F467)),ISNUMBER(SEARCH("STQA",F467)),F467="CI/CD Session"),8,
OR(ISNUMBER(SEARCH("Cloud",F467)),F467="Industry Readiness Program",ISNUMBER(SEARCH("Talenlio",F467))),9,
OR(ISNUMBER(SEARCH("Innovation",F467)),F467="Mini Project"),10,
OR(ISNUMBER(SEARCH("Data Science",F467)),ISNUMBER(SEARCH("DS",F467))),11,
ISNUMBER(SEARCH("Generative AI",F467)),12
=_xlfn.IFS(
OR(F467="Selenium (Hands-on)",F467="Guest Lecture: HR Interview"),6,
OR(F467="Soft Skill",F467="Soft Skill (Examination)",F467="AWS Training",F467="AWS Session"),7,
OR(ISNUMBER(SEARCH("MAD",F467)),ISNUMBER(SEARCH("STQA",F467)),F467="CI/CD Session"),8,
OR(ISNUMBER(SEARCH("Cloud",F467)),F467="Industry Readiness Program",ISNUMBER(SEARCH("Talenlio",F467))),9,
OR(ISNUMBER(SEARCH("Innovation",F467)),F467="Mini Project"),10,
OR(ISNUMBER(SEARCH("Data Science",F467)),ISNUMBER(SEARCH("DS",F467))),11,
ISNUMBER(SEARCH("Generative AI",F467)),12
))))</f>
        <v>8</v>
      </c>
      <c r="X467" s="3">
        <v>6</v>
      </c>
      <c r="Y467" s="3">
        <v>38</v>
      </c>
      <c r="Z467" s="3" t="s">
        <v>35</v>
      </c>
    </row>
    <row r="468" spans="1:26" x14ac:dyDescent="0.3">
      <c r="A468" s="2">
        <v>46225</v>
      </c>
      <c r="B468" s="3" t="s">
        <v>44</v>
      </c>
      <c r="C468" s="3">
        <v>3</v>
      </c>
      <c r="D468" s="4">
        <v>0.42708333333333298</v>
      </c>
      <c r="E468" s="4">
        <v>0.46875</v>
      </c>
      <c r="F468" s="3" t="s">
        <v>62</v>
      </c>
      <c r="G468" s="3" t="s">
        <v>56</v>
      </c>
      <c r="H468" s="3" t="s">
        <v>29</v>
      </c>
      <c r="I468" s="3" t="s">
        <v>30</v>
      </c>
      <c r="J468" s="3" t="s">
        <v>84</v>
      </c>
      <c r="K468" s="3" t="s">
        <v>52</v>
      </c>
      <c r="L468" s="5">
        <v>102</v>
      </c>
      <c r="M468" s="5">
        <f t="shared" ca="1" si="35"/>
        <v>102</v>
      </c>
      <c r="N468" s="6">
        <f t="shared" ca="1" si="36"/>
        <v>100</v>
      </c>
      <c r="O468" s="3" cm="1">
        <f t="array" aca="1" ref="O468" ca="1">IFERROR(LOOKUP(2, 1/((F$1:F467=F468)*(J$1:J467=J468)*(ROW(F$1:F467)&lt;ROW(F468))), N$1:N467), "")</f>
        <v>56.862745098039213</v>
      </c>
      <c r="P468" s="3">
        <f t="shared" si="39"/>
        <v>0</v>
      </c>
      <c r="Q468" s="3" t="s">
        <v>33</v>
      </c>
      <c r="R468" s="3" t="s">
        <v>40</v>
      </c>
      <c r="S468" s="3" t="str">
        <f t="shared" si="37"/>
        <v>No</v>
      </c>
      <c r="T468" s="3" t="s">
        <v>40</v>
      </c>
      <c r="U468" s="3" t="str">
        <f t="shared" si="38"/>
        <v>Rainy</v>
      </c>
      <c r="V468" s="3" t="s">
        <v>40</v>
      </c>
      <c r="W468" s="3">
        <v>7</v>
      </c>
      <c r="X468" s="3">
        <v>6</v>
      </c>
      <c r="Y468" s="3">
        <v>38</v>
      </c>
      <c r="Z468" s="3" t="s">
        <v>35</v>
      </c>
    </row>
    <row r="469" spans="1:26" x14ac:dyDescent="0.3">
      <c r="A469" s="2">
        <v>46225</v>
      </c>
      <c r="B469" s="3" t="s">
        <v>44</v>
      </c>
      <c r="C469" s="3">
        <v>4</v>
      </c>
      <c r="D469" s="4">
        <v>0.46875</v>
      </c>
      <c r="E469" s="4">
        <v>0.51041666666666696</v>
      </c>
      <c r="F469" s="3" t="s">
        <v>57</v>
      </c>
      <c r="G469" s="3" t="s">
        <v>71</v>
      </c>
      <c r="H469" s="3" t="s">
        <v>29</v>
      </c>
      <c r="I469" s="3" t="s">
        <v>30</v>
      </c>
      <c r="J469" s="3" t="s">
        <v>84</v>
      </c>
      <c r="K469" s="3" t="s">
        <v>52</v>
      </c>
      <c r="L469" s="5">
        <v>102</v>
      </c>
      <c r="M469" s="5">
        <f t="shared" ca="1" si="35"/>
        <v>57</v>
      </c>
      <c r="N469" s="6">
        <f t="shared" ca="1" si="36"/>
        <v>55.882352941176471</v>
      </c>
      <c r="O469" s="3" cm="1">
        <f t="array" aca="1" ref="O469" ca="1">IFERROR(LOOKUP(2, 1/((F$1:F468=F469)*(J$1:J468=J469)*(ROW(F$1:F468)&lt;ROW(F469))), N$1:N468), "")</f>
        <v>61.764705882352942</v>
      </c>
      <c r="P469" s="3">
        <f t="shared" si="39"/>
        <v>0</v>
      </c>
      <c r="Q469" s="3" t="s">
        <v>33</v>
      </c>
      <c r="R469" s="3" t="s">
        <v>40</v>
      </c>
      <c r="S469" s="3" t="str">
        <f t="shared" si="37"/>
        <v>No</v>
      </c>
      <c r="T469" s="3" t="s">
        <v>40</v>
      </c>
      <c r="U469" s="3" t="str">
        <f t="shared" si="38"/>
        <v>Rainy</v>
      </c>
      <c r="V469" s="3" t="s">
        <v>40</v>
      </c>
      <c r="W469" s="3" cm="1">
        <f t="array" ref="W469">_xlfn.IFS(
OR(F469="Selenium (Hands-on)",F469="Guest Lecture: HR Interview"),6,
OR(F469="Soft Skill",F469="Soft Skill (Examination)",F469="AWS Training",F469="AWS Session"),7,
OR(ISNUMBER(SEARCH("MAD",F469)),ISNUMBER(SEARCH("STQA",F469)),F469="CI/CD Session"),8,
OR(ISNUMBER(SEARCH("Cloud",F469)),F469="Industry Readiness Program",ISNUMBER(SEARCH("Talenlio",F469))),9,
OR(ISNUMBER(SEARCH("Innovation",F469)),F469="Mini Project"),10,
OR(ISNUMBER(SEARCH("Data Science",F469)),ISNUMBER(SEARCH("DS",F469))),11,
ISNUMBER(SEARCH("Generative AI",F469)),12
=_xlfn.IFS(
OR(F469="Selenium (Hands-on)",F469="Guest Lecture: HR Interview"),6,
OR(F469="Soft Skill",F469="Soft Skill (Examination)",F469="AWS Training",F469="AWS Session"),7,
OR(ISNUMBER(SEARCH("MAD",F469)),ISNUMBER(SEARCH("STQA",F469)),F469="CI/CD Session"),8,
OR(ISNUMBER(SEARCH("Cloud",F469)),F469="Industry Readiness Program",ISNUMBER(SEARCH("Talenlio",F469))),9,
OR(ISNUMBER(SEARCH("Innovation",F469)),F469="Mini Project"),10,
OR(ISNUMBER(SEARCH("Data Science",F469)),ISNUMBER(SEARCH("DS",F469))),11,
ISNUMBER(SEARCH("Generative AI",F469)),12
=_xlfn.IFS(
OR(F469="Selenium (Hands-on)",F469="Guest Lecture: HR Interview"),6,
OR(F469="Soft Skill",F469="Soft Skill (Examination)",F469="AWS Training",F469="AWS Session"),7,
OR(ISNUMBER(SEARCH("MAD",F469)),ISNUMBER(SEARCH("STQA",F469)),F469="CI/CD Session"),8,
OR(ISNUMBER(SEARCH("Cloud",F469)),F469="Industry Readiness Program",ISNUMBER(SEARCH("Talenlio",F469))),9,
OR(ISNUMBER(SEARCH("Innovation",F469)),F469="Mini Project"),10,
OR(ISNUMBER(SEARCH("Data Science",F469)),ISNUMBER(SEARCH("DS",F469))),11,
ISNUMBER(SEARCH("Generative AI",F469)),12
=_xlfn.IFS(
OR(F469="Selenium (Hands-on)",F469="Guest Lecture: HR Interview"),6,
OR(F469="Soft Skill",F469="Soft Skill (Examination)",F469="AWS Training",F469="AWS Session"),7,
OR(ISNUMBER(SEARCH("MAD",F469)),ISNUMBER(SEARCH("STQA",F469)),F469="CI/CD Session"),8,
OR(ISNUMBER(SEARCH("Cloud",F469)),F469="Industry Readiness Program",ISNUMBER(SEARCH("Talenlio",F469))),9,
OR(ISNUMBER(SEARCH("Innovation",F469)),F469="Mini Project"),10,
OR(ISNUMBER(SEARCH("Data Science",F469)),ISNUMBER(SEARCH("DS",F469))),11,
ISNUMBER(SEARCH("Generative AI",F469)),12
))))</f>
        <v>9</v>
      </c>
      <c r="X469" s="3">
        <v>6</v>
      </c>
      <c r="Y469" s="3">
        <v>38</v>
      </c>
      <c r="Z469" s="3" t="s">
        <v>35</v>
      </c>
    </row>
    <row r="470" spans="1:26" x14ac:dyDescent="0.3">
      <c r="A470" s="2">
        <v>46225</v>
      </c>
      <c r="B470" s="3" t="s">
        <v>44</v>
      </c>
      <c r="C470" s="3">
        <v>5</v>
      </c>
      <c r="D470" s="4">
        <v>0.5625</v>
      </c>
      <c r="E470" s="4">
        <v>0.60416666666666696</v>
      </c>
      <c r="F470" s="3" t="s">
        <v>53</v>
      </c>
      <c r="G470" s="3" t="s">
        <v>54</v>
      </c>
      <c r="H470" s="3" t="s">
        <v>29</v>
      </c>
      <c r="I470" s="3" t="s">
        <v>30</v>
      </c>
      <c r="J470" s="3" t="s">
        <v>84</v>
      </c>
      <c r="K470" s="3" t="s">
        <v>52</v>
      </c>
      <c r="L470" s="5">
        <v>102</v>
      </c>
      <c r="M470" s="5">
        <f t="shared" ca="1" si="35"/>
        <v>47</v>
      </c>
      <c r="N470" s="6">
        <f t="shared" ca="1" si="36"/>
        <v>46.078431372549019</v>
      </c>
      <c r="O470" s="3" cm="1">
        <f t="array" aca="1" ref="O470" ca="1">IFERROR(LOOKUP(2, 1/((F$1:F469=F470)*(J$1:J469=J470)*(ROW(F$1:F469)&lt;ROW(F470))), N$1:N469), "")</f>
        <v>75.490196078431367</v>
      </c>
      <c r="P470" s="3">
        <f t="shared" si="39"/>
        <v>1.25</v>
      </c>
      <c r="Q470" s="3" t="s">
        <v>33</v>
      </c>
      <c r="R470" s="3" t="s">
        <v>40</v>
      </c>
      <c r="S470" s="3" t="str">
        <f t="shared" si="37"/>
        <v>No</v>
      </c>
      <c r="T470" s="3" t="s">
        <v>40</v>
      </c>
      <c r="U470" s="3" t="str">
        <f t="shared" si="38"/>
        <v>Rainy</v>
      </c>
      <c r="V470" s="3" t="s">
        <v>40</v>
      </c>
      <c r="W470" s="3" cm="1">
        <f t="array" ref="W470">_xlfn.IFS(
OR(F470="Selenium (Hands-on)",F470="Guest Lecture: HR Interview"),6,
OR(F470="Soft Skill",F470="Soft Skill (Examination)",F470="AWS Training",F470="AWS Session"),7,
OR(ISNUMBER(SEARCH("MAD",F470)),ISNUMBER(SEARCH("STQA",F470)),F470="CI/CD Session"),8,
OR(ISNUMBER(SEARCH("Cloud",F470)),F470="Industry Readiness Program",ISNUMBER(SEARCH("Talenlio",F470))),9,
OR(ISNUMBER(SEARCH("Innovation",F470)),F470="Mini Project"),10,
OR(ISNUMBER(SEARCH("Data Science",F470)),ISNUMBER(SEARCH("DS",F470))),11,
ISNUMBER(SEARCH("Generative AI",F470)),12
=_xlfn.IFS(
OR(F470="Selenium (Hands-on)",F470="Guest Lecture: HR Interview"),6,
OR(F470="Soft Skill",F470="Soft Skill (Examination)",F470="AWS Training",F470="AWS Session"),7,
OR(ISNUMBER(SEARCH("MAD",F470)),ISNUMBER(SEARCH("STQA",F470)),F470="CI/CD Session"),8,
OR(ISNUMBER(SEARCH("Cloud",F470)),F470="Industry Readiness Program",ISNUMBER(SEARCH("Talenlio",F470))),9,
OR(ISNUMBER(SEARCH("Innovation",F470)),F470="Mini Project"),10,
OR(ISNUMBER(SEARCH("Data Science",F470)),ISNUMBER(SEARCH("DS",F470))),11,
ISNUMBER(SEARCH("Generative AI",F470)),12
=_xlfn.IFS(
OR(F470="Selenium (Hands-on)",F470="Guest Lecture: HR Interview"),6,
OR(F470="Soft Skill",F470="Soft Skill (Examination)",F470="AWS Training",F470="AWS Session"),7,
OR(ISNUMBER(SEARCH("MAD",F470)),ISNUMBER(SEARCH("STQA",F470)),F470="CI/CD Session"),8,
OR(ISNUMBER(SEARCH("Cloud",F470)),F470="Industry Readiness Program",ISNUMBER(SEARCH("Talenlio",F470))),9,
OR(ISNUMBER(SEARCH("Innovation",F470)),F470="Mini Project"),10,
OR(ISNUMBER(SEARCH("Data Science",F470)),ISNUMBER(SEARCH("DS",F470))),11,
ISNUMBER(SEARCH("Generative AI",F470)),12
=_xlfn.IFS(
OR(F470="Selenium (Hands-on)",F470="Guest Lecture: HR Interview"),6,
OR(F470="Soft Skill",F470="Soft Skill (Examination)",F470="AWS Training",F470="AWS Session"),7,
OR(ISNUMBER(SEARCH("MAD",F470)),ISNUMBER(SEARCH("STQA",F470)),F470="CI/CD Session"),8,
OR(ISNUMBER(SEARCH("Cloud",F470)),F470="Industry Readiness Program",ISNUMBER(SEARCH("Talenlio",F470))),9,
OR(ISNUMBER(SEARCH("Innovation",F470)),F470="Mini Project"),10,
OR(ISNUMBER(SEARCH("Data Science",F470)),ISNUMBER(SEARCH("DS",F470))),11,
ISNUMBER(SEARCH("Generative AI",F470)),12
))))</f>
        <v>10</v>
      </c>
      <c r="X470" s="3">
        <v>6</v>
      </c>
      <c r="Y470" s="3">
        <v>38</v>
      </c>
      <c r="Z470" s="3" t="s">
        <v>38</v>
      </c>
    </row>
    <row r="471" spans="1:26" x14ac:dyDescent="0.3">
      <c r="A471" s="2">
        <v>46225</v>
      </c>
      <c r="B471" s="3" t="s">
        <v>44</v>
      </c>
      <c r="C471" s="3">
        <v>6</v>
      </c>
      <c r="D471" s="4">
        <v>0.60416666666666696</v>
      </c>
      <c r="E471" s="4">
        <v>0.64583333333333304</v>
      </c>
      <c r="F471" s="3" t="s">
        <v>53</v>
      </c>
      <c r="G471" s="3" t="s">
        <v>54</v>
      </c>
      <c r="H471" s="3" t="s">
        <v>29</v>
      </c>
      <c r="I471" s="3" t="s">
        <v>30</v>
      </c>
      <c r="J471" s="3" t="s">
        <v>84</v>
      </c>
      <c r="K471" s="3" t="s">
        <v>52</v>
      </c>
      <c r="L471" s="5">
        <v>102</v>
      </c>
      <c r="M471" s="5">
        <f t="shared" ca="1" si="35"/>
        <v>101</v>
      </c>
      <c r="N471" s="6">
        <f t="shared" ca="1" si="36"/>
        <v>99.019607843137265</v>
      </c>
      <c r="O471" s="3" cm="1">
        <f t="array" aca="1" ref="O471" ca="1">IFERROR(LOOKUP(2, 1/((F$1:F470=F471)*(J$1:J470=J471)*(ROW(F$1:F470)&lt;ROW(F471))), N$1:N470), "")</f>
        <v>46.078431372549019</v>
      </c>
      <c r="P471" s="3">
        <f t="shared" si="39"/>
        <v>0</v>
      </c>
      <c r="Q471" s="3" t="s">
        <v>33</v>
      </c>
      <c r="R471" s="3" t="s">
        <v>40</v>
      </c>
      <c r="S471" s="3" t="str">
        <f t="shared" si="37"/>
        <v>No</v>
      </c>
      <c r="T471" s="3" t="s">
        <v>40</v>
      </c>
      <c r="U471" s="3" t="str">
        <f t="shared" si="38"/>
        <v>Rainy</v>
      </c>
      <c r="V471" s="3" t="s">
        <v>40</v>
      </c>
      <c r="W471" s="3" cm="1">
        <f t="array" ref="W471">_xlfn.IFS(
OR(F471="Selenium (Hands-on)",F471="Guest Lecture: HR Interview"),6,
OR(F471="Soft Skill",F471="Soft Skill (Examination)",F471="AWS Training",F471="AWS Session"),7,
OR(ISNUMBER(SEARCH("MAD",F471)),ISNUMBER(SEARCH("STQA",F471)),F471="CI/CD Session"),8,
OR(ISNUMBER(SEARCH("Cloud",F471)),F471="Industry Readiness Program",ISNUMBER(SEARCH("Talenlio",F471))),9,
OR(ISNUMBER(SEARCH("Innovation",F471)),F471="Mini Project"),10,
OR(ISNUMBER(SEARCH("Data Science",F471)),ISNUMBER(SEARCH("DS",F471))),11,
ISNUMBER(SEARCH("Generative AI",F471)),12
=_xlfn.IFS(
OR(F471="Selenium (Hands-on)",F471="Guest Lecture: HR Interview"),6,
OR(F471="Soft Skill",F471="Soft Skill (Examination)",F471="AWS Training",F471="AWS Session"),7,
OR(ISNUMBER(SEARCH("MAD",F471)),ISNUMBER(SEARCH("STQA",F471)),F471="CI/CD Session"),8,
OR(ISNUMBER(SEARCH("Cloud",F471)),F471="Industry Readiness Program",ISNUMBER(SEARCH("Talenlio",F471))),9,
OR(ISNUMBER(SEARCH("Innovation",F471)),F471="Mini Project"),10,
OR(ISNUMBER(SEARCH("Data Science",F471)),ISNUMBER(SEARCH("DS",F471))),11,
ISNUMBER(SEARCH("Generative AI",F471)),12
=_xlfn.IFS(
OR(F471="Selenium (Hands-on)",F471="Guest Lecture: HR Interview"),6,
OR(F471="Soft Skill",F471="Soft Skill (Examination)",F471="AWS Training",F471="AWS Session"),7,
OR(ISNUMBER(SEARCH("MAD",F471)),ISNUMBER(SEARCH("STQA",F471)),F471="CI/CD Session"),8,
OR(ISNUMBER(SEARCH("Cloud",F471)),F471="Industry Readiness Program",ISNUMBER(SEARCH("Talenlio",F471))),9,
OR(ISNUMBER(SEARCH("Innovation",F471)),F471="Mini Project"),10,
OR(ISNUMBER(SEARCH("Data Science",F471)),ISNUMBER(SEARCH("DS",F471))),11,
ISNUMBER(SEARCH("Generative AI",F471)),12
=_xlfn.IFS(
OR(F471="Selenium (Hands-on)",F471="Guest Lecture: HR Interview"),6,
OR(F471="Soft Skill",F471="Soft Skill (Examination)",F471="AWS Training",F471="AWS Session"),7,
OR(ISNUMBER(SEARCH("MAD",F471)),ISNUMBER(SEARCH("STQA",F471)),F471="CI/CD Session"),8,
OR(ISNUMBER(SEARCH("Cloud",F471)),F471="Industry Readiness Program",ISNUMBER(SEARCH("Talenlio",F471))),9,
OR(ISNUMBER(SEARCH("Innovation",F471)),F471="Mini Project"),10,
OR(ISNUMBER(SEARCH("Data Science",F471)),ISNUMBER(SEARCH("DS",F471))),11,
ISNUMBER(SEARCH("Generative AI",F471)),12
))))</f>
        <v>10</v>
      </c>
      <c r="X471" s="3">
        <v>6</v>
      </c>
      <c r="Y471" s="3">
        <v>38</v>
      </c>
      <c r="Z471" s="3" t="s">
        <v>38</v>
      </c>
    </row>
    <row r="472" spans="1:26" x14ac:dyDescent="0.3">
      <c r="A472" s="2">
        <v>46226</v>
      </c>
      <c r="B472" s="3" t="s">
        <v>45</v>
      </c>
      <c r="C472" s="3">
        <v>1</v>
      </c>
      <c r="D472" s="4">
        <v>0.35416666666666702</v>
      </c>
      <c r="E472" s="4">
        <v>0.39583333333333298</v>
      </c>
      <c r="F472" s="3" t="s">
        <v>50</v>
      </c>
      <c r="G472" s="3" t="s">
        <v>51</v>
      </c>
      <c r="H472" s="3" t="s">
        <v>29</v>
      </c>
      <c r="I472" s="3" t="s">
        <v>30</v>
      </c>
      <c r="J472" s="3" t="s">
        <v>84</v>
      </c>
      <c r="K472" s="3" t="s">
        <v>52</v>
      </c>
      <c r="L472" s="5">
        <v>102</v>
      </c>
      <c r="M472" s="5">
        <f t="shared" ca="1" si="35"/>
        <v>41</v>
      </c>
      <c r="N472" s="6">
        <f t="shared" ca="1" si="36"/>
        <v>40.196078431372548</v>
      </c>
      <c r="O472" s="3" cm="1">
        <f t="array" aca="1" ref="O472" ca="1">IFERROR(LOOKUP(2, 1/((F$1:F471=F472)*(J$1:J471=J472)*(ROW(F$1:F471)&lt;ROW(F472))), N$1:N471), "")</f>
        <v>96.078431372549019</v>
      </c>
      <c r="P472" s="3">
        <f t="shared" si="39"/>
        <v>0</v>
      </c>
      <c r="Q472" s="3" t="s">
        <v>43</v>
      </c>
      <c r="R472" s="3" t="s">
        <v>40</v>
      </c>
      <c r="S472" s="3" t="str">
        <f t="shared" si="37"/>
        <v>No</v>
      </c>
      <c r="T472" s="3" t="s">
        <v>40</v>
      </c>
      <c r="U472" s="3" t="str">
        <f t="shared" si="38"/>
        <v>Rainy</v>
      </c>
      <c r="V472" s="3" t="s">
        <v>40</v>
      </c>
      <c r="W472" s="3" cm="1">
        <f t="array" ref="W472">_xlfn.IFS(
OR(F472="Selenium (Hands-on)",F472="Guest Lecture: HR Interview"),6,
OR(F472="Soft Skill",F472="Soft Skill (Examination)",F472="AWS Training",F472="AWS Session"),7,
OR(ISNUMBER(SEARCH("MAD",F472)),ISNUMBER(SEARCH("STQA",F472)),F472="CI/CD Session"),8,
OR(ISNUMBER(SEARCH("Cloud",F472)),F472="Industry Readiness Program",ISNUMBER(SEARCH("Talenlio",F472))),9,
OR(ISNUMBER(SEARCH("Innovation",F472)),F472="Mini Project"),10,
OR(ISNUMBER(SEARCH("Data Science",F472)),ISNUMBER(SEARCH("DS",F472))),11,
ISNUMBER(SEARCH("Generative AI",F472)),12
=_xlfn.IFS(
OR(F472="Selenium (Hands-on)",F472="Guest Lecture: HR Interview"),6,
OR(F472="Soft Skill",F472="Soft Skill (Examination)",F472="AWS Training",F472="AWS Session"),7,
OR(ISNUMBER(SEARCH("MAD",F472)),ISNUMBER(SEARCH("STQA",F472)),F472="CI/CD Session"),8,
OR(ISNUMBER(SEARCH("Cloud",F472)),F472="Industry Readiness Program",ISNUMBER(SEARCH("Talenlio",F472))),9,
OR(ISNUMBER(SEARCH("Innovation",F472)),F472="Mini Project"),10,
OR(ISNUMBER(SEARCH("Data Science",F472)),ISNUMBER(SEARCH("DS",F472))),11,
ISNUMBER(SEARCH("Generative AI",F472)),12
=_xlfn.IFS(
OR(F472="Selenium (Hands-on)",F472="Guest Lecture: HR Interview"),6,
OR(F472="Soft Skill",F472="Soft Skill (Examination)",F472="AWS Training",F472="AWS Session"),7,
OR(ISNUMBER(SEARCH("MAD",F472)),ISNUMBER(SEARCH("STQA",F472)),F472="CI/CD Session"),8,
OR(ISNUMBER(SEARCH("Cloud",F472)),F472="Industry Readiness Program",ISNUMBER(SEARCH("Talenlio",F472))),9,
OR(ISNUMBER(SEARCH("Innovation",F472)),F472="Mini Project"),10,
OR(ISNUMBER(SEARCH("Data Science",F472)),ISNUMBER(SEARCH("DS",F472))),11,
ISNUMBER(SEARCH("Generative AI",F472)),12
=_xlfn.IFS(
OR(F472="Selenium (Hands-on)",F472="Guest Lecture: HR Interview"),6,
OR(F472="Soft Skill",F472="Soft Skill (Examination)",F472="AWS Training",F472="AWS Session"),7,
OR(ISNUMBER(SEARCH("MAD",F472)),ISNUMBER(SEARCH("STQA",F472)),F472="CI/CD Session"),8,
OR(ISNUMBER(SEARCH("Cloud",F472)),F472="Industry Readiness Program",ISNUMBER(SEARCH("Talenlio",F472))),9,
OR(ISNUMBER(SEARCH("Innovation",F472)),F472="Mini Project"),10,
OR(ISNUMBER(SEARCH("Data Science",F472)),ISNUMBER(SEARCH("DS",F472))),11,
ISNUMBER(SEARCH("Generative AI",F472)),12
))))</f>
        <v>8</v>
      </c>
      <c r="X472" s="3">
        <v>6</v>
      </c>
      <c r="Y472" s="3">
        <v>39</v>
      </c>
      <c r="Z472" s="3" t="s">
        <v>35</v>
      </c>
    </row>
    <row r="473" spans="1:26" x14ac:dyDescent="0.3">
      <c r="A473" s="2">
        <v>46226</v>
      </c>
      <c r="B473" s="3" t="s">
        <v>45</v>
      </c>
      <c r="C473" s="3">
        <v>2</v>
      </c>
      <c r="D473" s="4">
        <v>0.39583333333333298</v>
      </c>
      <c r="E473" s="4">
        <v>0.44791666666666702</v>
      </c>
      <c r="F473" s="3" t="s">
        <v>59</v>
      </c>
      <c r="G473" s="3" t="s">
        <v>60</v>
      </c>
      <c r="H473" s="3" t="s">
        <v>29</v>
      </c>
      <c r="I473" s="3" t="s">
        <v>30</v>
      </c>
      <c r="J473" s="3" t="s">
        <v>84</v>
      </c>
      <c r="K473" s="3" t="s">
        <v>52</v>
      </c>
      <c r="L473" s="5">
        <v>102</v>
      </c>
      <c r="M473" s="5">
        <f t="shared" ca="1" si="35"/>
        <v>89</v>
      </c>
      <c r="N473" s="6">
        <f t="shared" ca="1" si="36"/>
        <v>87.254901960784309</v>
      </c>
      <c r="O473" s="3" cm="1">
        <f t="array" aca="1" ref="O473" ca="1">IFERROR(LOOKUP(2, 1/((F$1:F472=F473)*(J$1:J472=J473)*(ROW(F$1:F472)&lt;ROW(F473))), N$1:N472), "")</f>
        <v>68.627450980392155</v>
      </c>
      <c r="P473" s="3">
        <f t="shared" si="39"/>
        <v>0</v>
      </c>
      <c r="Q473" s="3" t="s">
        <v>33</v>
      </c>
      <c r="R473" s="3" t="s">
        <v>40</v>
      </c>
      <c r="S473" s="3" t="str">
        <f t="shared" si="37"/>
        <v>No</v>
      </c>
      <c r="T473" s="3" t="s">
        <v>40</v>
      </c>
      <c r="U473" s="3" t="str">
        <f t="shared" si="38"/>
        <v>Rainy</v>
      </c>
      <c r="V473" s="3" t="s">
        <v>40</v>
      </c>
      <c r="W473" s="3" cm="1">
        <f t="array" ref="W473">_xlfn.IFS(
OR(F473="Selenium (Hands-on)",F473="Guest Lecture: HR Interview"),6,
OR(F473="Soft Skill",F473="Soft Skill (Examination)",F473="AWS Training",F473="AWS Session"),7,
OR(ISNUMBER(SEARCH("MAD",F473)),ISNUMBER(SEARCH("STQA",F473)),F473="CI/CD Session"),8,
OR(ISNUMBER(SEARCH("Cloud",F473)),F473="Industry Readiness Program",ISNUMBER(SEARCH("Talenlio",F473))),9,
OR(ISNUMBER(SEARCH("Innovation",F473)),F473="Mini Project"),10,
OR(ISNUMBER(SEARCH("Data Science",F473)),ISNUMBER(SEARCH("DS",F473))),11,
ISNUMBER(SEARCH("Generative AI",F473)),12
=_xlfn.IFS(
OR(F473="Selenium (Hands-on)",F473="Guest Lecture: HR Interview"),6,
OR(F473="Soft Skill",F473="Soft Skill (Examination)",F473="AWS Training",F473="AWS Session"),7,
OR(ISNUMBER(SEARCH("MAD",F473)),ISNUMBER(SEARCH("STQA",F473)),F473="CI/CD Session"),8,
OR(ISNUMBER(SEARCH("Cloud",F473)),F473="Industry Readiness Program",ISNUMBER(SEARCH("Talenlio",F473))),9,
OR(ISNUMBER(SEARCH("Innovation",F473)),F473="Mini Project"),10,
OR(ISNUMBER(SEARCH("Data Science",F473)),ISNUMBER(SEARCH("DS",F473))),11,
ISNUMBER(SEARCH("Generative AI",F473)),12
=_xlfn.IFS(
OR(F473="Selenium (Hands-on)",F473="Guest Lecture: HR Interview"),6,
OR(F473="Soft Skill",F473="Soft Skill (Examination)",F473="AWS Training",F473="AWS Session"),7,
OR(ISNUMBER(SEARCH("MAD",F473)),ISNUMBER(SEARCH("STQA",F473)),F473="CI/CD Session"),8,
OR(ISNUMBER(SEARCH("Cloud",F473)),F473="Industry Readiness Program",ISNUMBER(SEARCH("Talenlio",F473))),9,
OR(ISNUMBER(SEARCH("Innovation",F473)),F473="Mini Project"),10,
OR(ISNUMBER(SEARCH("Data Science",F473)),ISNUMBER(SEARCH("DS",F473))),11,
ISNUMBER(SEARCH("Generative AI",F473)),12
=_xlfn.IFS(
OR(F473="Selenium (Hands-on)",F473="Guest Lecture: HR Interview"),6,
OR(F473="Soft Skill",F473="Soft Skill (Examination)",F473="AWS Training",F473="AWS Session"),7,
OR(ISNUMBER(SEARCH("MAD",F473)),ISNUMBER(SEARCH("STQA",F473)),F473="CI/CD Session"),8,
OR(ISNUMBER(SEARCH("Cloud",F473)),F473="Industry Readiness Program",ISNUMBER(SEARCH("Talenlio",F473))),9,
OR(ISNUMBER(SEARCH("Innovation",F473)),F473="Mini Project"),10,
OR(ISNUMBER(SEARCH("Data Science",F473)),ISNUMBER(SEARCH("DS",F473))),11,
ISNUMBER(SEARCH("Generative AI",F473)),12
))))</f>
        <v>11</v>
      </c>
      <c r="X473" s="3">
        <v>6</v>
      </c>
      <c r="Y473" s="3">
        <v>39</v>
      </c>
      <c r="Z473" s="3" t="s">
        <v>35</v>
      </c>
    </row>
    <row r="474" spans="1:26" x14ac:dyDescent="0.3">
      <c r="A474" s="2">
        <v>46226</v>
      </c>
      <c r="B474" s="3" t="s">
        <v>45</v>
      </c>
      <c r="C474" s="3">
        <v>3</v>
      </c>
      <c r="D474" s="4">
        <v>0.45833333333333298</v>
      </c>
      <c r="E474" s="4">
        <v>0.5</v>
      </c>
      <c r="F474" s="3" t="s">
        <v>72</v>
      </c>
      <c r="G474" s="3" t="s">
        <v>64</v>
      </c>
      <c r="H474" s="3" t="s">
        <v>29</v>
      </c>
      <c r="I474" s="3" t="s">
        <v>30</v>
      </c>
      <c r="J474" s="3" t="s">
        <v>84</v>
      </c>
      <c r="K474" s="3" t="s">
        <v>32</v>
      </c>
      <c r="L474" s="5">
        <v>102</v>
      </c>
      <c r="M474" s="5">
        <f t="shared" ca="1" si="35"/>
        <v>74</v>
      </c>
      <c r="N474" s="6">
        <f t="shared" ca="1" si="36"/>
        <v>72.549019607843135</v>
      </c>
      <c r="O474" s="3">
        <v>54</v>
      </c>
      <c r="P474" s="3">
        <f t="shared" si="39"/>
        <v>0.25</v>
      </c>
      <c r="Q474" s="3" t="s">
        <v>43</v>
      </c>
      <c r="R474" s="3" t="s">
        <v>40</v>
      </c>
      <c r="S474" s="3" t="str">
        <f t="shared" si="37"/>
        <v>Yes</v>
      </c>
      <c r="T474" s="3" t="s">
        <v>40</v>
      </c>
      <c r="U474" s="3" t="str">
        <f t="shared" si="38"/>
        <v>Rainy</v>
      </c>
      <c r="V474" s="3" t="s">
        <v>34</v>
      </c>
      <c r="W474" s="3" cm="1">
        <f t="array" ref="W474">_xlfn.IFS(
OR(F474="Selenium (Hands-on)",F474="Guest Lecture: HR Interview"),6,
OR(F474="Soft Skill",F474="Soft Skill (Examination)",F474="AWS Training",F474="AWS Session"),7,
OR(ISNUMBER(SEARCH("MAD",F474)),ISNUMBER(SEARCH("STQA",F474)),F474="CI/CD Session"),8,
OR(ISNUMBER(SEARCH("Cloud",F474)),F474="Industry Readiness Program",ISNUMBER(SEARCH("Talenlio",F474))),9,
OR(ISNUMBER(SEARCH("Innovation",F474)),F474="Mini Project"),10,
OR(ISNUMBER(SEARCH("Data Science",F474)),ISNUMBER(SEARCH("DS",F474))),11,
ISNUMBER(SEARCH("Generative AI",F474)),12
=_xlfn.IFS(
OR(F474="Selenium (Hands-on)",F474="Guest Lecture: HR Interview"),6,
OR(F474="Soft Skill",F474="Soft Skill (Examination)",F474="AWS Training",F474="AWS Session"),7,
OR(ISNUMBER(SEARCH("MAD",F474)),ISNUMBER(SEARCH("STQA",F474)),F474="CI/CD Session"),8,
OR(ISNUMBER(SEARCH("Cloud",F474)),F474="Industry Readiness Program",ISNUMBER(SEARCH("Talenlio",F474))),9,
OR(ISNUMBER(SEARCH("Innovation",F474)),F474="Mini Project"),10,
OR(ISNUMBER(SEARCH("Data Science",F474)),ISNUMBER(SEARCH("DS",F474))),11,
ISNUMBER(SEARCH("Generative AI",F474)),12
=_xlfn.IFS(
OR(F474="Selenium (Hands-on)",F474="Guest Lecture: HR Interview"),6,
OR(F474="Soft Skill",F474="Soft Skill (Examination)",F474="AWS Training",F474="AWS Session"),7,
OR(ISNUMBER(SEARCH("MAD",F474)),ISNUMBER(SEARCH("STQA",F474)),F474="CI/CD Session"),8,
OR(ISNUMBER(SEARCH("Cloud",F474)),F474="Industry Readiness Program",ISNUMBER(SEARCH("Talenlio",F474))),9,
OR(ISNUMBER(SEARCH("Innovation",F474)),F474="Mini Project"),10,
OR(ISNUMBER(SEARCH("Data Science",F474)),ISNUMBER(SEARCH("DS",F474))),11,
ISNUMBER(SEARCH("Generative AI",F474)),12
=_xlfn.IFS(
OR(F474="Selenium (Hands-on)",F474="Guest Lecture: HR Interview"),6,
OR(F474="Soft Skill",F474="Soft Skill (Examination)",F474="AWS Training",F474="AWS Session"),7,
OR(ISNUMBER(SEARCH("MAD",F474)),ISNUMBER(SEARCH("STQA",F474)),F474="CI/CD Session"),8,
OR(ISNUMBER(SEARCH("Cloud",F474)),F474="Industry Readiness Program",ISNUMBER(SEARCH("Talenlio",F474))),9,
OR(ISNUMBER(SEARCH("Innovation",F474)),F474="Mini Project"),10,
OR(ISNUMBER(SEARCH("Data Science",F474)),ISNUMBER(SEARCH("DS",F474))),11,
ISNUMBER(SEARCH("Generative AI",F474)),12
))))</f>
        <v>9</v>
      </c>
      <c r="X474" s="3">
        <v>6</v>
      </c>
      <c r="Y474" s="3">
        <v>39</v>
      </c>
      <c r="Z474" s="3" t="s">
        <v>35</v>
      </c>
    </row>
    <row r="475" spans="1:26" x14ac:dyDescent="0.3">
      <c r="A475" s="2">
        <v>46226</v>
      </c>
      <c r="B475" s="3" t="s">
        <v>45</v>
      </c>
      <c r="C475" s="3">
        <v>4</v>
      </c>
      <c r="D475" s="4">
        <v>0.5625</v>
      </c>
      <c r="E475" s="4">
        <v>0.60416666666666696</v>
      </c>
      <c r="F475" s="3" t="s">
        <v>62</v>
      </c>
      <c r="G475" s="3" t="s">
        <v>56</v>
      </c>
      <c r="H475" s="3" t="s">
        <v>29</v>
      </c>
      <c r="I475" s="3" t="s">
        <v>30</v>
      </c>
      <c r="J475" s="3" t="s">
        <v>84</v>
      </c>
      <c r="K475" s="3" t="s">
        <v>52</v>
      </c>
      <c r="L475" s="5">
        <v>102</v>
      </c>
      <c r="M475" s="5">
        <f t="shared" ca="1" si="35"/>
        <v>59</v>
      </c>
      <c r="N475" s="6">
        <f t="shared" ca="1" si="36"/>
        <v>57.843137254901968</v>
      </c>
      <c r="O475" s="3" cm="1">
        <f t="array" aca="1" ref="O475" ca="1">IFERROR(LOOKUP(2, 1/((F$1:F474=F475)*(J$1:J474=J475)*(ROW(F$1:F474)&lt;ROW(F475))), N$1:N474), "")</f>
        <v>100</v>
      </c>
      <c r="P475" s="3">
        <f t="shared" si="39"/>
        <v>1.5</v>
      </c>
      <c r="Q475" s="3" t="s">
        <v>33</v>
      </c>
      <c r="R475" s="3" t="s">
        <v>40</v>
      </c>
      <c r="S475" s="3" t="str">
        <f t="shared" si="37"/>
        <v>No</v>
      </c>
      <c r="T475" s="3" t="s">
        <v>40</v>
      </c>
      <c r="U475" s="3" t="str">
        <f t="shared" si="38"/>
        <v>Rainy</v>
      </c>
      <c r="V475" s="3" t="s">
        <v>40</v>
      </c>
      <c r="W475" s="3">
        <v>7</v>
      </c>
      <c r="X475" s="3">
        <v>6</v>
      </c>
      <c r="Y475" s="3">
        <v>39</v>
      </c>
      <c r="Z475" s="3" t="s">
        <v>38</v>
      </c>
    </row>
    <row r="476" spans="1:26" x14ac:dyDescent="0.3">
      <c r="A476" s="2">
        <v>46227</v>
      </c>
      <c r="B476" s="3" t="s">
        <v>46</v>
      </c>
      <c r="C476" s="3">
        <v>1</v>
      </c>
      <c r="D476" s="4">
        <v>0.35416666666666702</v>
      </c>
      <c r="E476" s="4">
        <v>0.38541666666666702</v>
      </c>
      <c r="F476" s="3" t="s">
        <v>50</v>
      </c>
      <c r="G476" s="3" t="s">
        <v>51</v>
      </c>
      <c r="H476" s="3" t="s">
        <v>29</v>
      </c>
      <c r="I476" s="3" t="s">
        <v>30</v>
      </c>
      <c r="J476" s="3" t="s">
        <v>84</v>
      </c>
      <c r="K476" s="3" t="s">
        <v>52</v>
      </c>
      <c r="L476" s="5">
        <v>102</v>
      </c>
      <c r="M476" s="5">
        <f t="shared" ca="1" si="35"/>
        <v>78</v>
      </c>
      <c r="N476" s="6">
        <f t="shared" ca="1" si="36"/>
        <v>76.470588235294116</v>
      </c>
      <c r="O476" s="3" cm="1">
        <f t="array" aca="1" ref="O476" ca="1">IFERROR(LOOKUP(2, 1/((F$1:F475=F476)*(J$1:J475=J476)*(ROW(F$1:F475)&lt;ROW(F476))), N$1:N475), "")</f>
        <v>40.196078431372548</v>
      </c>
      <c r="P476" s="3">
        <f t="shared" si="39"/>
        <v>0</v>
      </c>
      <c r="Q476" s="3" t="s">
        <v>43</v>
      </c>
      <c r="R476" s="3" t="s">
        <v>40</v>
      </c>
      <c r="S476" s="3" t="str">
        <f t="shared" si="37"/>
        <v>Yes</v>
      </c>
      <c r="T476" s="3" t="s">
        <v>40</v>
      </c>
      <c r="U476" s="3" t="str">
        <f t="shared" si="38"/>
        <v>Rainy</v>
      </c>
      <c r="V476" s="3" t="s">
        <v>40</v>
      </c>
      <c r="W476" s="3" cm="1">
        <f t="array" ref="W476">_xlfn.IFS(
OR(F476="Selenium (Hands-on)",F476="Guest Lecture: HR Interview"),6,
OR(F476="Soft Skill",F476="Soft Skill (Examination)",F476="AWS Training",F476="AWS Session"),7,
OR(ISNUMBER(SEARCH("MAD",F476)),ISNUMBER(SEARCH("STQA",F476)),F476="CI/CD Session"),8,
OR(ISNUMBER(SEARCH("Cloud",F476)),F476="Industry Readiness Program",ISNUMBER(SEARCH("Talenlio",F476))),9,
OR(ISNUMBER(SEARCH("Innovation",F476)),F476="Mini Project"),10,
OR(ISNUMBER(SEARCH("Data Science",F476)),ISNUMBER(SEARCH("DS",F476))),11,
ISNUMBER(SEARCH("Generative AI",F476)),12
=_xlfn.IFS(
OR(F476="Selenium (Hands-on)",F476="Guest Lecture: HR Interview"),6,
OR(F476="Soft Skill",F476="Soft Skill (Examination)",F476="AWS Training",F476="AWS Session"),7,
OR(ISNUMBER(SEARCH("MAD",F476)),ISNUMBER(SEARCH("STQA",F476)),F476="CI/CD Session"),8,
OR(ISNUMBER(SEARCH("Cloud",F476)),F476="Industry Readiness Program",ISNUMBER(SEARCH("Talenlio",F476))),9,
OR(ISNUMBER(SEARCH("Innovation",F476)),F476="Mini Project"),10,
OR(ISNUMBER(SEARCH("Data Science",F476)),ISNUMBER(SEARCH("DS",F476))),11,
ISNUMBER(SEARCH("Generative AI",F476)),12
=_xlfn.IFS(
OR(F476="Selenium (Hands-on)",F476="Guest Lecture: HR Interview"),6,
OR(F476="Soft Skill",F476="Soft Skill (Examination)",F476="AWS Training",F476="AWS Session"),7,
OR(ISNUMBER(SEARCH("MAD",F476)),ISNUMBER(SEARCH("STQA",F476)),F476="CI/CD Session"),8,
OR(ISNUMBER(SEARCH("Cloud",F476)),F476="Industry Readiness Program",ISNUMBER(SEARCH("Talenlio",F476))),9,
OR(ISNUMBER(SEARCH("Innovation",F476)),F476="Mini Project"),10,
OR(ISNUMBER(SEARCH("Data Science",F476)),ISNUMBER(SEARCH("DS",F476))),11,
ISNUMBER(SEARCH("Generative AI",F476)),12
=_xlfn.IFS(
OR(F476="Selenium (Hands-on)",F476="Guest Lecture: HR Interview"),6,
OR(F476="Soft Skill",F476="Soft Skill (Examination)",F476="AWS Training",F476="AWS Session"),7,
OR(ISNUMBER(SEARCH("MAD",F476)),ISNUMBER(SEARCH("STQA",F476)),F476="CI/CD Session"),8,
OR(ISNUMBER(SEARCH("Cloud",F476)),F476="Industry Readiness Program",ISNUMBER(SEARCH("Talenlio",F476))),9,
OR(ISNUMBER(SEARCH("Innovation",F476)),F476="Mini Project"),10,
OR(ISNUMBER(SEARCH("Data Science",F476)),ISNUMBER(SEARCH("DS",F476))),11,
ISNUMBER(SEARCH("Generative AI",F476)),12
))))</f>
        <v>8</v>
      </c>
      <c r="X476" s="3">
        <v>6</v>
      </c>
      <c r="Y476" s="3">
        <v>40</v>
      </c>
      <c r="Z476" s="3" t="s">
        <v>35</v>
      </c>
    </row>
    <row r="477" spans="1:26" x14ac:dyDescent="0.3">
      <c r="A477" s="2">
        <v>46227</v>
      </c>
      <c r="B477" s="3" t="s">
        <v>46</v>
      </c>
      <c r="C477" s="3">
        <v>2</v>
      </c>
      <c r="D477" s="4">
        <v>0.39583333333333298</v>
      </c>
      <c r="E477" s="4">
        <v>0.4375</v>
      </c>
      <c r="F477" s="3" t="s">
        <v>50</v>
      </c>
      <c r="G477" s="3" t="s">
        <v>51</v>
      </c>
      <c r="H477" s="3" t="s">
        <v>29</v>
      </c>
      <c r="I477" s="3" t="s">
        <v>30</v>
      </c>
      <c r="J477" s="3" t="s">
        <v>84</v>
      </c>
      <c r="K477" s="3" t="s">
        <v>52</v>
      </c>
      <c r="L477" s="5">
        <v>102</v>
      </c>
      <c r="M477" s="5">
        <f t="shared" ca="1" si="35"/>
        <v>69</v>
      </c>
      <c r="N477" s="6">
        <f t="shared" ca="1" si="36"/>
        <v>67.64705882352942</v>
      </c>
      <c r="O477" s="3" cm="1">
        <f t="array" aca="1" ref="O477" ca="1">IFERROR(LOOKUP(2, 1/((F$1:F476=F477)*(J$1:J476=J477)*(ROW(F$1:F476)&lt;ROW(F477))), N$1:N476), "")</f>
        <v>76.470588235294116</v>
      </c>
      <c r="P477" s="3">
        <f t="shared" si="39"/>
        <v>0.25</v>
      </c>
      <c r="Q477" s="3" t="s">
        <v>43</v>
      </c>
      <c r="R477" s="3" t="s">
        <v>40</v>
      </c>
      <c r="S477" s="3" t="str">
        <f t="shared" si="37"/>
        <v>Yes</v>
      </c>
      <c r="T477" s="3" t="s">
        <v>40</v>
      </c>
      <c r="U477" s="3" t="str">
        <f t="shared" si="38"/>
        <v>Rainy</v>
      </c>
      <c r="V477" s="3" t="s">
        <v>40</v>
      </c>
      <c r="W477" s="3" cm="1">
        <f t="array" ref="W477">_xlfn.IFS(
OR(F477="Selenium (Hands-on)",F477="Guest Lecture: HR Interview"),6,
OR(F477="Soft Skill",F477="Soft Skill (Examination)",F477="AWS Training",F477="AWS Session"),7,
OR(ISNUMBER(SEARCH("MAD",F477)),ISNUMBER(SEARCH("STQA",F477)),F477="CI/CD Session"),8,
OR(ISNUMBER(SEARCH("Cloud",F477)),F477="Industry Readiness Program",ISNUMBER(SEARCH("Talenlio",F477))),9,
OR(ISNUMBER(SEARCH("Innovation",F477)),F477="Mini Project"),10,
OR(ISNUMBER(SEARCH("Data Science",F477)),ISNUMBER(SEARCH("DS",F477))),11,
ISNUMBER(SEARCH("Generative AI",F477)),12
=_xlfn.IFS(
OR(F477="Selenium (Hands-on)",F477="Guest Lecture: HR Interview"),6,
OR(F477="Soft Skill",F477="Soft Skill (Examination)",F477="AWS Training",F477="AWS Session"),7,
OR(ISNUMBER(SEARCH("MAD",F477)),ISNUMBER(SEARCH("STQA",F477)),F477="CI/CD Session"),8,
OR(ISNUMBER(SEARCH("Cloud",F477)),F477="Industry Readiness Program",ISNUMBER(SEARCH("Talenlio",F477))),9,
OR(ISNUMBER(SEARCH("Innovation",F477)),F477="Mini Project"),10,
OR(ISNUMBER(SEARCH("Data Science",F477)),ISNUMBER(SEARCH("DS",F477))),11,
ISNUMBER(SEARCH("Generative AI",F477)),12
=_xlfn.IFS(
OR(F477="Selenium (Hands-on)",F477="Guest Lecture: HR Interview"),6,
OR(F477="Soft Skill",F477="Soft Skill (Examination)",F477="AWS Training",F477="AWS Session"),7,
OR(ISNUMBER(SEARCH("MAD",F477)),ISNUMBER(SEARCH("STQA",F477)),F477="CI/CD Session"),8,
OR(ISNUMBER(SEARCH("Cloud",F477)),F477="Industry Readiness Program",ISNUMBER(SEARCH("Talenlio",F477))),9,
OR(ISNUMBER(SEARCH("Innovation",F477)),F477="Mini Project"),10,
OR(ISNUMBER(SEARCH("Data Science",F477)),ISNUMBER(SEARCH("DS",F477))),11,
ISNUMBER(SEARCH("Generative AI",F477)),12
=_xlfn.IFS(
OR(F477="Selenium (Hands-on)",F477="Guest Lecture: HR Interview"),6,
OR(F477="Soft Skill",F477="Soft Skill (Examination)",F477="AWS Training",F477="AWS Session"),7,
OR(ISNUMBER(SEARCH("MAD",F477)),ISNUMBER(SEARCH("STQA",F477)),F477="CI/CD Session"),8,
OR(ISNUMBER(SEARCH("Cloud",F477)),F477="Industry Readiness Program",ISNUMBER(SEARCH("Talenlio",F477))),9,
OR(ISNUMBER(SEARCH("Innovation",F477)),F477="Mini Project"),10,
OR(ISNUMBER(SEARCH("Data Science",F477)),ISNUMBER(SEARCH("DS",F477))),11,
ISNUMBER(SEARCH("Generative AI",F477)),12
))))</f>
        <v>8</v>
      </c>
      <c r="X477" s="3">
        <v>6</v>
      </c>
      <c r="Y477" s="3">
        <v>40</v>
      </c>
      <c r="Z477" s="3" t="s">
        <v>35</v>
      </c>
    </row>
    <row r="478" spans="1:26" x14ac:dyDescent="0.3">
      <c r="A478" s="2">
        <v>46227</v>
      </c>
      <c r="B478" s="3" t="s">
        <v>46</v>
      </c>
      <c r="C478" s="3">
        <v>3</v>
      </c>
      <c r="D478" s="4">
        <v>0.4375</v>
      </c>
      <c r="E478" s="4">
        <v>0.47916666666666702</v>
      </c>
      <c r="F478" s="3" t="s">
        <v>59</v>
      </c>
      <c r="G478" s="3" t="s">
        <v>60</v>
      </c>
      <c r="H478" s="3" t="s">
        <v>29</v>
      </c>
      <c r="I478" s="3" t="s">
        <v>30</v>
      </c>
      <c r="J478" s="3" t="s">
        <v>84</v>
      </c>
      <c r="K478" s="3" t="s">
        <v>52</v>
      </c>
      <c r="L478" s="5">
        <v>102</v>
      </c>
      <c r="M478" s="5">
        <f t="shared" ca="1" si="35"/>
        <v>81</v>
      </c>
      <c r="N478" s="6">
        <f t="shared" ca="1" si="36"/>
        <v>79.411764705882348</v>
      </c>
      <c r="O478" s="3" cm="1">
        <f t="array" aca="1" ref="O478" ca="1">IFERROR(LOOKUP(2, 1/((F$1:F477=F478)*(J$1:J477=J478)*(ROW(F$1:F477)&lt;ROW(F478))), N$1:N477), "")</f>
        <v>87.254901960784309</v>
      </c>
      <c r="P478" s="3">
        <f t="shared" si="39"/>
        <v>0</v>
      </c>
      <c r="Q478" s="3" t="s">
        <v>33</v>
      </c>
      <c r="R478" s="3" t="s">
        <v>40</v>
      </c>
      <c r="S478" s="3" t="str">
        <f t="shared" si="37"/>
        <v>Yes</v>
      </c>
      <c r="T478" s="3" t="s">
        <v>40</v>
      </c>
      <c r="U478" s="3" t="str">
        <f t="shared" si="38"/>
        <v>Rainy</v>
      </c>
      <c r="V478" s="3" t="s">
        <v>40</v>
      </c>
      <c r="W478" s="3" cm="1">
        <f t="array" ref="W478">_xlfn.IFS(
OR(F478="Selenium (Hands-on)",F478="Guest Lecture: HR Interview"),6,
OR(F478="Soft Skill",F478="Soft Skill (Examination)",F478="AWS Training",F478="AWS Session"),7,
OR(ISNUMBER(SEARCH("MAD",F478)),ISNUMBER(SEARCH("STQA",F478)),F478="CI/CD Session"),8,
OR(ISNUMBER(SEARCH("Cloud",F478)),F478="Industry Readiness Program",ISNUMBER(SEARCH("Talenlio",F478))),9,
OR(ISNUMBER(SEARCH("Innovation",F478)),F478="Mini Project"),10,
OR(ISNUMBER(SEARCH("Data Science",F478)),ISNUMBER(SEARCH("DS",F478))),11,
ISNUMBER(SEARCH("Generative AI",F478)),12
=_xlfn.IFS(
OR(F478="Selenium (Hands-on)",F478="Guest Lecture: HR Interview"),6,
OR(F478="Soft Skill",F478="Soft Skill (Examination)",F478="AWS Training",F478="AWS Session"),7,
OR(ISNUMBER(SEARCH("MAD",F478)),ISNUMBER(SEARCH("STQA",F478)),F478="CI/CD Session"),8,
OR(ISNUMBER(SEARCH("Cloud",F478)),F478="Industry Readiness Program",ISNUMBER(SEARCH("Talenlio",F478))),9,
OR(ISNUMBER(SEARCH("Innovation",F478)),F478="Mini Project"),10,
OR(ISNUMBER(SEARCH("Data Science",F478)),ISNUMBER(SEARCH("DS",F478))),11,
ISNUMBER(SEARCH("Generative AI",F478)),12
=_xlfn.IFS(
OR(F478="Selenium (Hands-on)",F478="Guest Lecture: HR Interview"),6,
OR(F478="Soft Skill",F478="Soft Skill (Examination)",F478="AWS Training",F478="AWS Session"),7,
OR(ISNUMBER(SEARCH("MAD",F478)),ISNUMBER(SEARCH("STQA",F478)),F478="CI/CD Session"),8,
OR(ISNUMBER(SEARCH("Cloud",F478)),F478="Industry Readiness Program",ISNUMBER(SEARCH("Talenlio",F478))),9,
OR(ISNUMBER(SEARCH("Innovation",F478)),F478="Mini Project"),10,
OR(ISNUMBER(SEARCH("Data Science",F478)),ISNUMBER(SEARCH("DS",F478))),11,
ISNUMBER(SEARCH("Generative AI",F478)),12
=_xlfn.IFS(
OR(F478="Selenium (Hands-on)",F478="Guest Lecture: HR Interview"),6,
OR(F478="Soft Skill",F478="Soft Skill (Examination)",F478="AWS Training",F478="AWS Session"),7,
OR(ISNUMBER(SEARCH("MAD",F478)),ISNUMBER(SEARCH("STQA",F478)),F478="CI/CD Session"),8,
OR(ISNUMBER(SEARCH("Cloud",F478)),F478="Industry Readiness Program",ISNUMBER(SEARCH("Talenlio",F478))),9,
OR(ISNUMBER(SEARCH("Innovation",F478)),F478="Mini Project"),10,
OR(ISNUMBER(SEARCH("Data Science",F478)),ISNUMBER(SEARCH("DS",F478))),11,
ISNUMBER(SEARCH("Generative AI",F478)),12
))))</f>
        <v>11</v>
      </c>
      <c r="X478" s="3">
        <v>6</v>
      </c>
      <c r="Y478" s="3">
        <v>40</v>
      </c>
      <c r="Z478" s="3" t="s">
        <v>35</v>
      </c>
    </row>
    <row r="479" spans="1:26" x14ac:dyDescent="0.3">
      <c r="A479" s="2">
        <v>46227</v>
      </c>
      <c r="B479" s="3" t="s">
        <v>46</v>
      </c>
      <c r="C479" s="3">
        <v>4</v>
      </c>
      <c r="D479" s="4">
        <v>0.5625</v>
      </c>
      <c r="E479" s="4">
        <v>0.60416666666666696</v>
      </c>
      <c r="F479" s="3" t="s">
        <v>62</v>
      </c>
      <c r="G479" s="3" t="s">
        <v>56</v>
      </c>
      <c r="H479" s="3" t="s">
        <v>29</v>
      </c>
      <c r="I479" s="3" t="s">
        <v>30</v>
      </c>
      <c r="J479" s="3" t="s">
        <v>84</v>
      </c>
      <c r="K479" s="3" t="s">
        <v>52</v>
      </c>
      <c r="L479" s="5">
        <v>102</v>
      </c>
      <c r="M479" s="5">
        <f t="shared" ca="1" si="35"/>
        <v>44</v>
      </c>
      <c r="N479" s="6">
        <f t="shared" ca="1" si="36"/>
        <v>43.137254901960787</v>
      </c>
      <c r="O479" s="3" cm="1">
        <f t="array" aca="1" ref="O479" ca="1">IFERROR(LOOKUP(2, 1/((F$1:F478=F479)*(J$1:J478=J479)*(ROW(F$1:F478)&lt;ROW(F479))), N$1:N478), "")</f>
        <v>57.843137254901968</v>
      </c>
      <c r="P479" s="3">
        <f t="shared" si="39"/>
        <v>2</v>
      </c>
      <c r="Q479" s="3" t="s">
        <v>33</v>
      </c>
      <c r="R479" s="3" t="s">
        <v>40</v>
      </c>
      <c r="S479" s="3" t="str">
        <f t="shared" si="37"/>
        <v>Yes</v>
      </c>
      <c r="T479" s="3" t="s">
        <v>40</v>
      </c>
      <c r="U479" s="3" t="str">
        <f t="shared" si="38"/>
        <v>Rainy</v>
      </c>
      <c r="V479" s="3" t="s">
        <v>40</v>
      </c>
      <c r="W479" s="3">
        <v>7</v>
      </c>
      <c r="X479" s="3">
        <v>6</v>
      </c>
      <c r="Y479" s="3">
        <v>40</v>
      </c>
      <c r="Z479" s="3" t="s">
        <v>38</v>
      </c>
    </row>
    <row r="480" spans="1:26" x14ac:dyDescent="0.3">
      <c r="A480" s="2">
        <v>46227</v>
      </c>
      <c r="B480" s="3" t="s">
        <v>46</v>
      </c>
      <c r="C480" s="3">
        <v>5</v>
      </c>
      <c r="D480" s="4">
        <v>0.60416666666666696</v>
      </c>
      <c r="E480" s="4">
        <v>0.64583333333333304</v>
      </c>
      <c r="F480" s="3" t="s">
        <v>62</v>
      </c>
      <c r="G480" s="3" t="s">
        <v>56</v>
      </c>
      <c r="H480" s="3" t="s">
        <v>29</v>
      </c>
      <c r="I480" s="3" t="s">
        <v>30</v>
      </c>
      <c r="J480" s="3" t="s">
        <v>84</v>
      </c>
      <c r="K480" s="3" t="s">
        <v>52</v>
      </c>
      <c r="L480" s="5">
        <v>102</v>
      </c>
      <c r="M480" s="5">
        <f t="shared" ca="1" si="35"/>
        <v>40</v>
      </c>
      <c r="N480" s="6">
        <f t="shared" ca="1" si="36"/>
        <v>39.215686274509807</v>
      </c>
      <c r="O480" s="3" cm="1">
        <f t="array" aca="1" ref="O480" ca="1">IFERROR(LOOKUP(2, 1/((F$1:F479=F480)*(J$1:J479=J480)*(ROW(F$1:F479)&lt;ROW(F480))), N$1:N479), "")</f>
        <v>43.137254901960787</v>
      </c>
      <c r="P480" s="3">
        <f t="shared" si="39"/>
        <v>0</v>
      </c>
      <c r="Q480" s="3" t="s">
        <v>33</v>
      </c>
      <c r="R480" s="3" t="s">
        <v>40</v>
      </c>
      <c r="S480" s="3" t="str">
        <f t="shared" si="37"/>
        <v>Yes</v>
      </c>
      <c r="T480" s="3" t="s">
        <v>40</v>
      </c>
      <c r="U480" s="3" t="str">
        <f t="shared" si="38"/>
        <v>Rainy</v>
      </c>
      <c r="V480" s="3" t="s">
        <v>40</v>
      </c>
      <c r="W480" s="3">
        <v>7</v>
      </c>
      <c r="X480" s="3">
        <v>6</v>
      </c>
      <c r="Y480" s="3">
        <v>40</v>
      </c>
      <c r="Z480" s="3" t="s">
        <v>38</v>
      </c>
    </row>
    <row r="481" spans="1:26" x14ac:dyDescent="0.3">
      <c r="A481" s="2">
        <v>46228</v>
      </c>
      <c r="B481" s="3" t="s">
        <v>47</v>
      </c>
      <c r="C481" s="3">
        <v>1</v>
      </c>
      <c r="D481" s="4">
        <v>0.35416666666666702</v>
      </c>
      <c r="E481" s="4">
        <v>0.38541666666666702</v>
      </c>
      <c r="F481" s="3" t="s">
        <v>65</v>
      </c>
      <c r="G481" s="3" t="s">
        <v>51</v>
      </c>
      <c r="H481" s="3" t="s">
        <v>29</v>
      </c>
      <c r="I481" s="3" t="s">
        <v>30</v>
      </c>
      <c r="J481" s="3" t="s">
        <v>84</v>
      </c>
      <c r="K481" s="3" t="s">
        <v>52</v>
      </c>
      <c r="L481" s="5">
        <v>102</v>
      </c>
      <c r="M481" s="5">
        <f t="shared" ca="1" si="35"/>
        <v>85</v>
      </c>
      <c r="N481" s="6">
        <f t="shared" ca="1" si="36"/>
        <v>83.333333333333343</v>
      </c>
      <c r="O481" s="3" cm="1">
        <f t="array" aca="1" ref="O481" ca="1">IFERROR(LOOKUP(2, 1/((F$1:F480=F481)*(J$1:J480=J481)*(ROW(F$1:F480)&lt;ROW(F481))), N$1:N480), "")</f>
        <v>93.137254901960787</v>
      </c>
      <c r="P481" s="3">
        <f t="shared" si="39"/>
        <v>0</v>
      </c>
      <c r="Q481" s="3" t="s">
        <v>43</v>
      </c>
      <c r="R481" s="3" t="s">
        <v>40</v>
      </c>
      <c r="S481" s="3" t="str">
        <f t="shared" si="37"/>
        <v>No</v>
      </c>
      <c r="T481" s="3" t="s">
        <v>34</v>
      </c>
      <c r="U481" s="3" t="str">
        <f t="shared" si="38"/>
        <v>Rainy</v>
      </c>
      <c r="V481" s="3" t="s">
        <v>40</v>
      </c>
      <c r="W481" s="3" cm="1">
        <f t="array" ref="W481">_xlfn.IFS(
OR(F481="Selenium (Hands-on)",F481="Guest Lecture: HR Interview"),6,
OR(F481="Soft Skill",F481="Soft Skill (Examination)",F481="AWS Training",F481="AWS Session"),7,
OR(ISNUMBER(SEARCH("MAD",F481)),ISNUMBER(SEARCH("STQA",F481)),F481="CI/CD Session"),8,
OR(ISNUMBER(SEARCH("Cloud",F481)),F481="Industry Readiness Program",ISNUMBER(SEARCH("Talenlio",F481))),9,
OR(ISNUMBER(SEARCH("Innovation",F481)),F481="Mini Project"),10,
OR(ISNUMBER(SEARCH("Data Science",F481)),ISNUMBER(SEARCH("DS",F481))),11,
ISNUMBER(SEARCH("Generative AI",F481)),12
=_xlfn.IFS(
OR(F481="Selenium (Hands-on)",F481="Guest Lecture: HR Interview"),6,
OR(F481="Soft Skill",F481="Soft Skill (Examination)",F481="AWS Training",F481="AWS Session"),7,
OR(ISNUMBER(SEARCH("MAD",F481)),ISNUMBER(SEARCH("STQA",F481)),F481="CI/CD Session"),8,
OR(ISNUMBER(SEARCH("Cloud",F481)),F481="Industry Readiness Program",ISNUMBER(SEARCH("Talenlio",F481))),9,
OR(ISNUMBER(SEARCH("Innovation",F481)),F481="Mini Project"),10,
OR(ISNUMBER(SEARCH("Data Science",F481)),ISNUMBER(SEARCH("DS",F481))),11,
ISNUMBER(SEARCH("Generative AI",F481)),12
=_xlfn.IFS(
OR(F481="Selenium (Hands-on)",F481="Guest Lecture: HR Interview"),6,
OR(F481="Soft Skill",F481="Soft Skill (Examination)",F481="AWS Training",F481="AWS Session"),7,
OR(ISNUMBER(SEARCH("MAD",F481)),ISNUMBER(SEARCH("STQA",F481)),F481="CI/CD Session"),8,
OR(ISNUMBER(SEARCH("Cloud",F481)),F481="Industry Readiness Program",ISNUMBER(SEARCH("Talenlio",F481))),9,
OR(ISNUMBER(SEARCH("Innovation",F481)),F481="Mini Project"),10,
OR(ISNUMBER(SEARCH("Data Science",F481)),ISNUMBER(SEARCH("DS",F481))),11,
ISNUMBER(SEARCH("Generative AI",F481)),12
=_xlfn.IFS(
OR(F481="Selenium (Hands-on)",F481="Guest Lecture: HR Interview"),6,
OR(F481="Soft Skill",F481="Soft Skill (Examination)",F481="AWS Training",F481="AWS Session"),7,
OR(ISNUMBER(SEARCH("MAD",F481)),ISNUMBER(SEARCH("STQA",F481)),F481="CI/CD Session"),8,
OR(ISNUMBER(SEARCH("Cloud",F481)),F481="Industry Readiness Program",ISNUMBER(SEARCH("Talenlio",F481))),9,
OR(ISNUMBER(SEARCH("Innovation",F481)),F481="Mini Project"),10,
OR(ISNUMBER(SEARCH("Data Science",F481)),ISNUMBER(SEARCH("DS",F481))),11,
ISNUMBER(SEARCH("Generative AI",F481)),12
))))</f>
        <v>8</v>
      </c>
      <c r="X481" s="3">
        <v>6</v>
      </c>
      <c r="Y481" s="3">
        <v>41</v>
      </c>
      <c r="Z481" s="3" t="s">
        <v>35</v>
      </c>
    </row>
    <row r="482" spans="1:26" x14ac:dyDescent="0.3">
      <c r="A482" s="2">
        <v>46228</v>
      </c>
      <c r="B482" s="3" t="s">
        <v>47</v>
      </c>
      <c r="C482" s="3">
        <v>2</v>
      </c>
      <c r="D482" s="4">
        <v>0.38541666666666702</v>
      </c>
      <c r="E482" s="4">
        <v>0.42708333333333298</v>
      </c>
      <c r="F482" s="3" t="s">
        <v>65</v>
      </c>
      <c r="G482" s="3" t="s">
        <v>51</v>
      </c>
      <c r="H482" s="3" t="s">
        <v>29</v>
      </c>
      <c r="I482" s="3" t="s">
        <v>30</v>
      </c>
      <c r="J482" s="3" t="s">
        <v>84</v>
      </c>
      <c r="K482" s="3" t="s">
        <v>52</v>
      </c>
      <c r="L482" s="5">
        <v>102</v>
      </c>
      <c r="M482" s="5">
        <f t="shared" ca="1" si="35"/>
        <v>56</v>
      </c>
      <c r="N482" s="6">
        <f t="shared" ca="1" si="36"/>
        <v>54.901960784313729</v>
      </c>
      <c r="O482" s="3" cm="1">
        <f t="array" aca="1" ref="O482" ca="1">IFERROR(LOOKUP(2, 1/((F$1:F481=F482)*(J$1:J481=J482)*(ROW(F$1:F481)&lt;ROW(F482))), N$1:N481), "")</f>
        <v>83.333333333333343</v>
      </c>
      <c r="P482" s="3">
        <f t="shared" si="39"/>
        <v>0</v>
      </c>
      <c r="Q482" s="3" t="s">
        <v>43</v>
      </c>
      <c r="R482" s="3" t="s">
        <v>40</v>
      </c>
      <c r="S482" s="3" t="str">
        <f t="shared" si="37"/>
        <v>No</v>
      </c>
      <c r="T482" s="3" t="s">
        <v>34</v>
      </c>
      <c r="U482" s="3" t="str">
        <f t="shared" si="38"/>
        <v>Rainy</v>
      </c>
      <c r="V482" s="3" t="s">
        <v>40</v>
      </c>
      <c r="W482" s="3" cm="1">
        <f t="array" ref="W482">_xlfn.IFS(
OR(F482="Selenium (Hands-on)",F482="Guest Lecture: HR Interview"),6,
OR(F482="Soft Skill",F482="Soft Skill (Examination)",F482="AWS Training",F482="AWS Session"),7,
OR(ISNUMBER(SEARCH("MAD",F482)),ISNUMBER(SEARCH("STQA",F482)),F482="CI/CD Session"),8,
OR(ISNUMBER(SEARCH("Cloud",F482)),F482="Industry Readiness Program",ISNUMBER(SEARCH("Talenlio",F482))),9,
OR(ISNUMBER(SEARCH("Innovation",F482)),F482="Mini Project"),10,
OR(ISNUMBER(SEARCH("Data Science",F482)),ISNUMBER(SEARCH("DS",F482))),11,
ISNUMBER(SEARCH("Generative AI",F482)),12
=_xlfn.IFS(
OR(F482="Selenium (Hands-on)",F482="Guest Lecture: HR Interview"),6,
OR(F482="Soft Skill",F482="Soft Skill (Examination)",F482="AWS Training",F482="AWS Session"),7,
OR(ISNUMBER(SEARCH("MAD",F482)),ISNUMBER(SEARCH("STQA",F482)),F482="CI/CD Session"),8,
OR(ISNUMBER(SEARCH("Cloud",F482)),F482="Industry Readiness Program",ISNUMBER(SEARCH("Talenlio",F482))),9,
OR(ISNUMBER(SEARCH("Innovation",F482)),F482="Mini Project"),10,
OR(ISNUMBER(SEARCH("Data Science",F482)),ISNUMBER(SEARCH("DS",F482))),11,
ISNUMBER(SEARCH("Generative AI",F482)),12
=_xlfn.IFS(
OR(F482="Selenium (Hands-on)",F482="Guest Lecture: HR Interview"),6,
OR(F482="Soft Skill",F482="Soft Skill (Examination)",F482="AWS Training",F482="AWS Session"),7,
OR(ISNUMBER(SEARCH("MAD",F482)),ISNUMBER(SEARCH("STQA",F482)),F482="CI/CD Session"),8,
OR(ISNUMBER(SEARCH("Cloud",F482)),F482="Industry Readiness Program",ISNUMBER(SEARCH("Talenlio",F482))),9,
OR(ISNUMBER(SEARCH("Innovation",F482)),F482="Mini Project"),10,
OR(ISNUMBER(SEARCH("Data Science",F482)),ISNUMBER(SEARCH("DS",F482))),11,
ISNUMBER(SEARCH("Generative AI",F482)),12
=_xlfn.IFS(
OR(F482="Selenium (Hands-on)",F482="Guest Lecture: HR Interview"),6,
OR(F482="Soft Skill",F482="Soft Skill (Examination)",F482="AWS Training",F482="AWS Session"),7,
OR(ISNUMBER(SEARCH("MAD",F482)),ISNUMBER(SEARCH("STQA",F482)),F482="CI/CD Session"),8,
OR(ISNUMBER(SEARCH("Cloud",F482)),F482="Industry Readiness Program",ISNUMBER(SEARCH("Talenlio",F482))),9,
OR(ISNUMBER(SEARCH("Innovation",F482)),F482="Mini Project"),10,
OR(ISNUMBER(SEARCH("Data Science",F482)),ISNUMBER(SEARCH("DS",F482))),11,
ISNUMBER(SEARCH("Generative AI",F482)),12
))))</f>
        <v>8</v>
      </c>
      <c r="X482" s="3">
        <v>6</v>
      </c>
      <c r="Y482" s="3">
        <v>41</v>
      </c>
      <c r="Z482" s="3" t="s">
        <v>35</v>
      </c>
    </row>
    <row r="483" spans="1:26" x14ac:dyDescent="0.3">
      <c r="A483" s="2">
        <v>46228</v>
      </c>
      <c r="B483" s="3" t="s">
        <v>47</v>
      </c>
      <c r="C483" s="3">
        <v>3</v>
      </c>
      <c r="D483" s="4">
        <v>0.42708333333333298</v>
      </c>
      <c r="E483" s="4">
        <v>0.46875</v>
      </c>
      <c r="F483" s="3" t="s">
        <v>66</v>
      </c>
      <c r="G483" s="3" t="s">
        <v>67</v>
      </c>
      <c r="H483" s="3" t="s">
        <v>29</v>
      </c>
      <c r="I483" s="3" t="s">
        <v>30</v>
      </c>
      <c r="J483" s="3" t="s">
        <v>84</v>
      </c>
      <c r="K483" s="3" t="s">
        <v>52</v>
      </c>
      <c r="L483" s="5">
        <v>102</v>
      </c>
      <c r="M483" s="5">
        <f t="shared" ca="1" si="35"/>
        <v>81</v>
      </c>
      <c r="N483" s="6">
        <f t="shared" ca="1" si="36"/>
        <v>79.411764705882348</v>
      </c>
      <c r="O483" s="3" cm="1">
        <f t="array" aca="1" ref="O483" ca="1">IFERROR(LOOKUP(2, 1/((F$1:F482=F483)*(J$1:J482=J483)*(ROW(F$1:F482)&lt;ROW(F483))), N$1:N482), "")</f>
        <v>43.137254901960787</v>
      </c>
      <c r="P483" s="3">
        <f t="shared" si="39"/>
        <v>0</v>
      </c>
      <c r="Q483" s="3" t="s">
        <v>43</v>
      </c>
      <c r="R483" s="3" t="s">
        <v>40</v>
      </c>
      <c r="S483" s="3" t="str">
        <f t="shared" si="37"/>
        <v>Yes</v>
      </c>
      <c r="T483" s="3" t="s">
        <v>34</v>
      </c>
      <c r="U483" s="3" t="str">
        <f t="shared" si="38"/>
        <v>Rainy</v>
      </c>
      <c r="V483" s="3" t="s">
        <v>40</v>
      </c>
      <c r="W483" s="3" cm="1">
        <f t="array" ref="W483">_xlfn.IFS(
OR(F483="Selenium (Hands-on)",F483="Guest Lecture: HR Interview"),6,
OR(F483="Soft Skill",F483="Soft Skill (Examination)",F483="AWS Training",F483="AWS Session"),7,
OR(ISNUMBER(SEARCH("MAD",F483)),ISNUMBER(SEARCH("STQA",F483)),F483="CI/CD Session"),8,
OR(ISNUMBER(SEARCH("Cloud",F483)),F483="Industry Readiness Program",ISNUMBER(SEARCH("Talenlio",F483))),9,
OR(ISNUMBER(SEARCH("Innovation",F483)),F483="Mini Project"),10,
OR(ISNUMBER(SEARCH("Data Science",F483)),ISNUMBER(SEARCH("DS",F483))),11,
ISNUMBER(SEARCH("Generative AI",F483)),12
=_xlfn.IFS(
OR(F483="Selenium (Hands-on)",F483="Guest Lecture: HR Interview"),6,
OR(F483="Soft Skill",F483="Soft Skill (Examination)",F483="AWS Training",F483="AWS Session"),7,
OR(ISNUMBER(SEARCH("MAD",F483)),ISNUMBER(SEARCH("STQA",F483)),F483="CI/CD Session"),8,
OR(ISNUMBER(SEARCH("Cloud",F483)),F483="Industry Readiness Program",ISNUMBER(SEARCH("Talenlio",F483))),9,
OR(ISNUMBER(SEARCH("Innovation",F483)),F483="Mini Project"),10,
OR(ISNUMBER(SEARCH("Data Science",F483)),ISNUMBER(SEARCH("DS",F483))),11,
ISNUMBER(SEARCH("Generative AI",F483)),12
=_xlfn.IFS(
OR(F483="Selenium (Hands-on)",F483="Guest Lecture: HR Interview"),6,
OR(F483="Soft Skill",F483="Soft Skill (Examination)",F483="AWS Training",F483="AWS Session"),7,
OR(ISNUMBER(SEARCH("MAD",F483)),ISNUMBER(SEARCH("STQA",F483)),F483="CI/CD Session"),8,
OR(ISNUMBER(SEARCH("Cloud",F483)),F483="Industry Readiness Program",ISNUMBER(SEARCH("Talenlio",F483))),9,
OR(ISNUMBER(SEARCH("Innovation",F483)),F483="Mini Project"),10,
OR(ISNUMBER(SEARCH("Data Science",F483)),ISNUMBER(SEARCH("DS",F483))),11,
ISNUMBER(SEARCH("Generative AI",F483)),12
=_xlfn.IFS(
OR(F483="Selenium (Hands-on)",F483="Guest Lecture: HR Interview"),6,
OR(F483="Soft Skill",F483="Soft Skill (Examination)",F483="AWS Training",F483="AWS Session"),7,
OR(ISNUMBER(SEARCH("MAD",F483)),ISNUMBER(SEARCH("STQA",F483)),F483="CI/CD Session"),8,
OR(ISNUMBER(SEARCH("Cloud",F483)),F483="Industry Readiness Program",ISNUMBER(SEARCH("Talenlio",F483))),9,
OR(ISNUMBER(SEARCH("Innovation",F483)),F483="Mini Project"),10,
OR(ISNUMBER(SEARCH("Data Science",F483)),ISNUMBER(SEARCH("DS",F483))),11,
ISNUMBER(SEARCH("Generative AI",F483)),12
))))</f>
        <v>10</v>
      </c>
      <c r="X483" s="3">
        <v>6</v>
      </c>
      <c r="Y483" s="3">
        <v>41</v>
      </c>
      <c r="Z483" s="3" t="s">
        <v>35</v>
      </c>
    </row>
    <row r="484" spans="1:26" x14ac:dyDescent="0.3">
      <c r="A484" s="2">
        <v>46228</v>
      </c>
      <c r="B484" s="3" t="s">
        <v>47</v>
      </c>
      <c r="C484" s="3">
        <v>4</v>
      </c>
      <c r="D484" s="4">
        <v>0.46875</v>
      </c>
      <c r="E484" s="4">
        <v>0.51041666666666696</v>
      </c>
      <c r="F484" s="3" t="s">
        <v>66</v>
      </c>
      <c r="G484" s="3" t="s">
        <v>67</v>
      </c>
      <c r="H484" s="3" t="s">
        <v>29</v>
      </c>
      <c r="I484" s="3" t="s">
        <v>30</v>
      </c>
      <c r="J484" s="3" t="s">
        <v>84</v>
      </c>
      <c r="K484" s="3" t="s">
        <v>52</v>
      </c>
      <c r="L484" s="5">
        <v>102</v>
      </c>
      <c r="M484" s="5">
        <f t="shared" ca="1" si="35"/>
        <v>58</v>
      </c>
      <c r="N484" s="6">
        <f t="shared" ca="1" si="36"/>
        <v>56.862745098039213</v>
      </c>
      <c r="O484" s="3" cm="1">
        <f t="array" aca="1" ref="O484" ca="1">IFERROR(LOOKUP(2, 1/((F$1:F483=F484)*(J$1:J483=J484)*(ROW(F$1:F483)&lt;ROW(F484))), N$1:N483), "")</f>
        <v>79.411764705882348</v>
      </c>
      <c r="P484" s="3">
        <f t="shared" si="39"/>
        <v>0</v>
      </c>
      <c r="Q484" s="3" t="s">
        <v>43</v>
      </c>
      <c r="R484" s="3" t="s">
        <v>40</v>
      </c>
      <c r="S484" s="3" t="str">
        <f t="shared" si="37"/>
        <v>Yes</v>
      </c>
      <c r="T484" s="3" t="s">
        <v>34</v>
      </c>
      <c r="U484" s="3" t="str">
        <f t="shared" si="38"/>
        <v>Rainy</v>
      </c>
      <c r="V484" s="3" t="s">
        <v>40</v>
      </c>
      <c r="W484" s="3" cm="1">
        <f t="array" ref="W484">_xlfn.IFS(
OR(F484="Selenium (Hands-on)",F484="Guest Lecture: HR Interview"),6,
OR(F484="Soft Skill",F484="Soft Skill (Examination)",F484="AWS Training",F484="AWS Session"),7,
OR(ISNUMBER(SEARCH("MAD",F484)),ISNUMBER(SEARCH("STQA",F484)),F484="CI/CD Session"),8,
OR(ISNUMBER(SEARCH("Cloud",F484)),F484="Industry Readiness Program",ISNUMBER(SEARCH("Talenlio",F484))),9,
OR(ISNUMBER(SEARCH("Innovation",F484)),F484="Mini Project"),10,
OR(ISNUMBER(SEARCH("Data Science",F484)),ISNUMBER(SEARCH("DS",F484))),11,
ISNUMBER(SEARCH("Generative AI",F484)),12
=_xlfn.IFS(
OR(F484="Selenium (Hands-on)",F484="Guest Lecture: HR Interview"),6,
OR(F484="Soft Skill",F484="Soft Skill (Examination)",F484="AWS Training",F484="AWS Session"),7,
OR(ISNUMBER(SEARCH("MAD",F484)),ISNUMBER(SEARCH("STQA",F484)),F484="CI/CD Session"),8,
OR(ISNUMBER(SEARCH("Cloud",F484)),F484="Industry Readiness Program",ISNUMBER(SEARCH("Talenlio",F484))),9,
OR(ISNUMBER(SEARCH("Innovation",F484)),F484="Mini Project"),10,
OR(ISNUMBER(SEARCH("Data Science",F484)),ISNUMBER(SEARCH("DS",F484))),11,
ISNUMBER(SEARCH("Generative AI",F484)),12
=_xlfn.IFS(
OR(F484="Selenium (Hands-on)",F484="Guest Lecture: HR Interview"),6,
OR(F484="Soft Skill",F484="Soft Skill (Examination)",F484="AWS Training",F484="AWS Session"),7,
OR(ISNUMBER(SEARCH("MAD",F484)),ISNUMBER(SEARCH("STQA",F484)),F484="CI/CD Session"),8,
OR(ISNUMBER(SEARCH("Cloud",F484)),F484="Industry Readiness Program",ISNUMBER(SEARCH("Talenlio",F484))),9,
OR(ISNUMBER(SEARCH("Innovation",F484)),F484="Mini Project"),10,
OR(ISNUMBER(SEARCH("Data Science",F484)),ISNUMBER(SEARCH("DS",F484))),11,
ISNUMBER(SEARCH("Generative AI",F484)),12
=_xlfn.IFS(
OR(F484="Selenium (Hands-on)",F484="Guest Lecture: HR Interview"),6,
OR(F484="Soft Skill",F484="Soft Skill (Examination)",F484="AWS Training",F484="AWS Session"),7,
OR(ISNUMBER(SEARCH("MAD",F484)),ISNUMBER(SEARCH("STQA",F484)),F484="CI/CD Session"),8,
OR(ISNUMBER(SEARCH("Cloud",F484)),F484="Industry Readiness Program",ISNUMBER(SEARCH("Talenlio",F484))),9,
OR(ISNUMBER(SEARCH("Innovation",F484)),F484="Mini Project"),10,
OR(ISNUMBER(SEARCH("Data Science",F484)),ISNUMBER(SEARCH("DS",F484))),11,
ISNUMBER(SEARCH("Generative AI",F484)),12
))))</f>
        <v>10</v>
      </c>
      <c r="X484" s="3">
        <v>6</v>
      </c>
      <c r="Y484" s="3">
        <v>41</v>
      </c>
      <c r="Z484" s="3" t="s">
        <v>35</v>
      </c>
    </row>
    <row r="485" spans="1:26" x14ac:dyDescent="0.3">
      <c r="A485" s="2">
        <v>46228</v>
      </c>
      <c r="B485" s="3" t="s">
        <v>47</v>
      </c>
      <c r="C485" s="3">
        <v>5</v>
      </c>
      <c r="D485" s="4">
        <v>0.5625</v>
      </c>
      <c r="E485" s="4">
        <v>0.60416666666666696</v>
      </c>
      <c r="F485" s="3" t="s">
        <v>66</v>
      </c>
      <c r="G485" s="3" t="s">
        <v>67</v>
      </c>
      <c r="H485" s="3" t="s">
        <v>29</v>
      </c>
      <c r="I485" s="3" t="s">
        <v>30</v>
      </c>
      <c r="J485" s="3" t="s">
        <v>84</v>
      </c>
      <c r="K485" s="3" t="s">
        <v>52</v>
      </c>
      <c r="L485" s="5">
        <v>102</v>
      </c>
      <c r="M485" s="5">
        <f t="shared" ca="1" si="35"/>
        <v>66</v>
      </c>
      <c r="N485" s="6">
        <f t="shared" ca="1" si="36"/>
        <v>64.705882352941174</v>
      </c>
      <c r="O485" s="3" cm="1">
        <f t="array" aca="1" ref="O485" ca="1">IFERROR(LOOKUP(2, 1/((F$1:F484=F485)*(J$1:J484=J485)*(ROW(F$1:F484)&lt;ROW(F485))), N$1:N484), "")</f>
        <v>56.862745098039213</v>
      </c>
      <c r="P485" s="3">
        <f t="shared" si="39"/>
        <v>1.25</v>
      </c>
      <c r="Q485" s="3" t="s">
        <v>43</v>
      </c>
      <c r="R485" s="3" t="s">
        <v>40</v>
      </c>
      <c r="S485" s="3" t="str">
        <f t="shared" si="37"/>
        <v>Yes</v>
      </c>
      <c r="T485" s="3" t="s">
        <v>34</v>
      </c>
      <c r="U485" s="3" t="str">
        <f t="shared" si="38"/>
        <v>Rainy</v>
      </c>
      <c r="V485" s="3" t="s">
        <v>40</v>
      </c>
      <c r="W485" s="3" cm="1">
        <f t="array" ref="W485">_xlfn.IFS(
OR(F485="Selenium (Hands-on)",F485="Guest Lecture: HR Interview"),6,
OR(F485="Soft Skill",F485="Soft Skill (Examination)",F485="AWS Training",F485="AWS Session"),7,
OR(ISNUMBER(SEARCH("MAD",F485)),ISNUMBER(SEARCH("STQA",F485)),F485="CI/CD Session"),8,
OR(ISNUMBER(SEARCH("Cloud",F485)),F485="Industry Readiness Program",ISNUMBER(SEARCH("Talenlio",F485))),9,
OR(ISNUMBER(SEARCH("Innovation",F485)),F485="Mini Project"),10,
OR(ISNUMBER(SEARCH("Data Science",F485)),ISNUMBER(SEARCH("DS",F485))),11,
ISNUMBER(SEARCH("Generative AI",F485)),12
=_xlfn.IFS(
OR(F485="Selenium (Hands-on)",F485="Guest Lecture: HR Interview"),6,
OR(F485="Soft Skill",F485="Soft Skill (Examination)",F485="AWS Training",F485="AWS Session"),7,
OR(ISNUMBER(SEARCH("MAD",F485)),ISNUMBER(SEARCH("STQA",F485)),F485="CI/CD Session"),8,
OR(ISNUMBER(SEARCH("Cloud",F485)),F485="Industry Readiness Program",ISNUMBER(SEARCH("Talenlio",F485))),9,
OR(ISNUMBER(SEARCH("Innovation",F485)),F485="Mini Project"),10,
OR(ISNUMBER(SEARCH("Data Science",F485)),ISNUMBER(SEARCH("DS",F485))),11,
ISNUMBER(SEARCH("Generative AI",F485)),12
=_xlfn.IFS(
OR(F485="Selenium (Hands-on)",F485="Guest Lecture: HR Interview"),6,
OR(F485="Soft Skill",F485="Soft Skill (Examination)",F485="AWS Training",F485="AWS Session"),7,
OR(ISNUMBER(SEARCH("MAD",F485)),ISNUMBER(SEARCH("STQA",F485)),F485="CI/CD Session"),8,
OR(ISNUMBER(SEARCH("Cloud",F485)),F485="Industry Readiness Program",ISNUMBER(SEARCH("Talenlio",F485))),9,
OR(ISNUMBER(SEARCH("Innovation",F485)),F485="Mini Project"),10,
OR(ISNUMBER(SEARCH("Data Science",F485)),ISNUMBER(SEARCH("DS",F485))),11,
ISNUMBER(SEARCH("Generative AI",F485)),12
=_xlfn.IFS(
OR(F485="Selenium (Hands-on)",F485="Guest Lecture: HR Interview"),6,
OR(F485="Soft Skill",F485="Soft Skill (Examination)",F485="AWS Training",F485="AWS Session"),7,
OR(ISNUMBER(SEARCH("MAD",F485)),ISNUMBER(SEARCH("STQA",F485)),F485="CI/CD Session"),8,
OR(ISNUMBER(SEARCH("Cloud",F485)),F485="Industry Readiness Program",ISNUMBER(SEARCH("Talenlio",F485))),9,
OR(ISNUMBER(SEARCH("Innovation",F485)),F485="Mini Project"),10,
OR(ISNUMBER(SEARCH("Data Science",F485)),ISNUMBER(SEARCH("DS",F485))),11,
ISNUMBER(SEARCH("Generative AI",F485)),12
))))</f>
        <v>10</v>
      </c>
      <c r="X485" s="3">
        <v>6</v>
      </c>
      <c r="Y485" s="3">
        <v>41</v>
      </c>
      <c r="Z485" s="3" t="s">
        <v>38</v>
      </c>
    </row>
    <row r="486" spans="1:26" x14ac:dyDescent="0.3">
      <c r="A486" s="2">
        <v>46228</v>
      </c>
      <c r="B486" s="3" t="s">
        <v>47</v>
      </c>
      <c r="C486" s="3">
        <v>6</v>
      </c>
      <c r="D486" s="4">
        <v>0.60416666666666696</v>
      </c>
      <c r="E486" s="4">
        <v>0.64583333333333304</v>
      </c>
      <c r="F486" s="3" t="s">
        <v>66</v>
      </c>
      <c r="G486" s="3" t="s">
        <v>67</v>
      </c>
      <c r="H486" s="3" t="s">
        <v>29</v>
      </c>
      <c r="I486" s="3" t="s">
        <v>30</v>
      </c>
      <c r="J486" s="3" t="s">
        <v>84</v>
      </c>
      <c r="K486" s="3" t="s">
        <v>52</v>
      </c>
      <c r="L486" s="5">
        <v>102</v>
      </c>
      <c r="M486" s="5">
        <f t="shared" ca="1" si="35"/>
        <v>40</v>
      </c>
      <c r="N486" s="6">
        <f t="shared" ca="1" si="36"/>
        <v>39.215686274509807</v>
      </c>
      <c r="O486" s="3" cm="1">
        <f t="array" aca="1" ref="O486" ca="1">IFERROR(LOOKUP(2, 1/((F$1:F485=F486)*(J$1:J485=J486)*(ROW(F$1:F485)&lt;ROW(F486))), N$1:N485), "")</f>
        <v>64.705882352941174</v>
      </c>
      <c r="P486" s="3">
        <f t="shared" si="39"/>
        <v>0</v>
      </c>
      <c r="Q486" s="3" t="s">
        <v>43</v>
      </c>
      <c r="R486" s="3" t="s">
        <v>40</v>
      </c>
      <c r="S486" s="3" t="str">
        <f t="shared" si="37"/>
        <v>Yes</v>
      </c>
      <c r="T486" s="3" t="s">
        <v>34</v>
      </c>
      <c r="U486" s="3" t="str">
        <f t="shared" si="38"/>
        <v>Rainy</v>
      </c>
      <c r="V486" s="3" t="s">
        <v>40</v>
      </c>
      <c r="W486" s="3" cm="1">
        <f t="array" ref="W486">_xlfn.IFS(
OR(F486="Selenium (Hands-on)",F486="Guest Lecture: HR Interview"),6,
OR(F486="Soft Skill",F486="Soft Skill (Examination)",F486="AWS Training",F486="AWS Session"),7,
OR(ISNUMBER(SEARCH("MAD",F486)),ISNUMBER(SEARCH("STQA",F486)),F486="CI/CD Session"),8,
OR(ISNUMBER(SEARCH("Cloud",F486)),F486="Industry Readiness Program",ISNUMBER(SEARCH("Talenlio",F486))),9,
OR(ISNUMBER(SEARCH("Innovation",F486)),F486="Mini Project"),10,
OR(ISNUMBER(SEARCH("Data Science",F486)),ISNUMBER(SEARCH("DS",F486))),11,
ISNUMBER(SEARCH("Generative AI",F486)),12
=_xlfn.IFS(
OR(F486="Selenium (Hands-on)",F486="Guest Lecture: HR Interview"),6,
OR(F486="Soft Skill",F486="Soft Skill (Examination)",F486="AWS Training",F486="AWS Session"),7,
OR(ISNUMBER(SEARCH("MAD",F486)),ISNUMBER(SEARCH("STQA",F486)),F486="CI/CD Session"),8,
OR(ISNUMBER(SEARCH("Cloud",F486)),F486="Industry Readiness Program",ISNUMBER(SEARCH("Talenlio",F486))),9,
OR(ISNUMBER(SEARCH("Innovation",F486)),F486="Mini Project"),10,
OR(ISNUMBER(SEARCH("Data Science",F486)),ISNUMBER(SEARCH("DS",F486))),11,
ISNUMBER(SEARCH("Generative AI",F486)),12
=_xlfn.IFS(
OR(F486="Selenium (Hands-on)",F486="Guest Lecture: HR Interview"),6,
OR(F486="Soft Skill",F486="Soft Skill (Examination)",F486="AWS Training",F486="AWS Session"),7,
OR(ISNUMBER(SEARCH("MAD",F486)),ISNUMBER(SEARCH("STQA",F486)),F486="CI/CD Session"),8,
OR(ISNUMBER(SEARCH("Cloud",F486)),F486="Industry Readiness Program",ISNUMBER(SEARCH("Talenlio",F486))),9,
OR(ISNUMBER(SEARCH("Innovation",F486)),F486="Mini Project"),10,
OR(ISNUMBER(SEARCH("Data Science",F486)),ISNUMBER(SEARCH("DS",F486))),11,
ISNUMBER(SEARCH("Generative AI",F486)),12
=_xlfn.IFS(
OR(F486="Selenium (Hands-on)",F486="Guest Lecture: HR Interview"),6,
OR(F486="Soft Skill",F486="Soft Skill (Examination)",F486="AWS Training",F486="AWS Session"),7,
OR(ISNUMBER(SEARCH("MAD",F486)),ISNUMBER(SEARCH("STQA",F486)),F486="CI/CD Session"),8,
OR(ISNUMBER(SEARCH("Cloud",F486)),F486="Industry Readiness Program",ISNUMBER(SEARCH("Talenlio",F486))),9,
OR(ISNUMBER(SEARCH("Innovation",F486)),F486="Mini Project"),10,
OR(ISNUMBER(SEARCH("Data Science",F486)),ISNUMBER(SEARCH("DS",F486))),11,
ISNUMBER(SEARCH("Generative AI",F486)),12
))))</f>
        <v>10</v>
      </c>
      <c r="X486" s="3">
        <v>6</v>
      </c>
      <c r="Y486" s="3">
        <v>41</v>
      </c>
      <c r="Z486" s="3" t="s">
        <v>38</v>
      </c>
    </row>
    <row r="487" spans="1:26" x14ac:dyDescent="0.3">
      <c r="A487" s="2">
        <v>46230</v>
      </c>
      <c r="B487" s="3" t="s">
        <v>26</v>
      </c>
      <c r="C487" s="3">
        <v>1</v>
      </c>
      <c r="D487" s="4">
        <v>0.33333333333333298</v>
      </c>
      <c r="E487" s="4">
        <v>0.375</v>
      </c>
      <c r="F487" s="3" t="s">
        <v>50</v>
      </c>
      <c r="G487" s="3" t="s">
        <v>51</v>
      </c>
      <c r="H487" s="3" t="s">
        <v>29</v>
      </c>
      <c r="I487" s="3" t="s">
        <v>30</v>
      </c>
      <c r="J487" s="3" t="s">
        <v>84</v>
      </c>
      <c r="K487" s="3" t="s">
        <v>52</v>
      </c>
      <c r="L487" s="5">
        <v>102</v>
      </c>
      <c r="M487" s="5">
        <f t="shared" ca="1" si="35"/>
        <v>98</v>
      </c>
      <c r="N487" s="6">
        <f t="shared" ca="1" si="36"/>
        <v>96.078431372549019</v>
      </c>
      <c r="O487" s="3" cm="1">
        <f t="array" aca="1" ref="O487" ca="1">IFERROR(LOOKUP(2, 1/((F$1:F486=F487)*(J$1:J486=J487)*(ROW(F$1:F486)&lt;ROW(F487))), N$1:N486), "")</f>
        <v>67.64705882352942</v>
      </c>
      <c r="P487" s="3">
        <f t="shared" si="39"/>
        <v>0</v>
      </c>
      <c r="Q487" s="3" t="s">
        <v>43</v>
      </c>
      <c r="R487" s="3" t="s">
        <v>40</v>
      </c>
      <c r="S487" s="3" t="str">
        <f t="shared" si="37"/>
        <v>No</v>
      </c>
      <c r="T487" s="3" t="s">
        <v>34</v>
      </c>
      <c r="U487" s="3" t="str">
        <f t="shared" si="38"/>
        <v>Rainy</v>
      </c>
      <c r="V487" s="3" t="s">
        <v>40</v>
      </c>
      <c r="W487" s="3" cm="1">
        <f t="array" ref="W487">_xlfn.IFS(
OR(F487="Selenium (Hands-on)",F487="Guest Lecture: HR Interview"),6,
OR(F487="Soft Skill",F487="Soft Skill (Examination)",F487="AWS Training",F487="AWS Session"),7,
OR(ISNUMBER(SEARCH("MAD",F487)),ISNUMBER(SEARCH("STQA",F487)),F487="CI/CD Session"),8,
OR(ISNUMBER(SEARCH("Cloud",F487)),F487="Industry Readiness Program",ISNUMBER(SEARCH("Talenlio",F487))),9,
OR(ISNUMBER(SEARCH("Innovation",F487)),F487="Mini Project"),10,
OR(ISNUMBER(SEARCH("Data Science",F487)),ISNUMBER(SEARCH("DS",F487))),11,
ISNUMBER(SEARCH("Generative AI",F487)),12
=_xlfn.IFS(
OR(F487="Selenium (Hands-on)",F487="Guest Lecture: HR Interview"),6,
OR(F487="Soft Skill",F487="Soft Skill (Examination)",F487="AWS Training",F487="AWS Session"),7,
OR(ISNUMBER(SEARCH("MAD",F487)),ISNUMBER(SEARCH("STQA",F487)),F487="CI/CD Session"),8,
OR(ISNUMBER(SEARCH("Cloud",F487)),F487="Industry Readiness Program",ISNUMBER(SEARCH("Talenlio",F487))),9,
OR(ISNUMBER(SEARCH("Innovation",F487)),F487="Mini Project"),10,
OR(ISNUMBER(SEARCH("Data Science",F487)),ISNUMBER(SEARCH("DS",F487))),11,
ISNUMBER(SEARCH("Generative AI",F487)),12
=_xlfn.IFS(
OR(F487="Selenium (Hands-on)",F487="Guest Lecture: HR Interview"),6,
OR(F487="Soft Skill",F487="Soft Skill (Examination)",F487="AWS Training",F487="AWS Session"),7,
OR(ISNUMBER(SEARCH("MAD",F487)),ISNUMBER(SEARCH("STQA",F487)),F487="CI/CD Session"),8,
OR(ISNUMBER(SEARCH("Cloud",F487)),F487="Industry Readiness Program",ISNUMBER(SEARCH("Talenlio",F487))),9,
OR(ISNUMBER(SEARCH("Innovation",F487)),F487="Mini Project"),10,
OR(ISNUMBER(SEARCH("Data Science",F487)),ISNUMBER(SEARCH("DS",F487))),11,
ISNUMBER(SEARCH("Generative AI",F487)),12
=_xlfn.IFS(
OR(F487="Selenium (Hands-on)",F487="Guest Lecture: HR Interview"),6,
OR(F487="Soft Skill",F487="Soft Skill (Examination)",F487="AWS Training",F487="AWS Session"),7,
OR(ISNUMBER(SEARCH("MAD",F487)),ISNUMBER(SEARCH("STQA",F487)),F487="CI/CD Session"),8,
OR(ISNUMBER(SEARCH("Cloud",F487)),F487="Industry Readiness Program",ISNUMBER(SEARCH("Talenlio",F487))),9,
OR(ISNUMBER(SEARCH("Innovation",F487)),F487="Mini Project"),10,
OR(ISNUMBER(SEARCH("Data Science",F487)),ISNUMBER(SEARCH("DS",F487))),11,
ISNUMBER(SEARCH("Generative AI",F487)),12
))))</f>
        <v>8</v>
      </c>
      <c r="X487" s="3">
        <v>7</v>
      </c>
      <c r="Y487" s="3">
        <v>43</v>
      </c>
      <c r="Z487" s="3" t="s">
        <v>35</v>
      </c>
    </row>
    <row r="488" spans="1:26" x14ac:dyDescent="0.3">
      <c r="A488" s="2">
        <v>46230</v>
      </c>
      <c r="B488" s="3" t="s">
        <v>26</v>
      </c>
      <c r="C488" s="3">
        <v>2</v>
      </c>
      <c r="D488" s="4">
        <v>0.375</v>
      </c>
      <c r="E488" s="4">
        <v>0.41666666666666702</v>
      </c>
      <c r="F488" s="3" t="s">
        <v>53</v>
      </c>
      <c r="G488" s="3" t="s">
        <v>68</v>
      </c>
      <c r="H488" s="3" t="s">
        <v>29</v>
      </c>
      <c r="I488" s="3" t="s">
        <v>30</v>
      </c>
      <c r="J488" s="3" t="s">
        <v>84</v>
      </c>
      <c r="K488" s="3" t="s">
        <v>32</v>
      </c>
      <c r="L488" s="5">
        <v>102</v>
      </c>
      <c r="M488" s="5">
        <f t="shared" ca="1" si="35"/>
        <v>54</v>
      </c>
      <c r="N488" s="6">
        <f t="shared" ca="1" si="36"/>
        <v>52.941176470588239</v>
      </c>
      <c r="O488" s="3" cm="1">
        <f t="array" aca="1" ref="O488" ca="1">IFERROR(LOOKUP(2, 1/((F$1:F487=F488)*(J$1:J487=J488)*(ROW(F$1:F487)&lt;ROW(F488))), N$1:N487), "")</f>
        <v>99.019607843137265</v>
      </c>
      <c r="P488" s="3">
        <f t="shared" si="39"/>
        <v>0</v>
      </c>
      <c r="Q488" s="3" t="s">
        <v>33</v>
      </c>
      <c r="R488" s="3" t="s">
        <v>40</v>
      </c>
      <c r="S488" s="3" t="str">
        <f t="shared" si="37"/>
        <v>No</v>
      </c>
      <c r="T488" s="3" t="s">
        <v>34</v>
      </c>
      <c r="U488" s="3" t="str">
        <f t="shared" si="38"/>
        <v>Rainy</v>
      </c>
      <c r="V488" s="3" t="s">
        <v>40</v>
      </c>
      <c r="W488" s="3" cm="1">
        <f t="array" ref="W488">_xlfn.IFS(
OR(F488="Selenium (Hands-on)",F488="Guest Lecture: HR Interview"),6,
OR(F488="Soft Skill",F488="Soft Skill (Examination)",F488="AWS Training",F488="AWS Session"),7,
OR(ISNUMBER(SEARCH("MAD",F488)),ISNUMBER(SEARCH("STQA",F488)),F488="CI/CD Session"),8,
OR(ISNUMBER(SEARCH("Cloud",F488)),F488="Industry Readiness Program",ISNUMBER(SEARCH("Talenlio",F488))),9,
OR(ISNUMBER(SEARCH("Innovation",F488)),F488="Mini Project"),10,
OR(ISNUMBER(SEARCH("Data Science",F488)),ISNUMBER(SEARCH("DS",F488))),11,
ISNUMBER(SEARCH("Generative AI",F488)),12
=_xlfn.IFS(
OR(F488="Selenium (Hands-on)",F488="Guest Lecture: HR Interview"),6,
OR(F488="Soft Skill",F488="Soft Skill (Examination)",F488="AWS Training",F488="AWS Session"),7,
OR(ISNUMBER(SEARCH("MAD",F488)),ISNUMBER(SEARCH("STQA",F488)),F488="CI/CD Session"),8,
OR(ISNUMBER(SEARCH("Cloud",F488)),F488="Industry Readiness Program",ISNUMBER(SEARCH("Talenlio",F488))),9,
OR(ISNUMBER(SEARCH("Innovation",F488)),F488="Mini Project"),10,
OR(ISNUMBER(SEARCH("Data Science",F488)),ISNUMBER(SEARCH("DS",F488))),11,
ISNUMBER(SEARCH("Generative AI",F488)),12
=_xlfn.IFS(
OR(F488="Selenium (Hands-on)",F488="Guest Lecture: HR Interview"),6,
OR(F488="Soft Skill",F488="Soft Skill (Examination)",F488="AWS Training",F488="AWS Session"),7,
OR(ISNUMBER(SEARCH("MAD",F488)),ISNUMBER(SEARCH("STQA",F488)),F488="CI/CD Session"),8,
OR(ISNUMBER(SEARCH("Cloud",F488)),F488="Industry Readiness Program",ISNUMBER(SEARCH("Talenlio",F488))),9,
OR(ISNUMBER(SEARCH("Innovation",F488)),F488="Mini Project"),10,
OR(ISNUMBER(SEARCH("Data Science",F488)),ISNUMBER(SEARCH("DS",F488))),11,
ISNUMBER(SEARCH("Generative AI",F488)),12
=_xlfn.IFS(
OR(F488="Selenium (Hands-on)",F488="Guest Lecture: HR Interview"),6,
OR(F488="Soft Skill",F488="Soft Skill (Examination)",F488="AWS Training",F488="AWS Session"),7,
OR(ISNUMBER(SEARCH("MAD",F488)),ISNUMBER(SEARCH("STQA",F488)),F488="CI/CD Session"),8,
OR(ISNUMBER(SEARCH("Cloud",F488)),F488="Industry Readiness Program",ISNUMBER(SEARCH("Talenlio",F488))),9,
OR(ISNUMBER(SEARCH("Innovation",F488)),F488="Mini Project"),10,
OR(ISNUMBER(SEARCH("Data Science",F488)),ISNUMBER(SEARCH("DS",F488))),11,
ISNUMBER(SEARCH("Generative AI",F488)),12
))))</f>
        <v>10</v>
      </c>
      <c r="X488" s="3">
        <v>7</v>
      </c>
      <c r="Y488" s="3">
        <v>43</v>
      </c>
      <c r="Z488" s="3" t="s">
        <v>35</v>
      </c>
    </row>
    <row r="489" spans="1:26" x14ac:dyDescent="0.3">
      <c r="A489" s="2">
        <v>46230</v>
      </c>
      <c r="B489" s="3" t="s">
        <v>26</v>
      </c>
      <c r="C489" s="3">
        <v>3</v>
      </c>
      <c r="D489" s="4">
        <v>0.41666666666666702</v>
      </c>
      <c r="E489" s="4">
        <v>0.45833333333333298</v>
      </c>
      <c r="F489" s="3" t="s">
        <v>53</v>
      </c>
      <c r="G489" s="3" t="s">
        <v>68</v>
      </c>
      <c r="H489" s="3" t="s">
        <v>29</v>
      </c>
      <c r="I489" s="3" t="s">
        <v>30</v>
      </c>
      <c r="J489" s="3" t="s">
        <v>84</v>
      </c>
      <c r="K489" s="3" t="s">
        <v>32</v>
      </c>
      <c r="L489" s="5">
        <v>102</v>
      </c>
      <c r="M489" s="5">
        <f t="shared" ca="1" si="35"/>
        <v>88</v>
      </c>
      <c r="N489" s="6">
        <f t="shared" ca="1" si="36"/>
        <v>86.274509803921575</v>
      </c>
      <c r="O489" s="3" cm="1">
        <f t="array" aca="1" ref="O489" ca="1">IFERROR(LOOKUP(2, 1/((F$1:F488=F489)*(J$1:J488=J489)*(ROW(F$1:F488)&lt;ROW(F489))), N$1:N488), "")</f>
        <v>52.941176470588239</v>
      </c>
      <c r="P489" s="3">
        <f t="shared" si="39"/>
        <v>0</v>
      </c>
      <c r="Q489" s="3" t="s">
        <v>33</v>
      </c>
      <c r="R489" s="3" t="s">
        <v>40</v>
      </c>
      <c r="S489" s="3" t="str">
        <f t="shared" si="37"/>
        <v>No</v>
      </c>
      <c r="T489" s="3" t="s">
        <v>34</v>
      </c>
      <c r="U489" s="3" t="str">
        <f t="shared" si="38"/>
        <v>Rainy</v>
      </c>
      <c r="V489" s="3" t="s">
        <v>40</v>
      </c>
      <c r="W489" s="3" cm="1">
        <f t="array" ref="W489">_xlfn.IFS(
OR(F489="Selenium (Hands-on)",F489="Guest Lecture: HR Interview"),6,
OR(F489="Soft Skill",F489="Soft Skill (Examination)",F489="AWS Training",F489="AWS Session"),7,
OR(ISNUMBER(SEARCH("MAD",F489)),ISNUMBER(SEARCH("STQA",F489)),F489="CI/CD Session"),8,
OR(ISNUMBER(SEARCH("Cloud",F489)),F489="Industry Readiness Program",ISNUMBER(SEARCH("Talenlio",F489))),9,
OR(ISNUMBER(SEARCH("Innovation",F489)),F489="Mini Project"),10,
OR(ISNUMBER(SEARCH("Data Science",F489)),ISNUMBER(SEARCH("DS",F489))),11,
ISNUMBER(SEARCH("Generative AI",F489)),12
=_xlfn.IFS(
OR(F489="Selenium (Hands-on)",F489="Guest Lecture: HR Interview"),6,
OR(F489="Soft Skill",F489="Soft Skill (Examination)",F489="AWS Training",F489="AWS Session"),7,
OR(ISNUMBER(SEARCH("MAD",F489)),ISNUMBER(SEARCH("STQA",F489)),F489="CI/CD Session"),8,
OR(ISNUMBER(SEARCH("Cloud",F489)),F489="Industry Readiness Program",ISNUMBER(SEARCH("Talenlio",F489))),9,
OR(ISNUMBER(SEARCH("Innovation",F489)),F489="Mini Project"),10,
OR(ISNUMBER(SEARCH("Data Science",F489)),ISNUMBER(SEARCH("DS",F489))),11,
ISNUMBER(SEARCH("Generative AI",F489)),12
=_xlfn.IFS(
OR(F489="Selenium (Hands-on)",F489="Guest Lecture: HR Interview"),6,
OR(F489="Soft Skill",F489="Soft Skill (Examination)",F489="AWS Training",F489="AWS Session"),7,
OR(ISNUMBER(SEARCH("MAD",F489)),ISNUMBER(SEARCH("STQA",F489)),F489="CI/CD Session"),8,
OR(ISNUMBER(SEARCH("Cloud",F489)),F489="Industry Readiness Program",ISNUMBER(SEARCH("Talenlio",F489))),9,
OR(ISNUMBER(SEARCH("Innovation",F489)),F489="Mini Project"),10,
OR(ISNUMBER(SEARCH("Data Science",F489)),ISNUMBER(SEARCH("DS",F489))),11,
ISNUMBER(SEARCH("Generative AI",F489)),12
=_xlfn.IFS(
OR(F489="Selenium (Hands-on)",F489="Guest Lecture: HR Interview"),6,
OR(F489="Soft Skill",F489="Soft Skill (Examination)",F489="AWS Training",F489="AWS Session"),7,
OR(ISNUMBER(SEARCH("MAD",F489)),ISNUMBER(SEARCH("STQA",F489)),F489="CI/CD Session"),8,
OR(ISNUMBER(SEARCH("Cloud",F489)),F489="Industry Readiness Program",ISNUMBER(SEARCH("Talenlio",F489))),9,
OR(ISNUMBER(SEARCH("Innovation",F489)),F489="Mini Project"),10,
OR(ISNUMBER(SEARCH("Data Science",F489)),ISNUMBER(SEARCH("DS",F489))),11,
ISNUMBER(SEARCH("Generative AI",F489)),12
))))</f>
        <v>10</v>
      </c>
      <c r="X489" s="3">
        <v>7</v>
      </c>
      <c r="Y489" s="3">
        <v>43</v>
      </c>
      <c r="Z489" s="3" t="s">
        <v>35</v>
      </c>
    </row>
    <row r="490" spans="1:26" x14ac:dyDescent="0.3">
      <c r="A490" s="2">
        <v>46230</v>
      </c>
      <c r="B490" s="3" t="s">
        <v>26</v>
      </c>
      <c r="C490" s="3">
        <v>4</v>
      </c>
      <c r="D490" s="4">
        <v>0.45833333333333298</v>
      </c>
      <c r="E490" s="4">
        <v>0.51041666666666696</v>
      </c>
      <c r="F490" s="3" t="s">
        <v>59</v>
      </c>
      <c r="G490" s="3" t="s">
        <v>73</v>
      </c>
      <c r="H490" s="3" t="s">
        <v>29</v>
      </c>
      <c r="I490" s="3" t="s">
        <v>30</v>
      </c>
      <c r="J490" s="3" t="s">
        <v>84</v>
      </c>
      <c r="K490" s="3" t="s">
        <v>52</v>
      </c>
      <c r="L490" s="5">
        <v>102</v>
      </c>
      <c r="M490" s="5">
        <f t="shared" ca="1" si="35"/>
        <v>80</v>
      </c>
      <c r="N490" s="6">
        <f t="shared" ca="1" si="36"/>
        <v>78.431372549019613</v>
      </c>
      <c r="O490" s="3" cm="1">
        <f t="array" aca="1" ref="O490" ca="1">IFERROR(LOOKUP(2, 1/((F$1:F489=F490)*(J$1:J489=J490)*(ROW(F$1:F489)&lt;ROW(F490))), N$1:N489), "")</f>
        <v>79.411764705882348</v>
      </c>
      <c r="P490" s="3">
        <f t="shared" si="39"/>
        <v>0</v>
      </c>
      <c r="Q490" s="3" t="s">
        <v>33</v>
      </c>
      <c r="R490" s="3" t="s">
        <v>40</v>
      </c>
      <c r="S490" s="3" t="str">
        <f t="shared" si="37"/>
        <v>No</v>
      </c>
      <c r="T490" s="3" t="s">
        <v>34</v>
      </c>
      <c r="U490" s="3" t="str">
        <f t="shared" si="38"/>
        <v>Rainy</v>
      </c>
      <c r="V490" s="3" t="s">
        <v>40</v>
      </c>
      <c r="W490" s="3" cm="1">
        <f t="array" ref="W490">_xlfn.IFS(
OR(F490="Selenium (Hands-on)",F490="Guest Lecture: HR Interview"),6,
OR(F490="Soft Skill",F490="Soft Skill (Examination)",F490="AWS Training",F490="AWS Session"),7,
OR(ISNUMBER(SEARCH("MAD",F490)),ISNUMBER(SEARCH("STQA",F490)),F490="CI/CD Session"),8,
OR(ISNUMBER(SEARCH("Cloud",F490)),F490="Industry Readiness Program",ISNUMBER(SEARCH("Talenlio",F490))),9,
OR(ISNUMBER(SEARCH("Innovation",F490)),F490="Mini Project"),10,
OR(ISNUMBER(SEARCH("Data Science",F490)),ISNUMBER(SEARCH("DS",F490))),11,
ISNUMBER(SEARCH("Generative AI",F490)),12
=_xlfn.IFS(
OR(F490="Selenium (Hands-on)",F490="Guest Lecture: HR Interview"),6,
OR(F490="Soft Skill",F490="Soft Skill (Examination)",F490="AWS Training",F490="AWS Session"),7,
OR(ISNUMBER(SEARCH("MAD",F490)),ISNUMBER(SEARCH("STQA",F490)),F490="CI/CD Session"),8,
OR(ISNUMBER(SEARCH("Cloud",F490)),F490="Industry Readiness Program",ISNUMBER(SEARCH("Talenlio",F490))),9,
OR(ISNUMBER(SEARCH("Innovation",F490)),F490="Mini Project"),10,
OR(ISNUMBER(SEARCH("Data Science",F490)),ISNUMBER(SEARCH("DS",F490))),11,
ISNUMBER(SEARCH("Generative AI",F490)),12
=_xlfn.IFS(
OR(F490="Selenium (Hands-on)",F490="Guest Lecture: HR Interview"),6,
OR(F490="Soft Skill",F490="Soft Skill (Examination)",F490="AWS Training",F490="AWS Session"),7,
OR(ISNUMBER(SEARCH("MAD",F490)),ISNUMBER(SEARCH("STQA",F490)),F490="CI/CD Session"),8,
OR(ISNUMBER(SEARCH("Cloud",F490)),F490="Industry Readiness Program",ISNUMBER(SEARCH("Talenlio",F490))),9,
OR(ISNUMBER(SEARCH("Innovation",F490)),F490="Mini Project"),10,
OR(ISNUMBER(SEARCH("Data Science",F490)),ISNUMBER(SEARCH("DS",F490))),11,
ISNUMBER(SEARCH("Generative AI",F490)),12
=_xlfn.IFS(
OR(F490="Selenium (Hands-on)",F490="Guest Lecture: HR Interview"),6,
OR(F490="Soft Skill",F490="Soft Skill (Examination)",F490="AWS Training",F490="AWS Session"),7,
OR(ISNUMBER(SEARCH("MAD",F490)),ISNUMBER(SEARCH("STQA",F490)),F490="CI/CD Session"),8,
OR(ISNUMBER(SEARCH("Cloud",F490)),F490="Industry Readiness Program",ISNUMBER(SEARCH("Talenlio",F490))),9,
OR(ISNUMBER(SEARCH("Innovation",F490)),F490="Mini Project"),10,
OR(ISNUMBER(SEARCH("Data Science",F490)),ISNUMBER(SEARCH("DS",F490))),11,
ISNUMBER(SEARCH("Generative AI",F490)),12
))))</f>
        <v>11</v>
      </c>
      <c r="X490" s="3">
        <v>7</v>
      </c>
      <c r="Y490" s="3">
        <v>43</v>
      </c>
      <c r="Z490" s="3" t="s">
        <v>35</v>
      </c>
    </row>
    <row r="491" spans="1:26" x14ac:dyDescent="0.3">
      <c r="A491" s="2">
        <v>46230</v>
      </c>
      <c r="B491" s="3" t="s">
        <v>26</v>
      </c>
      <c r="C491" s="3">
        <v>5</v>
      </c>
      <c r="D491" s="4">
        <v>0.5625</v>
      </c>
      <c r="E491" s="4">
        <v>0.60416666666666696</v>
      </c>
      <c r="F491" s="3" t="s">
        <v>74</v>
      </c>
      <c r="G491" s="3" t="s">
        <v>75</v>
      </c>
      <c r="H491" s="3" t="s">
        <v>29</v>
      </c>
      <c r="I491" s="3" t="s">
        <v>30</v>
      </c>
      <c r="J491" s="3" t="s">
        <v>84</v>
      </c>
      <c r="K491" s="3" t="s">
        <v>76</v>
      </c>
      <c r="L491" s="5">
        <v>102</v>
      </c>
      <c r="M491" s="5">
        <f t="shared" ca="1" si="35"/>
        <v>40</v>
      </c>
      <c r="N491" s="6">
        <f t="shared" ca="1" si="36"/>
        <v>39.215686274509807</v>
      </c>
      <c r="O491" s="3">
        <v>64.165615000000003</v>
      </c>
      <c r="P491" s="3">
        <f t="shared" si="39"/>
        <v>1.25</v>
      </c>
      <c r="Q491" s="3" t="s">
        <v>43</v>
      </c>
      <c r="R491" s="3" t="s">
        <v>40</v>
      </c>
      <c r="S491" s="3" t="str">
        <f t="shared" si="37"/>
        <v>Yes</v>
      </c>
      <c r="T491" s="3" t="s">
        <v>34</v>
      </c>
      <c r="U491" s="3" t="str">
        <f t="shared" si="38"/>
        <v>Rainy</v>
      </c>
      <c r="V491" s="3" t="s">
        <v>40</v>
      </c>
      <c r="W491" s="3" cm="1">
        <f t="array" ref="W491">_xlfn.IFS(
OR(F491="Selenium (Hands-on)",F491="Guest Lecture: HR Interview"),6,
OR(F491="Soft Skill",F491="Soft Skill (Examination)",F491="AWS Training",F491="AWS Session"),7,
OR(ISNUMBER(SEARCH("MAD",F491)),ISNUMBER(SEARCH("STQA",F491)),F491="CI/CD Session"),8,
OR(ISNUMBER(SEARCH("Cloud",F491)),F491="Industry Readiness Program",ISNUMBER(SEARCH("Talenlio",F491))),9,
OR(ISNUMBER(SEARCH("Innovation",F491)),F491="Mini Project"),10,
OR(ISNUMBER(SEARCH("Data Science",F491)),ISNUMBER(SEARCH("DS",F491))),11,
ISNUMBER(SEARCH("Generative AI",F491)),12
=_xlfn.IFS(
OR(F491="Selenium (Hands-on)",F491="Guest Lecture: HR Interview"),6,
OR(F491="Soft Skill",F491="Soft Skill (Examination)",F491="AWS Training",F491="AWS Session"),7,
OR(ISNUMBER(SEARCH("MAD",F491)),ISNUMBER(SEARCH("STQA",F491)),F491="CI/CD Session"),8,
OR(ISNUMBER(SEARCH("Cloud",F491)),F491="Industry Readiness Program",ISNUMBER(SEARCH("Talenlio",F491))),9,
OR(ISNUMBER(SEARCH("Innovation",F491)),F491="Mini Project"),10,
OR(ISNUMBER(SEARCH("Data Science",F491)),ISNUMBER(SEARCH("DS",F491))),11,
ISNUMBER(SEARCH("Generative AI",F491)),12
=_xlfn.IFS(
OR(F491="Selenium (Hands-on)",F491="Guest Lecture: HR Interview"),6,
OR(F491="Soft Skill",F491="Soft Skill (Examination)",F491="AWS Training",F491="AWS Session"),7,
OR(ISNUMBER(SEARCH("MAD",F491)),ISNUMBER(SEARCH("STQA",F491)),F491="CI/CD Session"),8,
OR(ISNUMBER(SEARCH("Cloud",F491)),F491="Industry Readiness Program",ISNUMBER(SEARCH("Talenlio",F491))),9,
OR(ISNUMBER(SEARCH("Innovation",F491)),F491="Mini Project"),10,
OR(ISNUMBER(SEARCH("Data Science",F491)),ISNUMBER(SEARCH("DS",F491))),11,
ISNUMBER(SEARCH("Generative AI",F491)),12
=_xlfn.IFS(
OR(F491="Selenium (Hands-on)",F491="Guest Lecture: HR Interview"),6,
OR(F491="Soft Skill",F491="Soft Skill (Examination)",F491="AWS Training",F491="AWS Session"),7,
OR(ISNUMBER(SEARCH("MAD",F491)),ISNUMBER(SEARCH("STQA",F491)),F491="CI/CD Session"),8,
OR(ISNUMBER(SEARCH("Cloud",F491)),F491="Industry Readiness Program",ISNUMBER(SEARCH("Talenlio",F491))),9,
OR(ISNUMBER(SEARCH("Innovation",F491)),F491="Mini Project"),10,
OR(ISNUMBER(SEARCH("Data Science",F491)),ISNUMBER(SEARCH("DS",F491))),11,
ISNUMBER(SEARCH("Generative AI",F491)),12
))))</f>
        <v>6</v>
      </c>
      <c r="X491" s="3">
        <v>7</v>
      </c>
      <c r="Y491" s="3">
        <v>43</v>
      </c>
      <c r="Z491" s="3" t="s">
        <v>38</v>
      </c>
    </row>
    <row r="492" spans="1:26" x14ac:dyDescent="0.3">
      <c r="A492" s="2">
        <v>46230</v>
      </c>
      <c r="B492" s="3" t="s">
        <v>26</v>
      </c>
      <c r="C492" s="3">
        <v>6</v>
      </c>
      <c r="D492" s="4">
        <v>0.60416666666666696</v>
      </c>
      <c r="E492" s="4">
        <v>0.64583333333333304</v>
      </c>
      <c r="F492" s="3" t="s">
        <v>74</v>
      </c>
      <c r="G492" s="3" t="s">
        <v>75</v>
      </c>
      <c r="H492" s="3" t="s">
        <v>29</v>
      </c>
      <c r="I492" s="3" t="s">
        <v>30</v>
      </c>
      <c r="J492" s="3" t="s">
        <v>84</v>
      </c>
      <c r="K492" s="3" t="s">
        <v>76</v>
      </c>
      <c r="L492" s="5">
        <v>102</v>
      </c>
      <c r="M492" s="5">
        <f t="shared" ca="1" si="35"/>
        <v>49</v>
      </c>
      <c r="N492" s="6">
        <f t="shared" ca="1" si="36"/>
        <v>48.03921568627451</v>
      </c>
      <c r="O492" s="3" cm="1">
        <f t="array" aca="1" ref="O492" ca="1">IFERROR(LOOKUP(2, 1/((F$1:F491=F492)*(J$1:J491=J492)*(ROW(F$1:F491)&lt;ROW(F492))), N$1:N491), "")</f>
        <v>39.215686274509807</v>
      </c>
      <c r="P492" s="3">
        <f t="shared" si="39"/>
        <v>0</v>
      </c>
      <c r="Q492" s="3" t="s">
        <v>43</v>
      </c>
      <c r="R492" s="3" t="s">
        <v>40</v>
      </c>
      <c r="S492" s="3" t="str">
        <f t="shared" si="37"/>
        <v>Yes</v>
      </c>
      <c r="T492" s="3" t="s">
        <v>34</v>
      </c>
      <c r="U492" s="3" t="str">
        <f t="shared" si="38"/>
        <v>Rainy</v>
      </c>
      <c r="V492" s="3" t="s">
        <v>40</v>
      </c>
      <c r="W492" s="3" cm="1">
        <f t="array" ref="W492">_xlfn.IFS(
OR(F492="Selenium (Hands-on)",F492="Guest Lecture: HR Interview"),6,
OR(F492="Soft Skill",F492="Soft Skill (Examination)",F492="AWS Training",F492="AWS Session"),7,
OR(ISNUMBER(SEARCH("MAD",F492)),ISNUMBER(SEARCH("STQA",F492)),F492="CI/CD Session"),8,
OR(ISNUMBER(SEARCH("Cloud",F492)),F492="Industry Readiness Program",ISNUMBER(SEARCH("Talenlio",F492))),9,
OR(ISNUMBER(SEARCH("Innovation",F492)),F492="Mini Project"),10,
OR(ISNUMBER(SEARCH("Data Science",F492)),ISNUMBER(SEARCH("DS",F492))),11,
ISNUMBER(SEARCH("Generative AI",F492)),12
=_xlfn.IFS(
OR(F492="Selenium (Hands-on)",F492="Guest Lecture: HR Interview"),6,
OR(F492="Soft Skill",F492="Soft Skill (Examination)",F492="AWS Training",F492="AWS Session"),7,
OR(ISNUMBER(SEARCH("MAD",F492)),ISNUMBER(SEARCH("STQA",F492)),F492="CI/CD Session"),8,
OR(ISNUMBER(SEARCH("Cloud",F492)),F492="Industry Readiness Program",ISNUMBER(SEARCH("Talenlio",F492))),9,
OR(ISNUMBER(SEARCH("Innovation",F492)),F492="Mini Project"),10,
OR(ISNUMBER(SEARCH("Data Science",F492)),ISNUMBER(SEARCH("DS",F492))),11,
ISNUMBER(SEARCH("Generative AI",F492)),12
=_xlfn.IFS(
OR(F492="Selenium (Hands-on)",F492="Guest Lecture: HR Interview"),6,
OR(F492="Soft Skill",F492="Soft Skill (Examination)",F492="AWS Training",F492="AWS Session"),7,
OR(ISNUMBER(SEARCH("MAD",F492)),ISNUMBER(SEARCH("STQA",F492)),F492="CI/CD Session"),8,
OR(ISNUMBER(SEARCH("Cloud",F492)),F492="Industry Readiness Program",ISNUMBER(SEARCH("Talenlio",F492))),9,
OR(ISNUMBER(SEARCH("Innovation",F492)),F492="Mini Project"),10,
OR(ISNUMBER(SEARCH("Data Science",F492)),ISNUMBER(SEARCH("DS",F492))),11,
ISNUMBER(SEARCH("Generative AI",F492)),12
=_xlfn.IFS(
OR(F492="Selenium (Hands-on)",F492="Guest Lecture: HR Interview"),6,
OR(F492="Soft Skill",F492="Soft Skill (Examination)",F492="AWS Training",F492="AWS Session"),7,
OR(ISNUMBER(SEARCH("MAD",F492)),ISNUMBER(SEARCH("STQA",F492)),F492="CI/CD Session"),8,
OR(ISNUMBER(SEARCH("Cloud",F492)),F492="Industry Readiness Program",ISNUMBER(SEARCH("Talenlio",F492))),9,
OR(ISNUMBER(SEARCH("Innovation",F492)),F492="Mini Project"),10,
OR(ISNUMBER(SEARCH("Data Science",F492)),ISNUMBER(SEARCH("DS",F492))),11,
ISNUMBER(SEARCH("Generative AI",F492)),12
))))</f>
        <v>6</v>
      </c>
      <c r="X492" s="3">
        <v>7</v>
      </c>
      <c r="Y492" s="3">
        <v>43</v>
      </c>
      <c r="Z492" s="3" t="s">
        <v>38</v>
      </c>
    </row>
    <row r="493" spans="1:26" x14ac:dyDescent="0.3">
      <c r="A493" s="2">
        <v>46230</v>
      </c>
      <c r="B493" s="3" t="s">
        <v>26</v>
      </c>
      <c r="C493" s="3">
        <v>7</v>
      </c>
      <c r="D493" s="4">
        <v>0.64583333333333304</v>
      </c>
      <c r="E493" s="4">
        <v>0.66666666666666696</v>
      </c>
      <c r="F493" s="3" t="s">
        <v>74</v>
      </c>
      <c r="G493" s="3" t="s">
        <v>75</v>
      </c>
      <c r="H493" s="3" t="s">
        <v>29</v>
      </c>
      <c r="I493" s="3" t="s">
        <v>30</v>
      </c>
      <c r="J493" s="3" t="s">
        <v>84</v>
      </c>
      <c r="K493" s="3" t="s">
        <v>76</v>
      </c>
      <c r="L493" s="5">
        <v>102</v>
      </c>
      <c r="M493" s="5">
        <f t="shared" ca="1" si="35"/>
        <v>64</v>
      </c>
      <c r="N493" s="6">
        <f t="shared" ca="1" si="36"/>
        <v>62.745098039215684</v>
      </c>
      <c r="O493" s="3" cm="1">
        <f t="array" aca="1" ref="O493" ca="1">IFERROR(LOOKUP(2, 1/((F$1:F492=F493)*(J$1:J492=J493)*(ROW(F$1:F492)&lt;ROW(F493))), N$1:N492), "")</f>
        <v>48.03921568627451</v>
      </c>
      <c r="P493" s="3">
        <f t="shared" si="39"/>
        <v>0</v>
      </c>
      <c r="Q493" s="3" t="s">
        <v>43</v>
      </c>
      <c r="R493" s="3" t="s">
        <v>40</v>
      </c>
      <c r="S493" s="3" t="str">
        <f t="shared" si="37"/>
        <v>Yes</v>
      </c>
      <c r="T493" s="3" t="s">
        <v>34</v>
      </c>
      <c r="U493" s="3" t="str">
        <f t="shared" si="38"/>
        <v>Rainy</v>
      </c>
      <c r="V493" s="3" t="s">
        <v>40</v>
      </c>
      <c r="W493" s="3" cm="1">
        <f t="array" ref="W493">_xlfn.IFS(
OR(F493="Selenium (Hands-on)",F493="Guest Lecture: HR Interview"),6,
OR(F493="Soft Skill",F493="Soft Skill (Examination)",F493="AWS Training",F493="AWS Session"),7,
OR(ISNUMBER(SEARCH("MAD",F493)),ISNUMBER(SEARCH("STQA",F493)),F493="CI/CD Session"),8,
OR(ISNUMBER(SEARCH("Cloud",F493)),F493="Industry Readiness Program",ISNUMBER(SEARCH("Talenlio",F493))),9,
OR(ISNUMBER(SEARCH("Innovation",F493)),F493="Mini Project"),10,
OR(ISNUMBER(SEARCH("Data Science",F493)),ISNUMBER(SEARCH("DS",F493))),11,
ISNUMBER(SEARCH("Generative AI",F493)),12
=_xlfn.IFS(
OR(F493="Selenium (Hands-on)",F493="Guest Lecture: HR Interview"),6,
OR(F493="Soft Skill",F493="Soft Skill (Examination)",F493="AWS Training",F493="AWS Session"),7,
OR(ISNUMBER(SEARCH("MAD",F493)),ISNUMBER(SEARCH("STQA",F493)),F493="CI/CD Session"),8,
OR(ISNUMBER(SEARCH("Cloud",F493)),F493="Industry Readiness Program",ISNUMBER(SEARCH("Talenlio",F493))),9,
OR(ISNUMBER(SEARCH("Innovation",F493)),F493="Mini Project"),10,
OR(ISNUMBER(SEARCH("Data Science",F493)),ISNUMBER(SEARCH("DS",F493))),11,
ISNUMBER(SEARCH("Generative AI",F493)),12
=_xlfn.IFS(
OR(F493="Selenium (Hands-on)",F493="Guest Lecture: HR Interview"),6,
OR(F493="Soft Skill",F493="Soft Skill (Examination)",F493="AWS Training",F493="AWS Session"),7,
OR(ISNUMBER(SEARCH("MAD",F493)),ISNUMBER(SEARCH("STQA",F493)),F493="CI/CD Session"),8,
OR(ISNUMBER(SEARCH("Cloud",F493)),F493="Industry Readiness Program",ISNUMBER(SEARCH("Talenlio",F493))),9,
OR(ISNUMBER(SEARCH("Innovation",F493)),F493="Mini Project"),10,
OR(ISNUMBER(SEARCH("Data Science",F493)),ISNUMBER(SEARCH("DS",F493))),11,
ISNUMBER(SEARCH("Generative AI",F493)),12
=_xlfn.IFS(
OR(F493="Selenium (Hands-on)",F493="Guest Lecture: HR Interview"),6,
OR(F493="Soft Skill",F493="Soft Skill (Examination)",F493="AWS Training",F493="AWS Session"),7,
OR(ISNUMBER(SEARCH("MAD",F493)),ISNUMBER(SEARCH("STQA",F493)),F493="CI/CD Session"),8,
OR(ISNUMBER(SEARCH("Cloud",F493)),F493="Industry Readiness Program",ISNUMBER(SEARCH("Talenlio",F493))),9,
OR(ISNUMBER(SEARCH("Innovation",F493)),F493="Mini Project"),10,
OR(ISNUMBER(SEARCH("Data Science",F493)),ISNUMBER(SEARCH("DS",F493))),11,
ISNUMBER(SEARCH("Generative AI",F493)),12
))))</f>
        <v>6</v>
      </c>
      <c r="X493" s="3">
        <v>7</v>
      </c>
      <c r="Y493" s="3">
        <v>43</v>
      </c>
      <c r="Z493" s="3" t="s">
        <v>38</v>
      </c>
    </row>
    <row r="494" spans="1:26" x14ac:dyDescent="0.3">
      <c r="A494" s="2">
        <v>46231</v>
      </c>
      <c r="B494" s="3" t="s">
        <v>39</v>
      </c>
      <c r="C494" s="3">
        <v>1</v>
      </c>
      <c r="D494" s="4">
        <v>0.33333333333333298</v>
      </c>
      <c r="E494" s="4">
        <v>0.375</v>
      </c>
      <c r="F494" s="3" t="s">
        <v>50</v>
      </c>
      <c r="G494" s="3" t="s">
        <v>51</v>
      </c>
      <c r="H494" s="3" t="s">
        <v>29</v>
      </c>
      <c r="I494" s="3" t="s">
        <v>30</v>
      </c>
      <c r="J494" s="3" t="s">
        <v>84</v>
      </c>
      <c r="K494" s="3" t="s">
        <v>52</v>
      </c>
      <c r="L494" s="5">
        <v>102</v>
      </c>
      <c r="M494" s="5">
        <f t="shared" ca="1" si="35"/>
        <v>68</v>
      </c>
      <c r="N494" s="6">
        <f t="shared" ca="1" si="36"/>
        <v>66.666666666666657</v>
      </c>
      <c r="O494" s="3" cm="1">
        <f t="array" aca="1" ref="O494" ca="1">IFERROR(LOOKUP(2, 1/((F$1:F493=F494)*(J$1:J493=J494)*(ROW(F$1:F493)&lt;ROW(F494))), N$1:N493), "")</f>
        <v>96.078431372549019</v>
      </c>
      <c r="P494" s="3">
        <f t="shared" si="39"/>
        <v>0</v>
      </c>
      <c r="Q494" s="3" t="s">
        <v>43</v>
      </c>
      <c r="R494" s="3" t="s">
        <v>40</v>
      </c>
      <c r="S494" s="3" t="str">
        <f t="shared" si="37"/>
        <v>No</v>
      </c>
      <c r="T494" s="3" t="s">
        <v>40</v>
      </c>
      <c r="U494" s="3" t="str">
        <f t="shared" si="38"/>
        <v>Rainy</v>
      </c>
      <c r="V494" s="3" t="s">
        <v>40</v>
      </c>
      <c r="W494" s="3" cm="1">
        <f t="array" ref="W494">_xlfn.IFS(
OR(F494="Selenium (Hands-on)",F494="Guest Lecture: HR Interview"),6,
OR(F494="Soft Skill",F494="Soft Skill (Examination)",F494="AWS Training",F494="AWS Session"),7,
OR(ISNUMBER(SEARCH("MAD",F494)),ISNUMBER(SEARCH("STQA",F494)),F494="CI/CD Session"),8,
OR(ISNUMBER(SEARCH("Cloud",F494)),F494="Industry Readiness Program",ISNUMBER(SEARCH("Talenlio",F494))),9,
OR(ISNUMBER(SEARCH("Innovation",F494)),F494="Mini Project"),10,
OR(ISNUMBER(SEARCH("Data Science",F494)),ISNUMBER(SEARCH("DS",F494))),11,
ISNUMBER(SEARCH("Generative AI",F494)),12
=_xlfn.IFS(
OR(F494="Selenium (Hands-on)",F494="Guest Lecture: HR Interview"),6,
OR(F494="Soft Skill",F494="Soft Skill (Examination)",F494="AWS Training",F494="AWS Session"),7,
OR(ISNUMBER(SEARCH("MAD",F494)),ISNUMBER(SEARCH("STQA",F494)),F494="CI/CD Session"),8,
OR(ISNUMBER(SEARCH("Cloud",F494)),F494="Industry Readiness Program",ISNUMBER(SEARCH("Talenlio",F494))),9,
OR(ISNUMBER(SEARCH("Innovation",F494)),F494="Mini Project"),10,
OR(ISNUMBER(SEARCH("Data Science",F494)),ISNUMBER(SEARCH("DS",F494))),11,
ISNUMBER(SEARCH("Generative AI",F494)),12
=_xlfn.IFS(
OR(F494="Selenium (Hands-on)",F494="Guest Lecture: HR Interview"),6,
OR(F494="Soft Skill",F494="Soft Skill (Examination)",F494="AWS Training",F494="AWS Session"),7,
OR(ISNUMBER(SEARCH("MAD",F494)),ISNUMBER(SEARCH("STQA",F494)),F494="CI/CD Session"),8,
OR(ISNUMBER(SEARCH("Cloud",F494)),F494="Industry Readiness Program",ISNUMBER(SEARCH("Talenlio",F494))),9,
OR(ISNUMBER(SEARCH("Innovation",F494)),F494="Mini Project"),10,
OR(ISNUMBER(SEARCH("Data Science",F494)),ISNUMBER(SEARCH("DS",F494))),11,
ISNUMBER(SEARCH("Generative AI",F494)),12
=_xlfn.IFS(
OR(F494="Selenium (Hands-on)",F494="Guest Lecture: HR Interview"),6,
OR(F494="Soft Skill",F494="Soft Skill (Examination)",F494="AWS Training",F494="AWS Session"),7,
OR(ISNUMBER(SEARCH("MAD",F494)),ISNUMBER(SEARCH("STQA",F494)),F494="CI/CD Session"),8,
OR(ISNUMBER(SEARCH("Cloud",F494)),F494="Industry Readiness Program",ISNUMBER(SEARCH("Talenlio",F494))),9,
OR(ISNUMBER(SEARCH("Innovation",F494)),F494="Mini Project"),10,
OR(ISNUMBER(SEARCH("Data Science",F494)),ISNUMBER(SEARCH("DS",F494))),11,
ISNUMBER(SEARCH("Generative AI",F494)),12
))))</f>
        <v>8</v>
      </c>
      <c r="X494" s="3">
        <v>7</v>
      </c>
      <c r="Y494" s="3">
        <v>44</v>
      </c>
      <c r="Z494" s="3" t="s">
        <v>35</v>
      </c>
    </row>
    <row r="495" spans="1:26" x14ac:dyDescent="0.3">
      <c r="A495" s="2">
        <v>46231</v>
      </c>
      <c r="B495" s="3" t="s">
        <v>39</v>
      </c>
      <c r="C495" s="3">
        <v>2</v>
      </c>
      <c r="D495" s="4">
        <v>0.375</v>
      </c>
      <c r="E495" s="4">
        <v>0.41666666666666702</v>
      </c>
      <c r="F495" s="3" t="s">
        <v>74</v>
      </c>
      <c r="G495" s="3" t="s">
        <v>75</v>
      </c>
      <c r="H495" s="3" t="s">
        <v>29</v>
      </c>
      <c r="I495" s="3" t="s">
        <v>30</v>
      </c>
      <c r="J495" s="3" t="s">
        <v>84</v>
      </c>
      <c r="K495" s="3" t="s">
        <v>76</v>
      </c>
      <c r="L495" s="5">
        <v>102</v>
      </c>
      <c r="M495" s="5">
        <f t="shared" ca="1" si="35"/>
        <v>71</v>
      </c>
      <c r="N495" s="6">
        <f t="shared" ca="1" si="36"/>
        <v>69.607843137254903</v>
      </c>
      <c r="O495" s="3" cm="1">
        <f t="array" aca="1" ref="O495" ca="1">IFERROR(LOOKUP(2, 1/((F$1:F494=F495)*(J$1:J494=J495)*(ROW(F$1:F494)&lt;ROW(F495))), N$1:N494), "")</f>
        <v>62.745098039215684</v>
      </c>
      <c r="P495" s="3">
        <f t="shared" si="39"/>
        <v>0</v>
      </c>
      <c r="Q495" s="3" t="s">
        <v>43</v>
      </c>
      <c r="R495" s="3" t="s">
        <v>40</v>
      </c>
      <c r="S495" s="3" t="str">
        <f t="shared" si="37"/>
        <v>Yes</v>
      </c>
      <c r="T495" s="3" t="s">
        <v>40</v>
      </c>
      <c r="U495" s="3" t="str">
        <f t="shared" si="38"/>
        <v>Rainy</v>
      </c>
      <c r="V495" s="3" t="s">
        <v>40</v>
      </c>
      <c r="W495" s="3" cm="1">
        <f t="array" ref="W495">_xlfn.IFS(
OR(F495="Selenium (Hands-on)",F495="Guest Lecture: HR Interview"),6,
OR(F495="Soft Skill",F495="Soft Skill (Examination)",F495="AWS Training",F495="AWS Session"),7,
OR(ISNUMBER(SEARCH("MAD",F495)),ISNUMBER(SEARCH("STQA",F495)),F495="CI/CD Session"),8,
OR(ISNUMBER(SEARCH("Cloud",F495)),F495="Industry Readiness Program",ISNUMBER(SEARCH("Talenlio",F495))),9,
OR(ISNUMBER(SEARCH("Innovation",F495)),F495="Mini Project"),10,
OR(ISNUMBER(SEARCH("Data Science",F495)),ISNUMBER(SEARCH("DS",F495))),11,
ISNUMBER(SEARCH("Generative AI",F495)),12
=_xlfn.IFS(
OR(F495="Selenium (Hands-on)",F495="Guest Lecture: HR Interview"),6,
OR(F495="Soft Skill",F495="Soft Skill (Examination)",F495="AWS Training",F495="AWS Session"),7,
OR(ISNUMBER(SEARCH("MAD",F495)),ISNUMBER(SEARCH("STQA",F495)),F495="CI/CD Session"),8,
OR(ISNUMBER(SEARCH("Cloud",F495)),F495="Industry Readiness Program",ISNUMBER(SEARCH("Talenlio",F495))),9,
OR(ISNUMBER(SEARCH("Innovation",F495)),F495="Mini Project"),10,
OR(ISNUMBER(SEARCH("Data Science",F495)),ISNUMBER(SEARCH("DS",F495))),11,
ISNUMBER(SEARCH("Generative AI",F495)),12
=_xlfn.IFS(
OR(F495="Selenium (Hands-on)",F495="Guest Lecture: HR Interview"),6,
OR(F495="Soft Skill",F495="Soft Skill (Examination)",F495="AWS Training",F495="AWS Session"),7,
OR(ISNUMBER(SEARCH("MAD",F495)),ISNUMBER(SEARCH("STQA",F495)),F495="CI/CD Session"),8,
OR(ISNUMBER(SEARCH("Cloud",F495)),F495="Industry Readiness Program",ISNUMBER(SEARCH("Talenlio",F495))),9,
OR(ISNUMBER(SEARCH("Innovation",F495)),F495="Mini Project"),10,
OR(ISNUMBER(SEARCH("Data Science",F495)),ISNUMBER(SEARCH("DS",F495))),11,
ISNUMBER(SEARCH("Generative AI",F495)),12
=_xlfn.IFS(
OR(F495="Selenium (Hands-on)",F495="Guest Lecture: HR Interview"),6,
OR(F495="Soft Skill",F495="Soft Skill (Examination)",F495="AWS Training",F495="AWS Session"),7,
OR(ISNUMBER(SEARCH("MAD",F495)),ISNUMBER(SEARCH("STQA",F495)),F495="CI/CD Session"),8,
OR(ISNUMBER(SEARCH("Cloud",F495)),F495="Industry Readiness Program",ISNUMBER(SEARCH("Talenlio",F495))),9,
OR(ISNUMBER(SEARCH("Innovation",F495)),F495="Mini Project"),10,
OR(ISNUMBER(SEARCH("Data Science",F495)),ISNUMBER(SEARCH("DS",F495))),11,
ISNUMBER(SEARCH("Generative AI",F495)),12
))))</f>
        <v>6</v>
      </c>
      <c r="X495" s="3">
        <v>7</v>
      </c>
      <c r="Y495" s="3">
        <v>44</v>
      </c>
      <c r="Z495" s="3" t="s">
        <v>35</v>
      </c>
    </row>
    <row r="496" spans="1:26" x14ac:dyDescent="0.3">
      <c r="A496" s="2">
        <v>46231</v>
      </c>
      <c r="B496" s="3" t="s">
        <v>39</v>
      </c>
      <c r="C496" s="3">
        <v>3</v>
      </c>
      <c r="D496" s="4">
        <v>0.41666666666666702</v>
      </c>
      <c r="E496" s="4">
        <v>0.45833333333333298</v>
      </c>
      <c r="F496" s="3" t="s">
        <v>74</v>
      </c>
      <c r="G496" s="3" t="s">
        <v>75</v>
      </c>
      <c r="H496" s="3" t="s">
        <v>29</v>
      </c>
      <c r="I496" s="3" t="s">
        <v>30</v>
      </c>
      <c r="J496" s="3" t="s">
        <v>84</v>
      </c>
      <c r="K496" s="3" t="s">
        <v>76</v>
      </c>
      <c r="L496" s="5">
        <v>102</v>
      </c>
      <c r="M496" s="5">
        <f t="shared" ca="1" si="35"/>
        <v>59</v>
      </c>
      <c r="N496" s="6">
        <f t="shared" ca="1" si="36"/>
        <v>57.843137254901968</v>
      </c>
      <c r="O496" s="3" cm="1">
        <f t="array" aca="1" ref="O496" ca="1">IFERROR(LOOKUP(2, 1/((F$1:F495=F496)*(J$1:J495=J496)*(ROW(F$1:F495)&lt;ROW(F496))), N$1:N495), "")</f>
        <v>69.607843137254903</v>
      </c>
      <c r="P496" s="3">
        <f t="shared" si="39"/>
        <v>0</v>
      </c>
      <c r="Q496" s="3" t="s">
        <v>43</v>
      </c>
      <c r="R496" s="3" t="s">
        <v>40</v>
      </c>
      <c r="S496" s="3" t="str">
        <f t="shared" si="37"/>
        <v>Yes</v>
      </c>
      <c r="T496" s="3" t="s">
        <v>40</v>
      </c>
      <c r="U496" s="3" t="str">
        <f t="shared" si="38"/>
        <v>Rainy</v>
      </c>
      <c r="V496" s="3" t="s">
        <v>40</v>
      </c>
      <c r="W496" s="3" cm="1">
        <f t="array" ref="W496">_xlfn.IFS(
OR(F496="Selenium (Hands-on)",F496="Guest Lecture: HR Interview"),6,
OR(F496="Soft Skill",F496="Soft Skill (Examination)",F496="AWS Training",F496="AWS Session"),7,
OR(ISNUMBER(SEARCH("MAD",F496)),ISNUMBER(SEARCH("STQA",F496)),F496="CI/CD Session"),8,
OR(ISNUMBER(SEARCH("Cloud",F496)),F496="Industry Readiness Program",ISNUMBER(SEARCH("Talenlio",F496))),9,
OR(ISNUMBER(SEARCH("Innovation",F496)),F496="Mini Project"),10,
OR(ISNUMBER(SEARCH("Data Science",F496)),ISNUMBER(SEARCH("DS",F496))),11,
ISNUMBER(SEARCH("Generative AI",F496)),12
=_xlfn.IFS(
OR(F496="Selenium (Hands-on)",F496="Guest Lecture: HR Interview"),6,
OR(F496="Soft Skill",F496="Soft Skill (Examination)",F496="AWS Training",F496="AWS Session"),7,
OR(ISNUMBER(SEARCH("MAD",F496)),ISNUMBER(SEARCH("STQA",F496)),F496="CI/CD Session"),8,
OR(ISNUMBER(SEARCH("Cloud",F496)),F496="Industry Readiness Program",ISNUMBER(SEARCH("Talenlio",F496))),9,
OR(ISNUMBER(SEARCH("Innovation",F496)),F496="Mini Project"),10,
OR(ISNUMBER(SEARCH("Data Science",F496)),ISNUMBER(SEARCH("DS",F496))),11,
ISNUMBER(SEARCH("Generative AI",F496)),12
=_xlfn.IFS(
OR(F496="Selenium (Hands-on)",F496="Guest Lecture: HR Interview"),6,
OR(F496="Soft Skill",F496="Soft Skill (Examination)",F496="AWS Training",F496="AWS Session"),7,
OR(ISNUMBER(SEARCH("MAD",F496)),ISNUMBER(SEARCH("STQA",F496)),F496="CI/CD Session"),8,
OR(ISNUMBER(SEARCH("Cloud",F496)),F496="Industry Readiness Program",ISNUMBER(SEARCH("Talenlio",F496))),9,
OR(ISNUMBER(SEARCH("Innovation",F496)),F496="Mini Project"),10,
OR(ISNUMBER(SEARCH("Data Science",F496)),ISNUMBER(SEARCH("DS",F496))),11,
ISNUMBER(SEARCH("Generative AI",F496)),12
=_xlfn.IFS(
OR(F496="Selenium (Hands-on)",F496="Guest Lecture: HR Interview"),6,
OR(F496="Soft Skill",F496="Soft Skill (Examination)",F496="AWS Training",F496="AWS Session"),7,
OR(ISNUMBER(SEARCH("MAD",F496)),ISNUMBER(SEARCH("STQA",F496)),F496="CI/CD Session"),8,
OR(ISNUMBER(SEARCH("Cloud",F496)),F496="Industry Readiness Program",ISNUMBER(SEARCH("Talenlio",F496))),9,
OR(ISNUMBER(SEARCH("Innovation",F496)),F496="Mini Project"),10,
OR(ISNUMBER(SEARCH("Data Science",F496)),ISNUMBER(SEARCH("DS",F496))),11,
ISNUMBER(SEARCH("Generative AI",F496)),12
))))</f>
        <v>6</v>
      </c>
      <c r="X496" s="3">
        <v>7</v>
      </c>
      <c r="Y496" s="3">
        <v>44</v>
      </c>
      <c r="Z496" s="3" t="s">
        <v>35</v>
      </c>
    </row>
    <row r="497" spans="1:26" x14ac:dyDescent="0.3">
      <c r="A497" s="2">
        <v>46231</v>
      </c>
      <c r="B497" s="3" t="s">
        <v>39</v>
      </c>
      <c r="C497" s="3">
        <v>4</v>
      </c>
      <c r="D497" s="4">
        <v>0.45833333333333298</v>
      </c>
      <c r="E497" s="4">
        <v>0.47916666666666702</v>
      </c>
      <c r="F497" s="3" t="s">
        <v>74</v>
      </c>
      <c r="G497" s="3" t="s">
        <v>75</v>
      </c>
      <c r="H497" s="3" t="s">
        <v>29</v>
      </c>
      <c r="I497" s="3" t="s">
        <v>30</v>
      </c>
      <c r="J497" s="3" t="s">
        <v>84</v>
      </c>
      <c r="K497" s="3" t="s">
        <v>76</v>
      </c>
      <c r="L497" s="5">
        <v>102</v>
      </c>
      <c r="M497" s="5">
        <f t="shared" ca="1" si="35"/>
        <v>73</v>
      </c>
      <c r="N497" s="6">
        <f t="shared" ca="1" si="36"/>
        <v>71.568627450980387</v>
      </c>
      <c r="O497" s="3" cm="1">
        <f t="array" aca="1" ref="O497" ca="1">IFERROR(LOOKUP(2, 1/((F$1:F496=F497)*(J$1:J496=J497)*(ROW(F$1:F496)&lt;ROW(F497))), N$1:N496), "")</f>
        <v>57.843137254901968</v>
      </c>
      <c r="P497" s="3">
        <f t="shared" si="39"/>
        <v>0</v>
      </c>
      <c r="Q497" s="3" t="s">
        <v>43</v>
      </c>
      <c r="R497" s="3" t="s">
        <v>40</v>
      </c>
      <c r="S497" s="3" t="str">
        <f t="shared" si="37"/>
        <v>Yes</v>
      </c>
      <c r="T497" s="3" t="s">
        <v>40</v>
      </c>
      <c r="U497" s="3" t="str">
        <f t="shared" si="38"/>
        <v>Rainy</v>
      </c>
      <c r="V497" s="3" t="s">
        <v>40</v>
      </c>
      <c r="W497" s="3" cm="1">
        <f t="array" ref="W497">_xlfn.IFS(
OR(F497="Selenium (Hands-on)",F497="Guest Lecture: HR Interview"),6,
OR(F497="Soft Skill",F497="Soft Skill (Examination)",F497="AWS Training",F497="AWS Session"),7,
OR(ISNUMBER(SEARCH("MAD",F497)),ISNUMBER(SEARCH("STQA",F497)),F497="CI/CD Session"),8,
OR(ISNUMBER(SEARCH("Cloud",F497)),F497="Industry Readiness Program",ISNUMBER(SEARCH("Talenlio",F497))),9,
OR(ISNUMBER(SEARCH("Innovation",F497)),F497="Mini Project"),10,
OR(ISNUMBER(SEARCH("Data Science",F497)),ISNUMBER(SEARCH("DS",F497))),11,
ISNUMBER(SEARCH("Generative AI",F497)),12
=_xlfn.IFS(
OR(F497="Selenium (Hands-on)",F497="Guest Lecture: HR Interview"),6,
OR(F497="Soft Skill",F497="Soft Skill (Examination)",F497="AWS Training",F497="AWS Session"),7,
OR(ISNUMBER(SEARCH("MAD",F497)),ISNUMBER(SEARCH("STQA",F497)),F497="CI/CD Session"),8,
OR(ISNUMBER(SEARCH("Cloud",F497)),F497="Industry Readiness Program",ISNUMBER(SEARCH("Talenlio",F497))),9,
OR(ISNUMBER(SEARCH("Innovation",F497)),F497="Mini Project"),10,
OR(ISNUMBER(SEARCH("Data Science",F497)),ISNUMBER(SEARCH("DS",F497))),11,
ISNUMBER(SEARCH("Generative AI",F497)),12
=_xlfn.IFS(
OR(F497="Selenium (Hands-on)",F497="Guest Lecture: HR Interview"),6,
OR(F497="Soft Skill",F497="Soft Skill (Examination)",F497="AWS Training",F497="AWS Session"),7,
OR(ISNUMBER(SEARCH("MAD",F497)),ISNUMBER(SEARCH("STQA",F497)),F497="CI/CD Session"),8,
OR(ISNUMBER(SEARCH("Cloud",F497)),F497="Industry Readiness Program",ISNUMBER(SEARCH("Talenlio",F497))),9,
OR(ISNUMBER(SEARCH("Innovation",F497)),F497="Mini Project"),10,
OR(ISNUMBER(SEARCH("Data Science",F497)),ISNUMBER(SEARCH("DS",F497))),11,
ISNUMBER(SEARCH("Generative AI",F497)),12
=_xlfn.IFS(
OR(F497="Selenium (Hands-on)",F497="Guest Lecture: HR Interview"),6,
OR(F497="Soft Skill",F497="Soft Skill (Examination)",F497="AWS Training",F497="AWS Session"),7,
OR(ISNUMBER(SEARCH("MAD",F497)),ISNUMBER(SEARCH("STQA",F497)),F497="CI/CD Session"),8,
OR(ISNUMBER(SEARCH("Cloud",F497)),F497="Industry Readiness Program",ISNUMBER(SEARCH("Talenlio",F497))),9,
OR(ISNUMBER(SEARCH("Innovation",F497)),F497="Mini Project"),10,
OR(ISNUMBER(SEARCH("Data Science",F497)),ISNUMBER(SEARCH("DS",F497))),11,
ISNUMBER(SEARCH("Generative AI",F497)),12
))))</f>
        <v>6</v>
      </c>
      <c r="X497" s="3">
        <v>7</v>
      </c>
      <c r="Y497" s="3">
        <v>44</v>
      </c>
      <c r="Z497" s="3" t="s">
        <v>35</v>
      </c>
    </row>
    <row r="498" spans="1:26" x14ac:dyDescent="0.3">
      <c r="A498" s="2">
        <v>46231</v>
      </c>
      <c r="B498" s="3" t="s">
        <v>39</v>
      </c>
      <c r="C498" s="3">
        <v>5</v>
      </c>
      <c r="D498" s="4">
        <v>0.47916666666666702</v>
      </c>
      <c r="E498" s="4">
        <v>0.52083333333333304</v>
      </c>
      <c r="F498" s="3" t="s">
        <v>59</v>
      </c>
      <c r="G498" s="3" t="s">
        <v>73</v>
      </c>
      <c r="H498" s="3" t="s">
        <v>29</v>
      </c>
      <c r="I498" s="3" t="s">
        <v>30</v>
      </c>
      <c r="J498" s="3" t="s">
        <v>84</v>
      </c>
      <c r="K498" s="3" t="s">
        <v>52</v>
      </c>
      <c r="L498" s="5">
        <v>102</v>
      </c>
      <c r="M498" s="5">
        <f t="shared" ca="1" si="35"/>
        <v>63</v>
      </c>
      <c r="N498" s="6">
        <f t="shared" ca="1" si="36"/>
        <v>61.764705882352942</v>
      </c>
      <c r="O498" s="3" cm="1">
        <f t="array" aca="1" ref="O498" ca="1">IFERROR(LOOKUP(2, 1/((F$1:F497=F498)*(J$1:J497=J498)*(ROW(F$1:F497)&lt;ROW(F498))), N$1:N497), "")</f>
        <v>78.431372549019613</v>
      </c>
      <c r="P498" s="3">
        <f t="shared" si="39"/>
        <v>0</v>
      </c>
      <c r="Q498" s="3" t="s">
        <v>33</v>
      </c>
      <c r="R498" s="3" t="s">
        <v>40</v>
      </c>
      <c r="S498" s="3" t="str">
        <f t="shared" si="37"/>
        <v>No</v>
      </c>
      <c r="T498" s="3" t="s">
        <v>40</v>
      </c>
      <c r="U498" s="3" t="str">
        <f t="shared" si="38"/>
        <v>Rainy</v>
      </c>
      <c r="V498" s="3" t="s">
        <v>40</v>
      </c>
      <c r="W498" s="3" cm="1">
        <f t="array" ref="W498">_xlfn.IFS(
OR(F498="Selenium (Hands-on)",F498="Guest Lecture: HR Interview"),6,
OR(F498="Soft Skill",F498="Soft Skill (Examination)",F498="AWS Training",F498="AWS Session"),7,
OR(ISNUMBER(SEARCH("MAD",F498)),ISNUMBER(SEARCH("STQA",F498)),F498="CI/CD Session"),8,
OR(ISNUMBER(SEARCH("Cloud",F498)),F498="Industry Readiness Program",ISNUMBER(SEARCH("Talenlio",F498))),9,
OR(ISNUMBER(SEARCH("Innovation",F498)),F498="Mini Project"),10,
OR(ISNUMBER(SEARCH("Data Science",F498)),ISNUMBER(SEARCH("DS",F498))),11,
ISNUMBER(SEARCH("Generative AI",F498)),12
=_xlfn.IFS(
OR(F498="Selenium (Hands-on)",F498="Guest Lecture: HR Interview"),6,
OR(F498="Soft Skill",F498="Soft Skill (Examination)",F498="AWS Training",F498="AWS Session"),7,
OR(ISNUMBER(SEARCH("MAD",F498)),ISNUMBER(SEARCH("STQA",F498)),F498="CI/CD Session"),8,
OR(ISNUMBER(SEARCH("Cloud",F498)),F498="Industry Readiness Program",ISNUMBER(SEARCH("Talenlio",F498))),9,
OR(ISNUMBER(SEARCH("Innovation",F498)),F498="Mini Project"),10,
OR(ISNUMBER(SEARCH("Data Science",F498)),ISNUMBER(SEARCH("DS",F498))),11,
ISNUMBER(SEARCH("Generative AI",F498)),12
=_xlfn.IFS(
OR(F498="Selenium (Hands-on)",F498="Guest Lecture: HR Interview"),6,
OR(F498="Soft Skill",F498="Soft Skill (Examination)",F498="AWS Training",F498="AWS Session"),7,
OR(ISNUMBER(SEARCH("MAD",F498)),ISNUMBER(SEARCH("STQA",F498)),F498="CI/CD Session"),8,
OR(ISNUMBER(SEARCH("Cloud",F498)),F498="Industry Readiness Program",ISNUMBER(SEARCH("Talenlio",F498))),9,
OR(ISNUMBER(SEARCH("Innovation",F498)),F498="Mini Project"),10,
OR(ISNUMBER(SEARCH("Data Science",F498)),ISNUMBER(SEARCH("DS",F498))),11,
ISNUMBER(SEARCH("Generative AI",F498)),12
=_xlfn.IFS(
OR(F498="Selenium (Hands-on)",F498="Guest Lecture: HR Interview"),6,
OR(F498="Soft Skill",F498="Soft Skill (Examination)",F498="AWS Training",F498="AWS Session"),7,
OR(ISNUMBER(SEARCH("MAD",F498)),ISNUMBER(SEARCH("STQA",F498)),F498="CI/CD Session"),8,
OR(ISNUMBER(SEARCH("Cloud",F498)),F498="Industry Readiness Program",ISNUMBER(SEARCH("Talenlio",F498))),9,
OR(ISNUMBER(SEARCH("Innovation",F498)),F498="Mini Project"),10,
OR(ISNUMBER(SEARCH("Data Science",F498)),ISNUMBER(SEARCH("DS",F498))),11,
ISNUMBER(SEARCH("Generative AI",F498)),12
))))</f>
        <v>11</v>
      </c>
      <c r="X498" s="3">
        <v>7</v>
      </c>
      <c r="Y498" s="3">
        <v>44</v>
      </c>
      <c r="Z498" s="3" t="s">
        <v>35</v>
      </c>
    </row>
    <row r="499" spans="1:26" x14ac:dyDescent="0.3">
      <c r="A499" s="2">
        <v>46231</v>
      </c>
      <c r="B499" s="3" t="s">
        <v>39</v>
      </c>
      <c r="C499" s="3">
        <v>6</v>
      </c>
      <c r="D499" s="4">
        <v>0.5625</v>
      </c>
      <c r="E499" s="4">
        <v>0.60416666666666696</v>
      </c>
      <c r="F499" s="3" t="s">
        <v>59</v>
      </c>
      <c r="G499" s="3" t="s">
        <v>73</v>
      </c>
      <c r="H499" s="3" t="s">
        <v>29</v>
      </c>
      <c r="I499" s="3" t="s">
        <v>30</v>
      </c>
      <c r="J499" s="3" t="s">
        <v>84</v>
      </c>
      <c r="K499" s="3" t="s">
        <v>52</v>
      </c>
      <c r="L499" s="5">
        <v>102</v>
      </c>
      <c r="M499" s="5">
        <f t="shared" ca="1" si="35"/>
        <v>83</v>
      </c>
      <c r="N499" s="6">
        <f t="shared" ca="1" si="36"/>
        <v>81.372549019607845</v>
      </c>
      <c r="O499" s="3" cm="1">
        <f t="array" aca="1" ref="O499" ca="1">IFERROR(LOOKUP(2, 1/((F$1:F498=F499)*(J$1:J498=J499)*(ROW(F$1:F498)&lt;ROW(F499))), N$1:N498), "")</f>
        <v>61.764705882352942</v>
      </c>
      <c r="P499" s="3">
        <f t="shared" si="39"/>
        <v>1</v>
      </c>
      <c r="Q499" s="3" t="s">
        <v>33</v>
      </c>
      <c r="R499" s="3" t="s">
        <v>40</v>
      </c>
      <c r="S499" s="3" t="str">
        <f t="shared" si="37"/>
        <v>No</v>
      </c>
      <c r="T499" s="3" t="s">
        <v>40</v>
      </c>
      <c r="U499" s="3" t="str">
        <f t="shared" si="38"/>
        <v>Rainy</v>
      </c>
      <c r="V499" s="3" t="s">
        <v>40</v>
      </c>
      <c r="W499" s="3" cm="1">
        <f t="array" ref="W499">_xlfn.IFS(
OR(F499="Selenium (Hands-on)",F499="Guest Lecture: HR Interview"),6,
OR(F499="Soft Skill",F499="Soft Skill (Examination)",F499="AWS Training",F499="AWS Session"),7,
OR(ISNUMBER(SEARCH("MAD",F499)),ISNUMBER(SEARCH("STQA",F499)),F499="CI/CD Session"),8,
OR(ISNUMBER(SEARCH("Cloud",F499)),F499="Industry Readiness Program",ISNUMBER(SEARCH("Talenlio",F499))),9,
OR(ISNUMBER(SEARCH("Innovation",F499)),F499="Mini Project"),10,
OR(ISNUMBER(SEARCH("Data Science",F499)),ISNUMBER(SEARCH("DS",F499))),11,
ISNUMBER(SEARCH("Generative AI",F499)),12
=_xlfn.IFS(
OR(F499="Selenium (Hands-on)",F499="Guest Lecture: HR Interview"),6,
OR(F499="Soft Skill",F499="Soft Skill (Examination)",F499="AWS Training",F499="AWS Session"),7,
OR(ISNUMBER(SEARCH("MAD",F499)),ISNUMBER(SEARCH("STQA",F499)),F499="CI/CD Session"),8,
OR(ISNUMBER(SEARCH("Cloud",F499)),F499="Industry Readiness Program",ISNUMBER(SEARCH("Talenlio",F499))),9,
OR(ISNUMBER(SEARCH("Innovation",F499)),F499="Mini Project"),10,
OR(ISNUMBER(SEARCH("Data Science",F499)),ISNUMBER(SEARCH("DS",F499))),11,
ISNUMBER(SEARCH("Generative AI",F499)),12
=_xlfn.IFS(
OR(F499="Selenium (Hands-on)",F499="Guest Lecture: HR Interview"),6,
OR(F499="Soft Skill",F499="Soft Skill (Examination)",F499="AWS Training",F499="AWS Session"),7,
OR(ISNUMBER(SEARCH("MAD",F499)),ISNUMBER(SEARCH("STQA",F499)),F499="CI/CD Session"),8,
OR(ISNUMBER(SEARCH("Cloud",F499)),F499="Industry Readiness Program",ISNUMBER(SEARCH("Talenlio",F499))),9,
OR(ISNUMBER(SEARCH("Innovation",F499)),F499="Mini Project"),10,
OR(ISNUMBER(SEARCH("Data Science",F499)),ISNUMBER(SEARCH("DS",F499))),11,
ISNUMBER(SEARCH("Generative AI",F499)),12
=_xlfn.IFS(
OR(F499="Selenium (Hands-on)",F499="Guest Lecture: HR Interview"),6,
OR(F499="Soft Skill",F499="Soft Skill (Examination)",F499="AWS Training",F499="AWS Session"),7,
OR(ISNUMBER(SEARCH("MAD",F499)),ISNUMBER(SEARCH("STQA",F499)),F499="CI/CD Session"),8,
OR(ISNUMBER(SEARCH("Cloud",F499)),F499="Industry Readiness Program",ISNUMBER(SEARCH("Talenlio",F499))),9,
OR(ISNUMBER(SEARCH("Innovation",F499)),F499="Mini Project"),10,
OR(ISNUMBER(SEARCH("Data Science",F499)),ISNUMBER(SEARCH("DS",F499))),11,
ISNUMBER(SEARCH("Generative AI",F499)),12
))))</f>
        <v>11</v>
      </c>
      <c r="X499" s="3">
        <v>7</v>
      </c>
      <c r="Y499" s="3">
        <v>44</v>
      </c>
      <c r="Z499" s="3" t="s">
        <v>38</v>
      </c>
    </row>
    <row r="500" spans="1:26" x14ac:dyDescent="0.3">
      <c r="A500" s="2">
        <v>46231</v>
      </c>
      <c r="B500" s="3" t="s">
        <v>39</v>
      </c>
      <c r="C500" s="3">
        <v>7</v>
      </c>
      <c r="D500" s="4">
        <v>0.60416666666666696</v>
      </c>
      <c r="E500" s="4">
        <v>0.64583333333333304</v>
      </c>
      <c r="F500" s="3" t="s">
        <v>59</v>
      </c>
      <c r="G500" s="3" t="s">
        <v>73</v>
      </c>
      <c r="H500" s="3" t="s">
        <v>29</v>
      </c>
      <c r="I500" s="3" t="s">
        <v>30</v>
      </c>
      <c r="J500" s="3" t="s">
        <v>84</v>
      </c>
      <c r="K500" s="3" t="s">
        <v>52</v>
      </c>
      <c r="L500" s="5">
        <v>102</v>
      </c>
      <c r="M500" s="5">
        <f t="shared" ca="1" si="35"/>
        <v>96</v>
      </c>
      <c r="N500" s="6">
        <f t="shared" ca="1" si="36"/>
        <v>94.117647058823522</v>
      </c>
      <c r="O500" s="3" cm="1">
        <f t="array" aca="1" ref="O500" ca="1">IFERROR(LOOKUP(2, 1/((F$1:F499=F500)*(J$1:J499=J500)*(ROW(F$1:F499)&lt;ROW(F500))), N$1:N499), "")</f>
        <v>81.372549019607845</v>
      </c>
      <c r="P500" s="3">
        <f t="shared" si="39"/>
        <v>0</v>
      </c>
      <c r="Q500" s="3" t="s">
        <v>33</v>
      </c>
      <c r="R500" s="3" t="s">
        <v>40</v>
      </c>
      <c r="S500" s="3" t="str">
        <f t="shared" si="37"/>
        <v>No</v>
      </c>
      <c r="T500" s="3" t="s">
        <v>40</v>
      </c>
      <c r="U500" s="3" t="str">
        <f t="shared" si="38"/>
        <v>Rainy</v>
      </c>
      <c r="V500" s="3" t="s">
        <v>40</v>
      </c>
      <c r="W500" s="3" cm="1">
        <f t="array" ref="W500">_xlfn.IFS(
OR(F500="Selenium (Hands-on)",F500="Guest Lecture: HR Interview"),6,
OR(F500="Soft Skill",F500="Soft Skill (Examination)",F500="AWS Training",F500="AWS Session"),7,
OR(ISNUMBER(SEARCH("MAD",F500)),ISNUMBER(SEARCH("STQA",F500)),F500="CI/CD Session"),8,
OR(ISNUMBER(SEARCH("Cloud",F500)),F500="Industry Readiness Program",ISNUMBER(SEARCH("Talenlio",F500))),9,
OR(ISNUMBER(SEARCH("Innovation",F500)),F500="Mini Project"),10,
OR(ISNUMBER(SEARCH("Data Science",F500)),ISNUMBER(SEARCH("DS",F500))),11,
ISNUMBER(SEARCH("Generative AI",F500)),12
=_xlfn.IFS(
OR(F500="Selenium (Hands-on)",F500="Guest Lecture: HR Interview"),6,
OR(F500="Soft Skill",F500="Soft Skill (Examination)",F500="AWS Training",F500="AWS Session"),7,
OR(ISNUMBER(SEARCH("MAD",F500)),ISNUMBER(SEARCH("STQA",F500)),F500="CI/CD Session"),8,
OR(ISNUMBER(SEARCH("Cloud",F500)),F500="Industry Readiness Program",ISNUMBER(SEARCH("Talenlio",F500))),9,
OR(ISNUMBER(SEARCH("Innovation",F500)),F500="Mini Project"),10,
OR(ISNUMBER(SEARCH("Data Science",F500)),ISNUMBER(SEARCH("DS",F500))),11,
ISNUMBER(SEARCH("Generative AI",F500)),12
=_xlfn.IFS(
OR(F500="Selenium (Hands-on)",F500="Guest Lecture: HR Interview"),6,
OR(F500="Soft Skill",F500="Soft Skill (Examination)",F500="AWS Training",F500="AWS Session"),7,
OR(ISNUMBER(SEARCH("MAD",F500)),ISNUMBER(SEARCH("STQA",F500)),F500="CI/CD Session"),8,
OR(ISNUMBER(SEARCH("Cloud",F500)),F500="Industry Readiness Program",ISNUMBER(SEARCH("Talenlio",F500))),9,
OR(ISNUMBER(SEARCH("Innovation",F500)),F500="Mini Project"),10,
OR(ISNUMBER(SEARCH("Data Science",F500)),ISNUMBER(SEARCH("DS",F500))),11,
ISNUMBER(SEARCH("Generative AI",F500)),12
=_xlfn.IFS(
OR(F500="Selenium (Hands-on)",F500="Guest Lecture: HR Interview"),6,
OR(F500="Soft Skill",F500="Soft Skill (Examination)",F500="AWS Training",F500="AWS Session"),7,
OR(ISNUMBER(SEARCH("MAD",F500)),ISNUMBER(SEARCH("STQA",F500)),F500="CI/CD Session"),8,
OR(ISNUMBER(SEARCH("Cloud",F500)),F500="Industry Readiness Program",ISNUMBER(SEARCH("Talenlio",F500))),9,
OR(ISNUMBER(SEARCH("Innovation",F500)),F500="Mini Project"),10,
OR(ISNUMBER(SEARCH("Data Science",F500)),ISNUMBER(SEARCH("DS",F500))),11,
ISNUMBER(SEARCH("Generative AI",F500)),12
))))</f>
        <v>11</v>
      </c>
      <c r="X500" s="3">
        <v>7</v>
      </c>
      <c r="Y500" s="3">
        <v>44</v>
      </c>
      <c r="Z500" s="3" t="s">
        <v>38</v>
      </c>
    </row>
    <row r="501" spans="1:26" x14ac:dyDescent="0.3">
      <c r="A501" s="2">
        <v>46231</v>
      </c>
      <c r="B501" s="3" t="s">
        <v>39</v>
      </c>
      <c r="C501" s="3">
        <v>8</v>
      </c>
      <c r="D501" s="4">
        <v>0.64583333333333304</v>
      </c>
      <c r="E501" s="4">
        <v>0.66666666666666696</v>
      </c>
      <c r="F501" s="3" t="s">
        <v>59</v>
      </c>
      <c r="G501" s="3" t="s">
        <v>73</v>
      </c>
      <c r="H501" s="3" t="s">
        <v>29</v>
      </c>
      <c r="I501" s="3" t="s">
        <v>30</v>
      </c>
      <c r="J501" s="3" t="s">
        <v>84</v>
      </c>
      <c r="K501" s="3" t="s">
        <v>52</v>
      </c>
      <c r="L501" s="5">
        <v>102</v>
      </c>
      <c r="M501" s="5">
        <f t="shared" ca="1" si="35"/>
        <v>51</v>
      </c>
      <c r="N501" s="6">
        <f t="shared" ca="1" si="36"/>
        <v>50</v>
      </c>
      <c r="O501" s="3" cm="1">
        <f t="array" aca="1" ref="O501" ca="1">IFERROR(LOOKUP(2, 1/((F$1:F500=F501)*(J$1:J500=J501)*(ROW(F$1:F500)&lt;ROW(F501))), N$1:N500), "")</f>
        <v>94.117647058823522</v>
      </c>
      <c r="P501" s="3">
        <f t="shared" si="39"/>
        <v>0</v>
      </c>
      <c r="Q501" s="3" t="s">
        <v>33</v>
      </c>
      <c r="R501" s="3" t="s">
        <v>40</v>
      </c>
      <c r="S501" s="3" t="str">
        <f t="shared" si="37"/>
        <v>No</v>
      </c>
      <c r="T501" s="3" t="s">
        <v>40</v>
      </c>
      <c r="U501" s="3" t="str">
        <f t="shared" si="38"/>
        <v>Rainy</v>
      </c>
      <c r="V501" s="3" t="s">
        <v>40</v>
      </c>
      <c r="W501" s="3" cm="1">
        <f t="array" ref="W501">_xlfn.IFS(
OR(F501="Selenium (Hands-on)",F501="Guest Lecture: HR Interview"),6,
OR(F501="Soft Skill",F501="Soft Skill (Examination)",F501="AWS Training",F501="AWS Session"),7,
OR(ISNUMBER(SEARCH("MAD",F501)),ISNUMBER(SEARCH("STQA",F501)),F501="CI/CD Session"),8,
OR(ISNUMBER(SEARCH("Cloud",F501)),F501="Industry Readiness Program",ISNUMBER(SEARCH("Talenlio",F501))),9,
OR(ISNUMBER(SEARCH("Innovation",F501)),F501="Mini Project"),10,
OR(ISNUMBER(SEARCH("Data Science",F501)),ISNUMBER(SEARCH("DS",F501))),11,
ISNUMBER(SEARCH("Generative AI",F501)),12
=_xlfn.IFS(
OR(F501="Selenium (Hands-on)",F501="Guest Lecture: HR Interview"),6,
OR(F501="Soft Skill",F501="Soft Skill (Examination)",F501="AWS Training",F501="AWS Session"),7,
OR(ISNUMBER(SEARCH("MAD",F501)),ISNUMBER(SEARCH("STQA",F501)),F501="CI/CD Session"),8,
OR(ISNUMBER(SEARCH("Cloud",F501)),F501="Industry Readiness Program",ISNUMBER(SEARCH("Talenlio",F501))),9,
OR(ISNUMBER(SEARCH("Innovation",F501)),F501="Mini Project"),10,
OR(ISNUMBER(SEARCH("Data Science",F501)),ISNUMBER(SEARCH("DS",F501))),11,
ISNUMBER(SEARCH("Generative AI",F501)),12
=_xlfn.IFS(
OR(F501="Selenium (Hands-on)",F501="Guest Lecture: HR Interview"),6,
OR(F501="Soft Skill",F501="Soft Skill (Examination)",F501="AWS Training",F501="AWS Session"),7,
OR(ISNUMBER(SEARCH("MAD",F501)),ISNUMBER(SEARCH("STQA",F501)),F501="CI/CD Session"),8,
OR(ISNUMBER(SEARCH("Cloud",F501)),F501="Industry Readiness Program",ISNUMBER(SEARCH("Talenlio",F501))),9,
OR(ISNUMBER(SEARCH("Innovation",F501)),F501="Mini Project"),10,
OR(ISNUMBER(SEARCH("Data Science",F501)),ISNUMBER(SEARCH("DS",F501))),11,
ISNUMBER(SEARCH("Generative AI",F501)),12
=_xlfn.IFS(
OR(F501="Selenium (Hands-on)",F501="Guest Lecture: HR Interview"),6,
OR(F501="Soft Skill",F501="Soft Skill (Examination)",F501="AWS Training",F501="AWS Session"),7,
OR(ISNUMBER(SEARCH("MAD",F501)),ISNUMBER(SEARCH("STQA",F501)),F501="CI/CD Session"),8,
OR(ISNUMBER(SEARCH("Cloud",F501)),F501="Industry Readiness Program",ISNUMBER(SEARCH("Talenlio",F501))),9,
OR(ISNUMBER(SEARCH("Innovation",F501)),F501="Mini Project"),10,
OR(ISNUMBER(SEARCH("Data Science",F501)),ISNUMBER(SEARCH("DS",F501))),11,
ISNUMBER(SEARCH("Generative AI",F501)),12
))))</f>
        <v>11</v>
      </c>
      <c r="X501" s="3">
        <v>7</v>
      </c>
      <c r="Y501" s="3">
        <v>44</v>
      </c>
      <c r="Z501" s="3" t="s">
        <v>38</v>
      </c>
    </row>
    <row r="502" spans="1:26" x14ac:dyDescent="0.3">
      <c r="A502" s="2">
        <v>46232</v>
      </c>
      <c r="B502" s="3" t="s">
        <v>44</v>
      </c>
      <c r="C502" s="3">
        <v>1</v>
      </c>
      <c r="D502" s="4">
        <v>0.33333333333333298</v>
      </c>
      <c r="E502" s="4">
        <v>0.375</v>
      </c>
      <c r="F502" s="3" t="s">
        <v>50</v>
      </c>
      <c r="G502" s="3" t="s">
        <v>51</v>
      </c>
      <c r="H502" s="3" t="s">
        <v>29</v>
      </c>
      <c r="I502" s="3" t="s">
        <v>30</v>
      </c>
      <c r="J502" s="3" t="s">
        <v>84</v>
      </c>
      <c r="K502" s="3" t="s">
        <v>52</v>
      </c>
      <c r="L502" s="5">
        <v>102</v>
      </c>
      <c r="M502" s="5">
        <f t="shared" ca="1" si="35"/>
        <v>66</v>
      </c>
      <c r="N502" s="6">
        <f t="shared" ca="1" si="36"/>
        <v>64.705882352941174</v>
      </c>
      <c r="O502" s="3" cm="1">
        <f t="array" aca="1" ref="O502" ca="1">IFERROR(LOOKUP(2, 1/((F$1:F501=F502)*(J$1:J501=J502)*(ROW(F$1:F501)&lt;ROW(F502))), N$1:N501), "")</f>
        <v>66.666666666666657</v>
      </c>
      <c r="P502" s="3">
        <f t="shared" si="39"/>
        <v>0</v>
      </c>
      <c r="Q502" s="3" t="s">
        <v>43</v>
      </c>
      <c r="R502" s="3" t="s">
        <v>40</v>
      </c>
      <c r="S502" s="3" t="str">
        <f t="shared" si="37"/>
        <v>No</v>
      </c>
      <c r="T502" s="3" t="s">
        <v>40</v>
      </c>
      <c r="U502" s="3" t="str">
        <f t="shared" si="38"/>
        <v>Rainy</v>
      </c>
      <c r="V502" s="3" t="s">
        <v>40</v>
      </c>
      <c r="W502" s="3" cm="1">
        <f t="array" ref="W502">_xlfn.IFS(
OR(F502="Selenium (Hands-on)",F502="Guest Lecture: HR Interview"),6,
OR(F502="Soft Skill",F502="Soft Skill (Examination)",F502="AWS Training",F502="AWS Session"),7,
OR(ISNUMBER(SEARCH("MAD",F502)),ISNUMBER(SEARCH("STQA",F502)),F502="CI/CD Session"),8,
OR(ISNUMBER(SEARCH("Cloud",F502)),F502="Industry Readiness Program",ISNUMBER(SEARCH("Talenlio",F502))),9,
OR(ISNUMBER(SEARCH("Innovation",F502)),F502="Mini Project"),10,
OR(ISNUMBER(SEARCH("Data Science",F502)),ISNUMBER(SEARCH("DS",F502))),11,
ISNUMBER(SEARCH("Generative AI",F502)),12
=_xlfn.IFS(
OR(F502="Selenium (Hands-on)",F502="Guest Lecture: HR Interview"),6,
OR(F502="Soft Skill",F502="Soft Skill (Examination)",F502="AWS Training",F502="AWS Session"),7,
OR(ISNUMBER(SEARCH("MAD",F502)),ISNUMBER(SEARCH("STQA",F502)),F502="CI/CD Session"),8,
OR(ISNUMBER(SEARCH("Cloud",F502)),F502="Industry Readiness Program",ISNUMBER(SEARCH("Talenlio",F502))),9,
OR(ISNUMBER(SEARCH("Innovation",F502)),F502="Mini Project"),10,
OR(ISNUMBER(SEARCH("Data Science",F502)),ISNUMBER(SEARCH("DS",F502))),11,
ISNUMBER(SEARCH("Generative AI",F502)),12
=_xlfn.IFS(
OR(F502="Selenium (Hands-on)",F502="Guest Lecture: HR Interview"),6,
OR(F502="Soft Skill",F502="Soft Skill (Examination)",F502="AWS Training",F502="AWS Session"),7,
OR(ISNUMBER(SEARCH("MAD",F502)),ISNUMBER(SEARCH("STQA",F502)),F502="CI/CD Session"),8,
OR(ISNUMBER(SEARCH("Cloud",F502)),F502="Industry Readiness Program",ISNUMBER(SEARCH("Talenlio",F502))),9,
OR(ISNUMBER(SEARCH("Innovation",F502)),F502="Mini Project"),10,
OR(ISNUMBER(SEARCH("Data Science",F502)),ISNUMBER(SEARCH("DS",F502))),11,
ISNUMBER(SEARCH("Generative AI",F502)),12
=_xlfn.IFS(
OR(F502="Selenium (Hands-on)",F502="Guest Lecture: HR Interview"),6,
OR(F502="Soft Skill",F502="Soft Skill (Examination)",F502="AWS Training",F502="AWS Session"),7,
OR(ISNUMBER(SEARCH("MAD",F502)),ISNUMBER(SEARCH("STQA",F502)),F502="CI/CD Session"),8,
OR(ISNUMBER(SEARCH("Cloud",F502)),F502="Industry Readiness Program",ISNUMBER(SEARCH("Talenlio",F502))),9,
OR(ISNUMBER(SEARCH("Innovation",F502)),F502="Mini Project"),10,
OR(ISNUMBER(SEARCH("Data Science",F502)),ISNUMBER(SEARCH("DS",F502))),11,
ISNUMBER(SEARCH("Generative AI",F502)),12
))))</f>
        <v>8</v>
      </c>
      <c r="X502" s="3">
        <v>7</v>
      </c>
      <c r="Y502" s="3">
        <v>45</v>
      </c>
      <c r="Z502" s="3" t="s">
        <v>35</v>
      </c>
    </row>
    <row r="503" spans="1:26" x14ac:dyDescent="0.3">
      <c r="A503" s="2">
        <v>46232</v>
      </c>
      <c r="B503" s="3" t="s">
        <v>44</v>
      </c>
      <c r="C503" s="3">
        <v>2</v>
      </c>
      <c r="D503" s="4">
        <v>0.375</v>
      </c>
      <c r="E503" s="4">
        <v>0.41666666666666702</v>
      </c>
      <c r="F503" s="3" t="s">
        <v>74</v>
      </c>
      <c r="G503" s="3" t="s">
        <v>75</v>
      </c>
      <c r="H503" s="3" t="s">
        <v>29</v>
      </c>
      <c r="I503" s="3" t="s">
        <v>30</v>
      </c>
      <c r="J503" s="3" t="s">
        <v>84</v>
      </c>
      <c r="K503" s="3" t="s">
        <v>76</v>
      </c>
      <c r="L503" s="5">
        <v>102</v>
      </c>
      <c r="M503" s="5">
        <f t="shared" ca="1" si="35"/>
        <v>63</v>
      </c>
      <c r="N503" s="6">
        <f t="shared" ca="1" si="36"/>
        <v>61.764705882352942</v>
      </c>
      <c r="O503" s="3" cm="1">
        <f t="array" aca="1" ref="O503" ca="1">IFERROR(LOOKUP(2, 1/((F$1:F502=F503)*(J$1:J502=J503)*(ROW(F$1:F502)&lt;ROW(F503))), N$1:N502), "")</f>
        <v>71.568627450980387</v>
      </c>
      <c r="P503" s="3">
        <f t="shared" si="39"/>
        <v>0</v>
      </c>
      <c r="Q503" s="3" t="s">
        <v>43</v>
      </c>
      <c r="R503" s="3" t="s">
        <v>40</v>
      </c>
      <c r="S503" s="3" t="str">
        <f t="shared" si="37"/>
        <v>Yes</v>
      </c>
      <c r="T503" s="3" t="s">
        <v>40</v>
      </c>
      <c r="U503" s="3" t="str">
        <f t="shared" si="38"/>
        <v>Rainy</v>
      </c>
      <c r="V503" s="3" t="s">
        <v>40</v>
      </c>
      <c r="W503" s="3" cm="1">
        <f t="array" ref="W503">_xlfn.IFS(
OR(F503="Selenium (Hands-on)",F503="Guest Lecture: HR Interview"),6,
OR(F503="Soft Skill",F503="Soft Skill (Examination)",F503="AWS Training",F503="AWS Session"),7,
OR(ISNUMBER(SEARCH("MAD",F503)),ISNUMBER(SEARCH("STQA",F503)),F503="CI/CD Session"),8,
OR(ISNUMBER(SEARCH("Cloud",F503)),F503="Industry Readiness Program",ISNUMBER(SEARCH("Talenlio",F503))),9,
OR(ISNUMBER(SEARCH("Innovation",F503)),F503="Mini Project"),10,
OR(ISNUMBER(SEARCH("Data Science",F503)),ISNUMBER(SEARCH("DS",F503))),11,
ISNUMBER(SEARCH("Generative AI",F503)),12
=_xlfn.IFS(
OR(F503="Selenium (Hands-on)",F503="Guest Lecture: HR Interview"),6,
OR(F503="Soft Skill",F503="Soft Skill (Examination)",F503="AWS Training",F503="AWS Session"),7,
OR(ISNUMBER(SEARCH("MAD",F503)),ISNUMBER(SEARCH("STQA",F503)),F503="CI/CD Session"),8,
OR(ISNUMBER(SEARCH("Cloud",F503)),F503="Industry Readiness Program",ISNUMBER(SEARCH("Talenlio",F503))),9,
OR(ISNUMBER(SEARCH("Innovation",F503)),F503="Mini Project"),10,
OR(ISNUMBER(SEARCH("Data Science",F503)),ISNUMBER(SEARCH("DS",F503))),11,
ISNUMBER(SEARCH("Generative AI",F503)),12
=_xlfn.IFS(
OR(F503="Selenium (Hands-on)",F503="Guest Lecture: HR Interview"),6,
OR(F503="Soft Skill",F503="Soft Skill (Examination)",F503="AWS Training",F503="AWS Session"),7,
OR(ISNUMBER(SEARCH("MAD",F503)),ISNUMBER(SEARCH("STQA",F503)),F503="CI/CD Session"),8,
OR(ISNUMBER(SEARCH("Cloud",F503)),F503="Industry Readiness Program",ISNUMBER(SEARCH("Talenlio",F503))),9,
OR(ISNUMBER(SEARCH("Innovation",F503)),F503="Mini Project"),10,
OR(ISNUMBER(SEARCH("Data Science",F503)),ISNUMBER(SEARCH("DS",F503))),11,
ISNUMBER(SEARCH("Generative AI",F503)),12
=_xlfn.IFS(
OR(F503="Selenium (Hands-on)",F503="Guest Lecture: HR Interview"),6,
OR(F503="Soft Skill",F503="Soft Skill (Examination)",F503="AWS Training",F503="AWS Session"),7,
OR(ISNUMBER(SEARCH("MAD",F503)),ISNUMBER(SEARCH("STQA",F503)),F503="CI/CD Session"),8,
OR(ISNUMBER(SEARCH("Cloud",F503)),F503="Industry Readiness Program",ISNUMBER(SEARCH("Talenlio",F503))),9,
OR(ISNUMBER(SEARCH("Innovation",F503)),F503="Mini Project"),10,
OR(ISNUMBER(SEARCH("Data Science",F503)),ISNUMBER(SEARCH("DS",F503))),11,
ISNUMBER(SEARCH("Generative AI",F503)),12
))))</f>
        <v>6</v>
      </c>
      <c r="X503" s="3">
        <v>7</v>
      </c>
      <c r="Y503" s="3">
        <v>45</v>
      </c>
      <c r="Z503" s="3" t="s">
        <v>35</v>
      </c>
    </row>
    <row r="504" spans="1:26" x14ac:dyDescent="0.3">
      <c r="A504" s="2">
        <v>46232</v>
      </c>
      <c r="B504" s="3" t="s">
        <v>44</v>
      </c>
      <c r="C504" s="3">
        <v>3</v>
      </c>
      <c r="D504" s="4">
        <v>0.41666666666666702</v>
      </c>
      <c r="E504" s="4">
        <v>0.45833333333333298</v>
      </c>
      <c r="F504" s="3" t="s">
        <v>74</v>
      </c>
      <c r="G504" s="3" t="s">
        <v>75</v>
      </c>
      <c r="H504" s="3" t="s">
        <v>29</v>
      </c>
      <c r="I504" s="3" t="s">
        <v>30</v>
      </c>
      <c r="J504" s="3" t="s">
        <v>84</v>
      </c>
      <c r="K504" s="3" t="s">
        <v>76</v>
      </c>
      <c r="L504" s="5">
        <v>102</v>
      </c>
      <c r="M504" s="5">
        <f t="shared" ca="1" si="35"/>
        <v>62</v>
      </c>
      <c r="N504" s="6">
        <f t="shared" ca="1" si="36"/>
        <v>60.784313725490193</v>
      </c>
      <c r="O504" s="3" cm="1">
        <f t="array" aca="1" ref="O504" ca="1">IFERROR(LOOKUP(2, 1/((F$1:F503=F504)*(J$1:J503=J504)*(ROW(F$1:F503)&lt;ROW(F504))), N$1:N503), "")</f>
        <v>61.764705882352942</v>
      </c>
      <c r="P504" s="3">
        <f t="shared" si="39"/>
        <v>0</v>
      </c>
      <c r="Q504" s="3" t="s">
        <v>43</v>
      </c>
      <c r="R504" s="3" t="s">
        <v>40</v>
      </c>
      <c r="S504" s="3" t="str">
        <f t="shared" si="37"/>
        <v>Yes</v>
      </c>
      <c r="T504" s="3" t="s">
        <v>40</v>
      </c>
      <c r="U504" s="3" t="str">
        <f t="shared" si="38"/>
        <v>Rainy</v>
      </c>
      <c r="V504" s="3" t="s">
        <v>40</v>
      </c>
      <c r="W504" s="3" cm="1">
        <f t="array" ref="W504">_xlfn.IFS(
OR(F504="Selenium (Hands-on)",F504="Guest Lecture: HR Interview"),6,
OR(F504="Soft Skill",F504="Soft Skill (Examination)",F504="AWS Training",F504="AWS Session"),7,
OR(ISNUMBER(SEARCH("MAD",F504)),ISNUMBER(SEARCH("STQA",F504)),F504="CI/CD Session"),8,
OR(ISNUMBER(SEARCH("Cloud",F504)),F504="Industry Readiness Program",ISNUMBER(SEARCH("Talenlio",F504))),9,
OR(ISNUMBER(SEARCH("Innovation",F504)),F504="Mini Project"),10,
OR(ISNUMBER(SEARCH("Data Science",F504)),ISNUMBER(SEARCH("DS",F504))),11,
ISNUMBER(SEARCH("Generative AI",F504)),12
=_xlfn.IFS(
OR(F504="Selenium (Hands-on)",F504="Guest Lecture: HR Interview"),6,
OR(F504="Soft Skill",F504="Soft Skill (Examination)",F504="AWS Training",F504="AWS Session"),7,
OR(ISNUMBER(SEARCH("MAD",F504)),ISNUMBER(SEARCH("STQA",F504)),F504="CI/CD Session"),8,
OR(ISNUMBER(SEARCH("Cloud",F504)),F504="Industry Readiness Program",ISNUMBER(SEARCH("Talenlio",F504))),9,
OR(ISNUMBER(SEARCH("Innovation",F504)),F504="Mini Project"),10,
OR(ISNUMBER(SEARCH("Data Science",F504)),ISNUMBER(SEARCH("DS",F504))),11,
ISNUMBER(SEARCH("Generative AI",F504)),12
=_xlfn.IFS(
OR(F504="Selenium (Hands-on)",F504="Guest Lecture: HR Interview"),6,
OR(F504="Soft Skill",F504="Soft Skill (Examination)",F504="AWS Training",F504="AWS Session"),7,
OR(ISNUMBER(SEARCH("MAD",F504)),ISNUMBER(SEARCH("STQA",F504)),F504="CI/CD Session"),8,
OR(ISNUMBER(SEARCH("Cloud",F504)),F504="Industry Readiness Program",ISNUMBER(SEARCH("Talenlio",F504))),9,
OR(ISNUMBER(SEARCH("Innovation",F504)),F504="Mini Project"),10,
OR(ISNUMBER(SEARCH("Data Science",F504)),ISNUMBER(SEARCH("DS",F504))),11,
ISNUMBER(SEARCH("Generative AI",F504)),12
=_xlfn.IFS(
OR(F504="Selenium (Hands-on)",F504="Guest Lecture: HR Interview"),6,
OR(F504="Soft Skill",F504="Soft Skill (Examination)",F504="AWS Training",F504="AWS Session"),7,
OR(ISNUMBER(SEARCH("MAD",F504)),ISNUMBER(SEARCH("STQA",F504)),F504="CI/CD Session"),8,
OR(ISNUMBER(SEARCH("Cloud",F504)),F504="Industry Readiness Program",ISNUMBER(SEARCH("Talenlio",F504))),9,
OR(ISNUMBER(SEARCH("Innovation",F504)),F504="Mini Project"),10,
OR(ISNUMBER(SEARCH("Data Science",F504)),ISNUMBER(SEARCH("DS",F504))),11,
ISNUMBER(SEARCH("Generative AI",F504)),12
))))</f>
        <v>6</v>
      </c>
      <c r="X504" s="3">
        <v>7</v>
      </c>
      <c r="Y504" s="3">
        <v>45</v>
      </c>
      <c r="Z504" s="3" t="s">
        <v>35</v>
      </c>
    </row>
    <row r="505" spans="1:26" x14ac:dyDescent="0.3">
      <c r="A505" s="2">
        <v>46232</v>
      </c>
      <c r="B505" s="3" t="s">
        <v>44</v>
      </c>
      <c r="C505" s="3">
        <v>4</v>
      </c>
      <c r="D505" s="4">
        <v>0.45833333333333298</v>
      </c>
      <c r="E505" s="4">
        <v>0.47916666666666702</v>
      </c>
      <c r="F505" s="3" t="s">
        <v>74</v>
      </c>
      <c r="G505" s="3" t="s">
        <v>75</v>
      </c>
      <c r="H505" s="3" t="s">
        <v>29</v>
      </c>
      <c r="I505" s="3" t="s">
        <v>30</v>
      </c>
      <c r="J505" s="3" t="s">
        <v>84</v>
      </c>
      <c r="K505" s="3" t="s">
        <v>76</v>
      </c>
      <c r="L505" s="5">
        <v>102</v>
      </c>
      <c r="M505" s="5">
        <f t="shared" ca="1" si="35"/>
        <v>40</v>
      </c>
      <c r="N505" s="6">
        <f t="shared" ca="1" si="36"/>
        <v>39.215686274509807</v>
      </c>
      <c r="O505" s="3" cm="1">
        <f t="array" aca="1" ref="O505" ca="1">IFERROR(LOOKUP(2, 1/((F$1:F504=F505)*(J$1:J504=J505)*(ROW(F$1:F504)&lt;ROW(F505))), N$1:N504), "")</f>
        <v>60.784313725490193</v>
      </c>
      <c r="P505" s="3">
        <f t="shared" si="39"/>
        <v>0</v>
      </c>
      <c r="Q505" s="3" t="s">
        <v>43</v>
      </c>
      <c r="R505" s="3" t="s">
        <v>40</v>
      </c>
      <c r="S505" s="3" t="str">
        <f t="shared" si="37"/>
        <v>Yes</v>
      </c>
      <c r="T505" s="3" t="s">
        <v>40</v>
      </c>
      <c r="U505" s="3" t="str">
        <f t="shared" si="38"/>
        <v>Rainy</v>
      </c>
      <c r="V505" s="3" t="s">
        <v>40</v>
      </c>
      <c r="W505" s="3" cm="1">
        <f t="array" ref="W505">_xlfn.IFS(
OR(F505="Selenium (Hands-on)",F505="Guest Lecture: HR Interview"),6,
OR(F505="Soft Skill",F505="Soft Skill (Examination)",F505="AWS Training",F505="AWS Session"),7,
OR(ISNUMBER(SEARCH("MAD",F505)),ISNUMBER(SEARCH("STQA",F505)),F505="CI/CD Session"),8,
OR(ISNUMBER(SEARCH("Cloud",F505)),F505="Industry Readiness Program",ISNUMBER(SEARCH("Talenlio",F505))),9,
OR(ISNUMBER(SEARCH("Innovation",F505)),F505="Mini Project"),10,
OR(ISNUMBER(SEARCH("Data Science",F505)),ISNUMBER(SEARCH("DS",F505))),11,
ISNUMBER(SEARCH("Generative AI",F505)),12
=_xlfn.IFS(
OR(F505="Selenium (Hands-on)",F505="Guest Lecture: HR Interview"),6,
OR(F505="Soft Skill",F505="Soft Skill (Examination)",F505="AWS Training",F505="AWS Session"),7,
OR(ISNUMBER(SEARCH("MAD",F505)),ISNUMBER(SEARCH("STQA",F505)),F505="CI/CD Session"),8,
OR(ISNUMBER(SEARCH("Cloud",F505)),F505="Industry Readiness Program",ISNUMBER(SEARCH("Talenlio",F505))),9,
OR(ISNUMBER(SEARCH("Innovation",F505)),F505="Mini Project"),10,
OR(ISNUMBER(SEARCH("Data Science",F505)),ISNUMBER(SEARCH("DS",F505))),11,
ISNUMBER(SEARCH("Generative AI",F505)),12
=_xlfn.IFS(
OR(F505="Selenium (Hands-on)",F505="Guest Lecture: HR Interview"),6,
OR(F505="Soft Skill",F505="Soft Skill (Examination)",F505="AWS Training",F505="AWS Session"),7,
OR(ISNUMBER(SEARCH("MAD",F505)),ISNUMBER(SEARCH("STQA",F505)),F505="CI/CD Session"),8,
OR(ISNUMBER(SEARCH("Cloud",F505)),F505="Industry Readiness Program",ISNUMBER(SEARCH("Talenlio",F505))),9,
OR(ISNUMBER(SEARCH("Innovation",F505)),F505="Mini Project"),10,
OR(ISNUMBER(SEARCH("Data Science",F505)),ISNUMBER(SEARCH("DS",F505))),11,
ISNUMBER(SEARCH("Generative AI",F505)),12
=_xlfn.IFS(
OR(F505="Selenium (Hands-on)",F505="Guest Lecture: HR Interview"),6,
OR(F505="Soft Skill",F505="Soft Skill (Examination)",F505="AWS Training",F505="AWS Session"),7,
OR(ISNUMBER(SEARCH("MAD",F505)),ISNUMBER(SEARCH("STQA",F505)),F505="CI/CD Session"),8,
OR(ISNUMBER(SEARCH("Cloud",F505)),F505="Industry Readiness Program",ISNUMBER(SEARCH("Talenlio",F505))),9,
OR(ISNUMBER(SEARCH("Innovation",F505)),F505="Mini Project"),10,
OR(ISNUMBER(SEARCH("Data Science",F505)),ISNUMBER(SEARCH("DS",F505))),11,
ISNUMBER(SEARCH("Generative AI",F505)),12
))))</f>
        <v>6</v>
      </c>
      <c r="X505" s="3">
        <v>7</v>
      </c>
      <c r="Y505" s="3">
        <v>45</v>
      </c>
      <c r="Z505" s="3" t="s">
        <v>35</v>
      </c>
    </row>
    <row r="506" spans="1:26" x14ac:dyDescent="0.3">
      <c r="A506" s="2">
        <v>46232</v>
      </c>
      <c r="B506" s="3" t="s">
        <v>44</v>
      </c>
      <c r="C506" s="3">
        <v>5</v>
      </c>
      <c r="D506" s="4">
        <v>0.47916666666666702</v>
      </c>
      <c r="E506" s="4">
        <v>0.52083333333333304</v>
      </c>
      <c r="F506" s="3" t="s">
        <v>59</v>
      </c>
      <c r="G506" s="3" t="s">
        <v>73</v>
      </c>
      <c r="H506" s="3" t="s">
        <v>29</v>
      </c>
      <c r="I506" s="3" t="s">
        <v>30</v>
      </c>
      <c r="J506" s="3" t="s">
        <v>84</v>
      </c>
      <c r="K506" s="3" t="s">
        <v>52</v>
      </c>
      <c r="L506" s="5">
        <v>102</v>
      </c>
      <c r="M506" s="5">
        <f t="shared" ca="1" si="35"/>
        <v>86</v>
      </c>
      <c r="N506" s="6">
        <f t="shared" ca="1" si="36"/>
        <v>84.313725490196077</v>
      </c>
      <c r="O506" s="3" cm="1">
        <f t="array" aca="1" ref="O506" ca="1">IFERROR(LOOKUP(2, 1/((F$1:F505=F506)*(J$1:J505=J506)*(ROW(F$1:F505)&lt;ROW(F506))), N$1:N505), "")</f>
        <v>50</v>
      </c>
      <c r="P506" s="3">
        <f t="shared" si="39"/>
        <v>0</v>
      </c>
      <c r="Q506" s="3" t="s">
        <v>33</v>
      </c>
      <c r="R506" s="3" t="s">
        <v>40</v>
      </c>
      <c r="S506" s="3" t="str">
        <f t="shared" si="37"/>
        <v>No</v>
      </c>
      <c r="T506" s="3" t="s">
        <v>40</v>
      </c>
      <c r="U506" s="3" t="str">
        <f t="shared" si="38"/>
        <v>Rainy</v>
      </c>
      <c r="V506" s="3" t="s">
        <v>40</v>
      </c>
      <c r="W506" s="3" cm="1">
        <f t="array" ref="W506">_xlfn.IFS(
OR(F506="Selenium (Hands-on)",F506="Guest Lecture: HR Interview"),6,
OR(F506="Soft Skill",F506="Soft Skill (Examination)",F506="AWS Training",F506="AWS Session"),7,
OR(ISNUMBER(SEARCH("MAD",F506)),ISNUMBER(SEARCH("STQA",F506)),F506="CI/CD Session"),8,
OR(ISNUMBER(SEARCH("Cloud",F506)),F506="Industry Readiness Program",ISNUMBER(SEARCH("Talenlio",F506))),9,
OR(ISNUMBER(SEARCH("Innovation",F506)),F506="Mini Project"),10,
OR(ISNUMBER(SEARCH("Data Science",F506)),ISNUMBER(SEARCH("DS",F506))),11,
ISNUMBER(SEARCH("Generative AI",F506)),12
=_xlfn.IFS(
OR(F506="Selenium (Hands-on)",F506="Guest Lecture: HR Interview"),6,
OR(F506="Soft Skill",F506="Soft Skill (Examination)",F506="AWS Training",F506="AWS Session"),7,
OR(ISNUMBER(SEARCH("MAD",F506)),ISNUMBER(SEARCH("STQA",F506)),F506="CI/CD Session"),8,
OR(ISNUMBER(SEARCH("Cloud",F506)),F506="Industry Readiness Program",ISNUMBER(SEARCH("Talenlio",F506))),9,
OR(ISNUMBER(SEARCH("Innovation",F506)),F506="Mini Project"),10,
OR(ISNUMBER(SEARCH("Data Science",F506)),ISNUMBER(SEARCH("DS",F506))),11,
ISNUMBER(SEARCH("Generative AI",F506)),12
=_xlfn.IFS(
OR(F506="Selenium (Hands-on)",F506="Guest Lecture: HR Interview"),6,
OR(F506="Soft Skill",F506="Soft Skill (Examination)",F506="AWS Training",F506="AWS Session"),7,
OR(ISNUMBER(SEARCH("MAD",F506)),ISNUMBER(SEARCH("STQA",F506)),F506="CI/CD Session"),8,
OR(ISNUMBER(SEARCH("Cloud",F506)),F506="Industry Readiness Program",ISNUMBER(SEARCH("Talenlio",F506))),9,
OR(ISNUMBER(SEARCH("Innovation",F506)),F506="Mini Project"),10,
OR(ISNUMBER(SEARCH("Data Science",F506)),ISNUMBER(SEARCH("DS",F506))),11,
ISNUMBER(SEARCH("Generative AI",F506)),12
=_xlfn.IFS(
OR(F506="Selenium (Hands-on)",F506="Guest Lecture: HR Interview"),6,
OR(F506="Soft Skill",F506="Soft Skill (Examination)",F506="AWS Training",F506="AWS Session"),7,
OR(ISNUMBER(SEARCH("MAD",F506)),ISNUMBER(SEARCH("STQA",F506)),F506="CI/CD Session"),8,
OR(ISNUMBER(SEARCH("Cloud",F506)),F506="Industry Readiness Program",ISNUMBER(SEARCH("Talenlio",F506))),9,
OR(ISNUMBER(SEARCH("Innovation",F506)),F506="Mini Project"),10,
OR(ISNUMBER(SEARCH("Data Science",F506)),ISNUMBER(SEARCH("DS",F506))),11,
ISNUMBER(SEARCH("Generative AI",F506)),12
))))</f>
        <v>11</v>
      </c>
      <c r="X506" s="3">
        <v>7</v>
      </c>
      <c r="Y506" s="3">
        <v>45</v>
      </c>
      <c r="Z506" s="3" t="s">
        <v>35</v>
      </c>
    </row>
    <row r="507" spans="1:26" x14ac:dyDescent="0.3">
      <c r="A507" s="2">
        <v>46232</v>
      </c>
      <c r="B507" s="3" t="s">
        <v>44</v>
      </c>
      <c r="C507" s="3">
        <v>6</v>
      </c>
      <c r="D507" s="4">
        <v>0.5625</v>
      </c>
      <c r="E507" s="4">
        <v>0.60416666666666696</v>
      </c>
      <c r="F507" s="3" t="s">
        <v>53</v>
      </c>
      <c r="G507" s="3" t="s">
        <v>68</v>
      </c>
      <c r="H507" s="3" t="s">
        <v>29</v>
      </c>
      <c r="I507" s="3" t="s">
        <v>30</v>
      </c>
      <c r="J507" s="3" t="s">
        <v>84</v>
      </c>
      <c r="K507" s="3" t="s">
        <v>32</v>
      </c>
      <c r="L507" s="5">
        <v>102</v>
      </c>
      <c r="M507" s="5">
        <f t="shared" ca="1" si="35"/>
        <v>43</v>
      </c>
      <c r="N507" s="6">
        <f t="shared" ca="1" si="36"/>
        <v>42.156862745098039</v>
      </c>
      <c r="O507" s="3" cm="1">
        <f t="array" aca="1" ref="O507" ca="1">IFERROR(LOOKUP(2, 1/((F$1:F506=F507)*(J$1:J506=J507)*(ROW(F$1:F506)&lt;ROW(F507))), N$1:N506), "")</f>
        <v>86.274509803921575</v>
      </c>
      <c r="P507" s="3">
        <f t="shared" si="39"/>
        <v>1</v>
      </c>
      <c r="Q507" s="3" t="s">
        <v>33</v>
      </c>
      <c r="R507" s="3" t="s">
        <v>40</v>
      </c>
      <c r="S507" s="3" t="str">
        <f t="shared" si="37"/>
        <v>No</v>
      </c>
      <c r="T507" s="3" t="s">
        <v>40</v>
      </c>
      <c r="U507" s="3" t="str">
        <f t="shared" si="38"/>
        <v>Rainy</v>
      </c>
      <c r="V507" s="3" t="s">
        <v>40</v>
      </c>
      <c r="W507" s="3" cm="1">
        <f t="array" ref="W507">_xlfn.IFS(
OR(F507="Selenium (Hands-on)",F507="Guest Lecture: HR Interview"),6,
OR(F507="Soft Skill",F507="Soft Skill (Examination)",F507="AWS Training",F507="AWS Session"),7,
OR(ISNUMBER(SEARCH("MAD",F507)),ISNUMBER(SEARCH("STQA",F507)),F507="CI/CD Session"),8,
OR(ISNUMBER(SEARCH("Cloud",F507)),F507="Industry Readiness Program",ISNUMBER(SEARCH("Talenlio",F507))),9,
OR(ISNUMBER(SEARCH("Innovation",F507)),F507="Mini Project"),10,
OR(ISNUMBER(SEARCH("Data Science",F507)),ISNUMBER(SEARCH("DS",F507))),11,
ISNUMBER(SEARCH("Generative AI",F507)),12
=_xlfn.IFS(
OR(F507="Selenium (Hands-on)",F507="Guest Lecture: HR Interview"),6,
OR(F507="Soft Skill",F507="Soft Skill (Examination)",F507="AWS Training",F507="AWS Session"),7,
OR(ISNUMBER(SEARCH("MAD",F507)),ISNUMBER(SEARCH("STQA",F507)),F507="CI/CD Session"),8,
OR(ISNUMBER(SEARCH("Cloud",F507)),F507="Industry Readiness Program",ISNUMBER(SEARCH("Talenlio",F507))),9,
OR(ISNUMBER(SEARCH("Innovation",F507)),F507="Mini Project"),10,
OR(ISNUMBER(SEARCH("Data Science",F507)),ISNUMBER(SEARCH("DS",F507))),11,
ISNUMBER(SEARCH("Generative AI",F507)),12
=_xlfn.IFS(
OR(F507="Selenium (Hands-on)",F507="Guest Lecture: HR Interview"),6,
OR(F507="Soft Skill",F507="Soft Skill (Examination)",F507="AWS Training",F507="AWS Session"),7,
OR(ISNUMBER(SEARCH("MAD",F507)),ISNUMBER(SEARCH("STQA",F507)),F507="CI/CD Session"),8,
OR(ISNUMBER(SEARCH("Cloud",F507)),F507="Industry Readiness Program",ISNUMBER(SEARCH("Talenlio",F507))),9,
OR(ISNUMBER(SEARCH("Innovation",F507)),F507="Mini Project"),10,
OR(ISNUMBER(SEARCH("Data Science",F507)),ISNUMBER(SEARCH("DS",F507))),11,
ISNUMBER(SEARCH("Generative AI",F507)),12
=_xlfn.IFS(
OR(F507="Selenium (Hands-on)",F507="Guest Lecture: HR Interview"),6,
OR(F507="Soft Skill",F507="Soft Skill (Examination)",F507="AWS Training",F507="AWS Session"),7,
OR(ISNUMBER(SEARCH("MAD",F507)),ISNUMBER(SEARCH("STQA",F507)),F507="CI/CD Session"),8,
OR(ISNUMBER(SEARCH("Cloud",F507)),F507="Industry Readiness Program",ISNUMBER(SEARCH("Talenlio",F507))),9,
OR(ISNUMBER(SEARCH("Innovation",F507)),F507="Mini Project"),10,
OR(ISNUMBER(SEARCH("Data Science",F507)),ISNUMBER(SEARCH("DS",F507))),11,
ISNUMBER(SEARCH("Generative AI",F507)),12
))))</f>
        <v>10</v>
      </c>
      <c r="X507" s="3">
        <v>7</v>
      </c>
      <c r="Y507" s="3">
        <v>45</v>
      </c>
      <c r="Z507" s="3" t="s">
        <v>38</v>
      </c>
    </row>
    <row r="508" spans="1:26" x14ac:dyDescent="0.3">
      <c r="A508" s="2">
        <v>46232</v>
      </c>
      <c r="B508" s="3" t="s">
        <v>44</v>
      </c>
      <c r="C508" s="3">
        <v>7</v>
      </c>
      <c r="D508" s="4">
        <v>0.60416666666666696</v>
      </c>
      <c r="E508" s="4">
        <v>0.64583333333333304</v>
      </c>
      <c r="F508" s="3" t="s">
        <v>53</v>
      </c>
      <c r="G508" s="3" t="s">
        <v>68</v>
      </c>
      <c r="H508" s="3" t="s">
        <v>29</v>
      </c>
      <c r="I508" s="3" t="s">
        <v>30</v>
      </c>
      <c r="J508" s="3" t="s">
        <v>84</v>
      </c>
      <c r="K508" s="3" t="s">
        <v>32</v>
      </c>
      <c r="L508" s="5">
        <v>102</v>
      </c>
      <c r="M508" s="5">
        <f t="shared" ca="1" si="35"/>
        <v>85</v>
      </c>
      <c r="N508" s="6">
        <f t="shared" ca="1" si="36"/>
        <v>83.333333333333343</v>
      </c>
      <c r="O508" s="3" cm="1">
        <f t="array" aca="1" ref="O508" ca="1">IFERROR(LOOKUP(2, 1/((F$1:F507=F508)*(J$1:J507=J508)*(ROW(F$1:F507)&lt;ROW(F508))), N$1:N507), "")</f>
        <v>42.156862745098039</v>
      </c>
      <c r="P508" s="3">
        <f t="shared" si="39"/>
        <v>0</v>
      </c>
      <c r="Q508" s="3" t="s">
        <v>33</v>
      </c>
      <c r="R508" s="3" t="s">
        <v>40</v>
      </c>
      <c r="S508" s="3" t="str">
        <f t="shared" si="37"/>
        <v>No</v>
      </c>
      <c r="T508" s="3" t="s">
        <v>40</v>
      </c>
      <c r="U508" s="3" t="str">
        <f t="shared" si="38"/>
        <v>Rainy</v>
      </c>
      <c r="V508" s="3" t="s">
        <v>40</v>
      </c>
      <c r="W508" s="3" cm="1">
        <f t="array" ref="W508">_xlfn.IFS(
OR(F508="Selenium (Hands-on)",F508="Guest Lecture: HR Interview"),6,
OR(F508="Soft Skill",F508="Soft Skill (Examination)",F508="AWS Training",F508="AWS Session"),7,
OR(ISNUMBER(SEARCH("MAD",F508)),ISNUMBER(SEARCH("STQA",F508)),F508="CI/CD Session"),8,
OR(ISNUMBER(SEARCH("Cloud",F508)),F508="Industry Readiness Program",ISNUMBER(SEARCH("Talenlio",F508))),9,
OR(ISNUMBER(SEARCH("Innovation",F508)),F508="Mini Project"),10,
OR(ISNUMBER(SEARCH("Data Science",F508)),ISNUMBER(SEARCH("DS",F508))),11,
ISNUMBER(SEARCH("Generative AI",F508)),12
=_xlfn.IFS(
OR(F508="Selenium (Hands-on)",F508="Guest Lecture: HR Interview"),6,
OR(F508="Soft Skill",F508="Soft Skill (Examination)",F508="AWS Training",F508="AWS Session"),7,
OR(ISNUMBER(SEARCH("MAD",F508)),ISNUMBER(SEARCH("STQA",F508)),F508="CI/CD Session"),8,
OR(ISNUMBER(SEARCH("Cloud",F508)),F508="Industry Readiness Program",ISNUMBER(SEARCH("Talenlio",F508))),9,
OR(ISNUMBER(SEARCH("Innovation",F508)),F508="Mini Project"),10,
OR(ISNUMBER(SEARCH("Data Science",F508)),ISNUMBER(SEARCH("DS",F508))),11,
ISNUMBER(SEARCH("Generative AI",F508)),12
=_xlfn.IFS(
OR(F508="Selenium (Hands-on)",F508="Guest Lecture: HR Interview"),6,
OR(F508="Soft Skill",F508="Soft Skill (Examination)",F508="AWS Training",F508="AWS Session"),7,
OR(ISNUMBER(SEARCH("MAD",F508)),ISNUMBER(SEARCH("STQA",F508)),F508="CI/CD Session"),8,
OR(ISNUMBER(SEARCH("Cloud",F508)),F508="Industry Readiness Program",ISNUMBER(SEARCH("Talenlio",F508))),9,
OR(ISNUMBER(SEARCH("Innovation",F508)),F508="Mini Project"),10,
OR(ISNUMBER(SEARCH("Data Science",F508)),ISNUMBER(SEARCH("DS",F508))),11,
ISNUMBER(SEARCH("Generative AI",F508)),12
=_xlfn.IFS(
OR(F508="Selenium (Hands-on)",F508="Guest Lecture: HR Interview"),6,
OR(F508="Soft Skill",F508="Soft Skill (Examination)",F508="AWS Training",F508="AWS Session"),7,
OR(ISNUMBER(SEARCH("MAD",F508)),ISNUMBER(SEARCH("STQA",F508)),F508="CI/CD Session"),8,
OR(ISNUMBER(SEARCH("Cloud",F508)),F508="Industry Readiness Program",ISNUMBER(SEARCH("Talenlio",F508))),9,
OR(ISNUMBER(SEARCH("Innovation",F508)),F508="Mini Project"),10,
OR(ISNUMBER(SEARCH("Data Science",F508)),ISNUMBER(SEARCH("DS",F508))),11,
ISNUMBER(SEARCH("Generative AI",F508)),12
))))</f>
        <v>10</v>
      </c>
      <c r="X508" s="3">
        <v>7</v>
      </c>
      <c r="Y508" s="3">
        <v>45</v>
      </c>
      <c r="Z508" s="3" t="s">
        <v>38</v>
      </c>
    </row>
    <row r="509" spans="1:26" x14ac:dyDescent="0.3">
      <c r="A509" s="2">
        <v>46232</v>
      </c>
      <c r="B509" s="3" t="s">
        <v>44</v>
      </c>
      <c r="C509" s="3">
        <v>8</v>
      </c>
      <c r="D509" s="4">
        <v>0.64583333333333304</v>
      </c>
      <c r="E509" s="4">
        <v>0.66666666666666696</v>
      </c>
      <c r="F509" s="3" t="s">
        <v>53</v>
      </c>
      <c r="G509" s="3" t="s">
        <v>68</v>
      </c>
      <c r="H509" s="3" t="s">
        <v>29</v>
      </c>
      <c r="I509" s="3" t="s">
        <v>30</v>
      </c>
      <c r="J509" s="3" t="s">
        <v>84</v>
      </c>
      <c r="K509" s="3" t="s">
        <v>32</v>
      </c>
      <c r="L509" s="5">
        <v>102</v>
      </c>
      <c r="M509" s="5">
        <f t="shared" ca="1" si="35"/>
        <v>54</v>
      </c>
      <c r="N509" s="6">
        <f t="shared" ca="1" si="36"/>
        <v>52.941176470588239</v>
      </c>
      <c r="O509" s="3" cm="1">
        <f t="array" aca="1" ref="O509" ca="1">IFERROR(LOOKUP(2, 1/((F$1:F508=F509)*(J$1:J508=J509)*(ROW(F$1:F508)&lt;ROW(F509))), N$1:N508), "")</f>
        <v>83.333333333333343</v>
      </c>
      <c r="P509" s="3">
        <f t="shared" si="39"/>
        <v>0</v>
      </c>
      <c r="Q509" s="3" t="s">
        <v>33</v>
      </c>
      <c r="R509" s="3" t="s">
        <v>40</v>
      </c>
      <c r="S509" s="3" t="str">
        <f t="shared" si="37"/>
        <v>No</v>
      </c>
      <c r="T509" s="3" t="s">
        <v>40</v>
      </c>
      <c r="U509" s="3" t="str">
        <f t="shared" si="38"/>
        <v>Rainy</v>
      </c>
      <c r="V509" s="3" t="s">
        <v>40</v>
      </c>
      <c r="W509" s="3" cm="1">
        <f t="array" ref="W509">_xlfn.IFS(
OR(F509="Selenium (Hands-on)",F509="Guest Lecture: HR Interview"),6,
OR(F509="Soft Skill",F509="Soft Skill (Examination)",F509="AWS Training",F509="AWS Session"),7,
OR(ISNUMBER(SEARCH("MAD",F509)),ISNUMBER(SEARCH("STQA",F509)),F509="CI/CD Session"),8,
OR(ISNUMBER(SEARCH("Cloud",F509)),F509="Industry Readiness Program",ISNUMBER(SEARCH("Talenlio",F509))),9,
OR(ISNUMBER(SEARCH("Innovation",F509)),F509="Mini Project"),10,
OR(ISNUMBER(SEARCH("Data Science",F509)),ISNUMBER(SEARCH("DS",F509))),11,
ISNUMBER(SEARCH("Generative AI",F509)),12
=_xlfn.IFS(
OR(F509="Selenium (Hands-on)",F509="Guest Lecture: HR Interview"),6,
OR(F509="Soft Skill",F509="Soft Skill (Examination)",F509="AWS Training",F509="AWS Session"),7,
OR(ISNUMBER(SEARCH("MAD",F509)),ISNUMBER(SEARCH("STQA",F509)),F509="CI/CD Session"),8,
OR(ISNUMBER(SEARCH("Cloud",F509)),F509="Industry Readiness Program",ISNUMBER(SEARCH("Talenlio",F509))),9,
OR(ISNUMBER(SEARCH("Innovation",F509)),F509="Mini Project"),10,
OR(ISNUMBER(SEARCH("Data Science",F509)),ISNUMBER(SEARCH("DS",F509))),11,
ISNUMBER(SEARCH("Generative AI",F509)),12
=_xlfn.IFS(
OR(F509="Selenium (Hands-on)",F509="Guest Lecture: HR Interview"),6,
OR(F509="Soft Skill",F509="Soft Skill (Examination)",F509="AWS Training",F509="AWS Session"),7,
OR(ISNUMBER(SEARCH("MAD",F509)),ISNUMBER(SEARCH("STQA",F509)),F509="CI/CD Session"),8,
OR(ISNUMBER(SEARCH("Cloud",F509)),F509="Industry Readiness Program",ISNUMBER(SEARCH("Talenlio",F509))),9,
OR(ISNUMBER(SEARCH("Innovation",F509)),F509="Mini Project"),10,
OR(ISNUMBER(SEARCH("Data Science",F509)),ISNUMBER(SEARCH("DS",F509))),11,
ISNUMBER(SEARCH("Generative AI",F509)),12
=_xlfn.IFS(
OR(F509="Selenium (Hands-on)",F509="Guest Lecture: HR Interview"),6,
OR(F509="Soft Skill",F509="Soft Skill (Examination)",F509="AWS Training",F509="AWS Session"),7,
OR(ISNUMBER(SEARCH("MAD",F509)),ISNUMBER(SEARCH("STQA",F509)),F509="CI/CD Session"),8,
OR(ISNUMBER(SEARCH("Cloud",F509)),F509="Industry Readiness Program",ISNUMBER(SEARCH("Talenlio",F509))),9,
OR(ISNUMBER(SEARCH("Innovation",F509)),F509="Mini Project"),10,
OR(ISNUMBER(SEARCH("Data Science",F509)),ISNUMBER(SEARCH("DS",F509))),11,
ISNUMBER(SEARCH("Generative AI",F509)),12
))))</f>
        <v>10</v>
      </c>
      <c r="X509" s="3">
        <v>7</v>
      </c>
      <c r="Y509" s="3">
        <v>45</v>
      </c>
      <c r="Z509" s="3" t="s">
        <v>38</v>
      </c>
    </row>
    <row r="510" spans="1:26" x14ac:dyDescent="0.3">
      <c r="A510" s="2">
        <v>46233</v>
      </c>
      <c r="B510" s="3" t="s">
        <v>45</v>
      </c>
      <c r="C510" s="3">
        <v>1</v>
      </c>
      <c r="D510" s="4">
        <v>0.35416666666666702</v>
      </c>
      <c r="E510" s="4">
        <v>0.38541666666666702</v>
      </c>
      <c r="F510" s="3" t="s">
        <v>50</v>
      </c>
      <c r="G510" s="3" t="s">
        <v>51</v>
      </c>
      <c r="H510" s="3" t="s">
        <v>29</v>
      </c>
      <c r="I510" s="3" t="s">
        <v>30</v>
      </c>
      <c r="J510" s="3" t="s">
        <v>84</v>
      </c>
      <c r="K510" s="3" t="s">
        <v>52</v>
      </c>
      <c r="L510" s="5">
        <v>102</v>
      </c>
      <c r="M510" s="5">
        <f t="shared" ca="1" si="35"/>
        <v>90</v>
      </c>
      <c r="N510" s="6">
        <f t="shared" ca="1" si="36"/>
        <v>88.235294117647058</v>
      </c>
      <c r="O510" s="3" cm="1">
        <f t="array" aca="1" ref="O510" ca="1">IFERROR(LOOKUP(2, 1/((F$1:F509=F510)*(J$1:J509=J510)*(ROW(F$1:F509)&lt;ROW(F510))), N$1:N509), "")</f>
        <v>64.705882352941174</v>
      </c>
      <c r="P510" s="3">
        <f t="shared" si="39"/>
        <v>0</v>
      </c>
      <c r="Q510" s="3" t="s">
        <v>43</v>
      </c>
      <c r="R510" s="3" t="s">
        <v>40</v>
      </c>
      <c r="S510" s="3" t="str">
        <f t="shared" si="37"/>
        <v>No</v>
      </c>
      <c r="T510" s="3" t="s">
        <v>40</v>
      </c>
      <c r="U510" s="3" t="str">
        <f t="shared" si="38"/>
        <v>Rainy</v>
      </c>
      <c r="V510" s="3" t="s">
        <v>40</v>
      </c>
      <c r="W510" s="3" cm="1">
        <f t="array" ref="W510">_xlfn.IFS(
OR(F510="Selenium (Hands-on)",F510="Guest Lecture: HR Interview"),6,
OR(F510="Soft Skill",F510="Soft Skill (Examination)",F510="AWS Training",F510="AWS Session"),7,
OR(ISNUMBER(SEARCH("MAD",F510)),ISNUMBER(SEARCH("STQA",F510)),F510="CI/CD Session"),8,
OR(ISNUMBER(SEARCH("Cloud",F510)),F510="Industry Readiness Program",ISNUMBER(SEARCH("Talenlio",F510))),9,
OR(ISNUMBER(SEARCH("Innovation",F510)),F510="Mini Project"),10,
OR(ISNUMBER(SEARCH("Data Science",F510)),ISNUMBER(SEARCH("DS",F510))),11,
ISNUMBER(SEARCH("Generative AI",F510)),12
=_xlfn.IFS(
OR(F510="Selenium (Hands-on)",F510="Guest Lecture: HR Interview"),6,
OR(F510="Soft Skill",F510="Soft Skill (Examination)",F510="AWS Training",F510="AWS Session"),7,
OR(ISNUMBER(SEARCH("MAD",F510)),ISNUMBER(SEARCH("STQA",F510)),F510="CI/CD Session"),8,
OR(ISNUMBER(SEARCH("Cloud",F510)),F510="Industry Readiness Program",ISNUMBER(SEARCH("Talenlio",F510))),9,
OR(ISNUMBER(SEARCH("Innovation",F510)),F510="Mini Project"),10,
OR(ISNUMBER(SEARCH("Data Science",F510)),ISNUMBER(SEARCH("DS",F510))),11,
ISNUMBER(SEARCH("Generative AI",F510)),12
=_xlfn.IFS(
OR(F510="Selenium (Hands-on)",F510="Guest Lecture: HR Interview"),6,
OR(F510="Soft Skill",F510="Soft Skill (Examination)",F510="AWS Training",F510="AWS Session"),7,
OR(ISNUMBER(SEARCH("MAD",F510)),ISNUMBER(SEARCH("STQA",F510)),F510="CI/CD Session"),8,
OR(ISNUMBER(SEARCH("Cloud",F510)),F510="Industry Readiness Program",ISNUMBER(SEARCH("Talenlio",F510))),9,
OR(ISNUMBER(SEARCH("Innovation",F510)),F510="Mini Project"),10,
OR(ISNUMBER(SEARCH("Data Science",F510)),ISNUMBER(SEARCH("DS",F510))),11,
ISNUMBER(SEARCH("Generative AI",F510)),12
=_xlfn.IFS(
OR(F510="Selenium (Hands-on)",F510="Guest Lecture: HR Interview"),6,
OR(F510="Soft Skill",F510="Soft Skill (Examination)",F510="AWS Training",F510="AWS Session"),7,
OR(ISNUMBER(SEARCH("MAD",F510)),ISNUMBER(SEARCH("STQA",F510)),F510="CI/CD Session"),8,
OR(ISNUMBER(SEARCH("Cloud",F510)),F510="Industry Readiness Program",ISNUMBER(SEARCH("Talenlio",F510))),9,
OR(ISNUMBER(SEARCH("Innovation",F510)),F510="Mini Project"),10,
OR(ISNUMBER(SEARCH("Data Science",F510)),ISNUMBER(SEARCH("DS",F510))),11,
ISNUMBER(SEARCH("Generative AI",F510)),12
))))</f>
        <v>8</v>
      </c>
      <c r="X510" s="3">
        <v>7</v>
      </c>
      <c r="Y510" s="3">
        <v>46</v>
      </c>
      <c r="Z510" s="3" t="s">
        <v>35</v>
      </c>
    </row>
    <row r="511" spans="1:26" x14ac:dyDescent="0.3">
      <c r="A511" s="2">
        <v>46233</v>
      </c>
      <c r="B511" s="3" t="s">
        <v>45</v>
      </c>
      <c r="C511" s="3">
        <v>2</v>
      </c>
      <c r="D511" s="4">
        <v>0.38541666666666702</v>
      </c>
      <c r="E511" s="4">
        <v>0.42708333333333298</v>
      </c>
      <c r="F511" s="3" t="s">
        <v>50</v>
      </c>
      <c r="G511" s="3" t="s">
        <v>51</v>
      </c>
      <c r="H511" s="3" t="s">
        <v>29</v>
      </c>
      <c r="I511" s="3" t="s">
        <v>30</v>
      </c>
      <c r="J511" s="3" t="s">
        <v>84</v>
      </c>
      <c r="K511" s="3" t="s">
        <v>52</v>
      </c>
      <c r="L511" s="5">
        <v>102</v>
      </c>
      <c r="M511" s="5">
        <f t="shared" ca="1" si="35"/>
        <v>43</v>
      </c>
      <c r="N511" s="6">
        <f t="shared" ca="1" si="36"/>
        <v>42.156862745098039</v>
      </c>
      <c r="O511" s="3" cm="1">
        <f t="array" aca="1" ref="O511" ca="1">IFERROR(LOOKUP(2, 1/((F$1:F510=F511)*(J$1:J510=J511)*(ROW(F$1:F510)&lt;ROW(F511))), N$1:N510), "")</f>
        <v>88.235294117647058</v>
      </c>
      <c r="P511" s="3">
        <f t="shared" si="39"/>
        <v>0</v>
      </c>
      <c r="Q511" s="3" t="s">
        <v>43</v>
      </c>
      <c r="R511" s="3" t="s">
        <v>40</v>
      </c>
      <c r="S511" s="3" t="str">
        <f t="shared" si="37"/>
        <v>No</v>
      </c>
      <c r="T511" s="3" t="s">
        <v>40</v>
      </c>
      <c r="U511" s="3" t="str">
        <f t="shared" si="38"/>
        <v>Rainy</v>
      </c>
      <c r="V511" s="3" t="s">
        <v>40</v>
      </c>
      <c r="W511" s="3" cm="1">
        <f t="array" ref="W511">_xlfn.IFS(
OR(F511="Selenium (Hands-on)",F511="Guest Lecture: HR Interview"),6,
OR(F511="Soft Skill",F511="Soft Skill (Examination)",F511="AWS Training",F511="AWS Session"),7,
OR(ISNUMBER(SEARCH("MAD",F511)),ISNUMBER(SEARCH("STQA",F511)),F511="CI/CD Session"),8,
OR(ISNUMBER(SEARCH("Cloud",F511)),F511="Industry Readiness Program",ISNUMBER(SEARCH("Talenlio",F511))),9,
OR(ISNUMBER(SEARCH("Innovation",F511)),F511="Mini Project"),10,
OR(ISNUMBER(SEARCH("Data Science",F511)),ISNUMBER(SEARCH("DS",F511))),11,
ISNUMBER(SEARCH("Generative AI",F511)),12
=_xlfn.IFS(
OR(F511="Selenium (Hands-on)",F511="Guest Lecture: HR Interview"),6,
OR(F511="Soft Skill",F511="Soft Skill (Examination)",F511="AWS Training",F511="AWS Session"),7,
OR(ISNUMBER(SEARCH("MAD",F511)),ISNUMBER(SEARCH("STQA",F511)),F511="CI/CD Session"),8,
OR(ISNUMBER(SEARCH("Cloud",F511)),F511="Industry Readiness Program",ISNUMBER(SEARCH("Talenlio",F511))),9,
OR(ISNUMBER(SEARCH("Innovation",F511)),F511="Mini Project"),10,
OR(ISNUMBER(SEARCH("Data Science",F511)),ISNUMBER(SEARCH("DS",F511))),11,
ISNUMBER(SEARCH("Generative AI",F511)),12
=_xlfn.IFS(
OR(F511="Selenium (Hands-on)",F511="Guest Lecture: HR Interview"),6,
OR(F511="Soft Skill",F511="Soft Skill (Examination)",F511="AWS Training",F511="AWS Session"),7,
OR(ISNUMBER(SEARCH("MAD",F511)),ISNUMBER(SEARCH("STQA",F511)),F511="CI/CD Session"),8,
OR(ISNUMBER(SEARCH("Cloud",F511)),F511="Industry Readiness Program",ISNUMBER(SEARCH("Talenlio",F511))),9,
OR(ISNUMBER(SEARCH("Innovation",F511)),F511="Mini Project"),10,
OR(ISNUMBER(SEARCH("Data Science",F511)),ISNUMBER(SEARCH("DS",F511))),11,
ISNUMBER(SEARCH("Generative AI",F511)),12
=_xlfn.IFS(
OR(F511="Selenium (Hands-on)",F511="Guest Lecture: HR Interview"),6,
OR(F511="Soft Skill",F511="Soft Skill (Examination)",F511="AWS Training",F511="AWS Session"),7,
OR(ISNUMBER(SEARCH("MAD",F511)),ISNUMBER(SEARCH("STQA",F511)),F511="CI/CD Session"),8,
OR(ISNUMBER(SEARCH("Cloud",F511)),F511="Industry Readiness Program",ISNUMBER(SEARCH("Talenlio",F511))),9,
OR(ISNUMBER(SEARCH("Innovation",F511)),F511="Mini Project"),10,
OR(ISNUMBER(SEARCH("Data Science",F511)),ISNUMBER(SEARCH("DS",F511))),11,
ISNUMBER(SEARCH("Generative AI",F511)),12
))))</f>
        <v>8</v>
      </c>
      <c r="X511" s="3">
        <v>7</v>
      </c>
      <c r="Y511" s="3">
        <v>46</v>
      </c>
      <c r="Z511" s="3" t="s">
        <v>35</v>
      </c>
    </row>
    <row r="512" spans="1:26" x14ac:dyDescent="0.3">
      <c r="A512" s="2">
        <v>46233</v>
      </c>
      <c r="B512" s="3" t="s">
        <v>45</v>
      </c>
      <c r="C512" s="3">
        <v>3</v>
      </c>
      <c r="D512" s="4">
        <v>0.42708333333333298</v>
      </c>
      <c r="E512" s="4">
        <v>0.46875</v>
      </c>
      <c r="F512" s="3" t="s">
        <v>59</v>
      </c>
      <c r="G512" s="3" t="s">
        <v>73</v>
      </c>
      <c r="H512" s="3" t="s">
        <v>29</v>
      </c>
      <c r="I512" s="3" t="s">
        <v>30</v>
      </c>
      <c r="J512" s="3" t="s">
        <v>84</v>
      </c>
      <c r="K512" s="3" t="s">
        <v>52</v>
      </c>
      <c r="L512" s="5">
        <v>102</v>
      </c>
      <c r="M512" s="5">
        <f t="shared" ca="1" si="35"/>
        <v>88</v>
      </c>
      <c r="N512" s="6">
        <f t="shared" ca="1" si="36"/>
        <v>86.274509803921575</v>
      </c>
      <c r="O512" s="3" cm="1">
        <f t="array" aca="1" ref="O512" ca="1">IFERROR(LOOKUP(2, 1/((F$1:F511=F512)*(J$1:J511=J512)*(ROW(F$1:F511)&lt;ROW(F512))), N$1:N511), "")</f>
        <v>84.313725490196077</v>
      </c>
      <c r="P512" s="3">
        <f t="shared" si="39"/>
        <v>0</v>
      </c>
      <c r="Q512" s="3" t="s">
        <v>33</v>
      </c>
      <c r="R512" s="3" t="s">
        <v>40</v>
      </c>
      <c r="S512" s="3" t="str">
        <f t="shared" si="37"/>
        <v>No</v>
      </c>
      <c r="T512" s="3" t="s">
        <v>40</v>
      </c>
      <c r="U512" s="3" t="str">
        <f t="shared" si="38"/>
        <v>Rainy</v>
      </c>
      <c r="V512" s="3" t="s">
        <v>40</v>
      </c>
      <c r="W512" s="3" cm="1">
        <f t="array" ref="W512">_xlfn.IFS(
OR(F512="Selenium (Hands-on)",F512="Guest Lecture: HR Interview"),6,
OR(F512="Soft Skill",F512="Soft Skill (Examination)",F512="AWS Training",F512="AWS Session"),7,
OR(ISNUMBER(SEARCH("MAD",F512)),ISNUMBER(SEARCH("STQA",F512)),F512="CI/CD Session"),8,
OR(ISNUMBER(SEARCH("Cloud",F512)),F512="Industry Readiness Program",ISNUMBER(SEARCH("Talenlio",F512))),9,
OR(ISNUMBER(SEARCH("Innovation",F512)),F512="Mini Project"),10,
OR(ISNUMBER(SEARCH("Data Science",F512)),ISNUMBER(SEARCH("DS",F512))),11,
ISNUMBER(SEARCH("Generative AI",F512)),12
=_xlfn.IFS(
OR(F512="Selenium (Hands-on)",F512="Guest Lecture: HR Interview"),6,
OR(F512="Soft Skill",F512="Soft Skill (Examination)",F512="AWS Training",F512="AWS Session"),7,
OR(ISNUMBER(SEARCH("MAD",F512)),ISNUMBER(SEARCH("STQA",F512)),F512="CI/CD Session"),8,
OR(ISNUMBER(SEARCH("Cloud",F512)),F512="Industry Readiness Program",ISNUMBER(SEARCH("Talenlio",F512))),9,
OR(ISNUMBER(SEARCH("Innovation",F512)),F512="Mini Project"),10,
OR(ISNUMBER(SEARCH("Data Science",F512)),ISNUMBER(SEARCH("DS",F512))),11,
ISNUMBER(SEARCH("Generative AI",F512)),12
=_xlfn.IFS(
OR(F512="Selenium (Hands-on)",F512="Guest Lecture: HR Interview"),6,
OR(F512="Soft Skill",F512="Soft Skill (Examination)",F512="AWS Training",F512="AWS Session"),7,
OR(ISNUMBER(SEARCH("MAD",F512)),ISNUMBER(SEARCH("STQA",F512)),F512="CI/CD Session"),8,
OR(ISNUMBER(SEARCH("Cloud",F512)),F512="Industry Readiness Program",ISNUMBER(SEARCH("Talenlio",F512))),9,
OR(ISNUMBER(SEARCH("Innovation",F512)),F512="Mini Project"),10,
OR(ISNUMBER(SEARCH("Data Science",F512)),ISNUMBER(SEARCH("DS",F512))),11,
ISNUMBER(SEARCH("Generative AI",F512)),12
=_xlfn.IFS(
OR(F512="Selenium (Hands-on)",F512="Guest Lecture: HR Interview"),6,
OR(F512="Soft Skill",F512="Soft Skill (Examination)",F512="AWS Training",F512="AWS Session"),7,
OR(ISNUMBER(SEARCH("MAD",F512)),ISNUMBER(SEARCH("STQA",F512)),F512="CI/CD Session"),8,
OR(ISNUMBER(SEARCH("Cloud",F512)),F512="Industry Readiness Program",ISNUMBER(SEARCH("Talenlio",F512))),9,
OR(ISNUMBER(SEARCH("Innovation",F512)),F512="Mini Project"),10,
OR(ISNUMBER(SEARCH("Data Science",F512)),ISNUMBER(SEARCH("DS",F512))),11,
ISNUMBER(SEARCH("Generative AI",F512)),12
))))</f>
        <v>11</v>
      </c>
      <c r="X512" s="3">
        <v>7</v>
      </c>
      <c r="Y512" s="3">
        <v>46</v>
      </c>
      <c r="Z512" s="3" t="s">
        <v>35</v>
      </c>
    </row>
    <row r="513" spans="1:26" x14ac:dyDescent="0.3">
      <c r="A513" s="2">
        <v>46233</v>
      </c>
      <c r="B513" s="3" t="s">
        <v>45</v>
      </c>
      <c r="C513" s="3">
        <v>4</v>
      </c>
      <c r="D513" s="4">
        <v>0.46875</v>
      </c>
      <c r="E513" s="4">
        <v>0.51041666666666696</v>
      </c>
      <c r="F513" s="3" t="s">
        <v>62</v>
      </c>
      <c r="G513" s="3" t="s">
        <v>77</v>
      </c>
      <c r="H513" s="3" t="s">
        <v>29</v>
      </c>
      <c r="I513" s="3" t="s">
        <v>30</v>
      </c>
      <c r="J513" s="3" t="s">
        <v>84</v>
      </c>
      <c r="K513" s="3" t="s">
        <v>52</v>
      </c>
      <c r="L513" s="5">
        <v>102</v>
      </c>
      <c r="M513" s="5">
        <f t="shared" ca="1" si="35"/>
        <v>101</v>
      </c>
      <c r="N513" s="6">
        <f t="shared" ca="1" si="36"/>
        <v>99.019607843137265</v>
      </c>
      <c r="O513" s="3" cm="1">
        <f t="array" aca="1" ref="O513" ca="1">IFERROR(LOOKUP(2, 1/((F$1:F512=F513)*(J$1:J512=J513)*(ROW(F$1:F512)&lt;ROW(F513))), N$1:N512), "")</f>
        <v>39.215686274509807</v>
      </c>
      <c r="P513" s="3">
        <f t="shared" si="39"/>
        <v>0</v>
      </c>
      <c r="Q513" s="3" t="s">
        <v>33</v>
      </c>
      <c r="R513" s="3" t="s">
        <v>40</v>
      </c>
      <c r="S513" s="3" t="str">
        <f t="shared" si="37"/>
        <v>No</v>
      </c>
      <c r="T513" s="3" t="s">
        <v>40</v>
      </c>
      <c r="U513" s="3" t="str">
        <f t="shared" si="38"/>
        <v>Rainy</v>
      </c>
      <c r="V513" s="3" t="s">
        <v>40</v>
      </c>
      <c r="W513" s="3">
        <v>7</v>
      </c>
      <c r="X513" s="3">
        <v>7</v>
      </c>
      <c r="Y513" s="3">
        <v>46</v>
      </c>
      <c r="Z513" s="3" t="s">
        <v>35</v>
      </c>
    </row>
    <row r="514" spans="1:26" x14ac:dyDescent="0.3">
      <c r="A514" s="2">
        <v>46233</v>
      </c>
      <c r="B514" s="3" t="s">
        <v>45</v>
      </c>
      <c r="C514" s="3">
        <v>5</v>
      </c>
      <c r="D514" s="4">
        <v>0.5625</v>
      </c>
      <c r="E514" s="4">
        <v>0.60416666666666696</v>
      </c>
      <c r="F514" s="3" t="s">
        <v>63</v>
      </c>
      <c r="G514" s="3" t="s">
        <v>64</v>
      </c>
      <c r="H514" s="3" t="s">
        <v>29</v>
      </c>
      <c r="I514" s="3" t="s">
        <v>30</v>
      </c>
      <c r="J514" s="3" t="s">
        <v>84</v>
      </c>
      <c r="K514" s="3" t="s">
        <v>52</v>
      </c>
      <c r="L514" s="5">
        <v>102</v>
      </c>
      <c r="M514" s="5">
        <f t="shared" ref="M514:M577" ca="1" si="40">RANDBETWEEN(40,103)</f>
        <v>58</v>
      </c>
      <c r="N514" s="6">
        <f t="shared" ref="N514:N577" ca="1" si="41">IF(OR(L514="",M514=""),"",M514/L514*100)</f>
        <v>56.862745098039213</v>
      </c>
      <c r="O514" s="3" cm="1">
        <f t="array" aca="1" ref="O514" ca="1">IFERROR(LOOKUP(2, 1/((F$1:F513=F514)*(J$1:J513=J514)*(ROW(F$1:F513)&lt;ROW(F514))), N$1:N513), "")</f>
        <v>44.117647058823529</v>
      </c>
      <c r="P514" s="3">
        <f t="shared" si="39"/>
        <v>1.25</v>
      </c>
      <c r="Q514" s="3" t="s">
        <v>33</v>
      </c>
      <c r="R514" s="3" t="s">
        <v>40</v>
      </c>
      <c r="S514" s="3" t="str">
        <f t="shared" ref="S514:S577" si="42">IF(OR(ISNUMBER(SEARCH("Guest", F514)), ISNUMBER(SEARCH("Hands-on", F514)), ISNUMBER(SEARCH("Project", F514)), B514="Friday"), "Yes", "No")</f>
        <v>No</v>
      </c>
      <c r="T514" s="3" t="s">
        <v>40</v>
      </c>
      <c r="U514" s="3" t="str">
        <f t="shared" ref="U514:U577" si="43">IF(MONTH(A514)=6, IF(DAY(A514)&lt;20, "Sunny", "Cloudy"), IF(OR(MONTH(A514)=7, MONTH(A514)=8), "Rainy", "Sunny"))</f>
        <v>Rainy</v>
      </c>
      <c r="V514" s="3" t="s">
        <v>40</v>
      </c>
      <c r="W514" s="3" cm="1">
        <f t="array" ref="W514">_xlfn.IFS(
OR(F514="Selenium (Hands-on)",F514="Guest Lecture: HR Interview"),6,
OR(F514="Soft Skill",F514="Soft Skill (Examination)",F514="AWS Training",F514="AWS Session"),7,
OR(ISNUMBER(SEARCH("MAD",F514)),ISNUMBER(SEARCH("STQA",F514)),F514="CI/CD Session"),8,
OR(ISNUMBER(SEARCH("Cloud",F514)),F514="Industry Readiness Program",ISNUMBER(SEARCH("Talenlio",F514))),9,
OR(ISNUMBER(SEARCH("Innovation",F514)),F514="Mini Project"),10,
OR(ISNUMBER(SEARCH("Data Science",F514)),ISNUMBER(SEARCH("DS",F514))),11,
ISNUMBER(SEARCH("Generative AI",F514)),12
=_xlfn.IFS(
OR(F514="Selenium (Hands-on)",F514="Guest Lecture: HR Interview"),6,
OR(F514="Soft Skill",F514="Soft Skill (Examination)",F514="AWS Training",F514="AWS Session"),7,
OR(ISNUMBER(SEARCH("MAD",F514)),ISNUMBER(SEARCH("STQA",F514)),F514="CI/CD Session"),8,
OR(ISNUMBER(SEARCH("Cloud",F514)),F514="Industry Readiness Program",ISNUMBER(SEARCH("Talenlio",F514))),9,
OR(ISNUMBER(SEARCH("Innovation",F514)),F514="Mini Project"),10,
OR(ISNUMBER(SEARCH("Data Science",F514)),ISNUMBER(SEARCH("DS",F514))),11,
ISNUMBER(SEARCH("Generative AI",F514)),12
=_xlfn.IFS(
OR(F514="Selenium (Hands-on)",F514="Guest Lecture: HR Interview"),6,
OR(F514="Soft Skill",F514="Soft Skill (Examination)",F514="AWS Training",F514="AWS Session"),7,
OR(ISNUMBER(SEARCH("MAD",F514)),ISNUMBER(SEARCH("STQA",F514)),F514="CI/CD Session"),8,
OR(ISNUMBER(SEARCH("Cloud",F514)),F514="Industry Readiness Program",ISNUMBER(SEARCH("Talenlio",F514))),9,
OR(ISNUMBER(SEARCH("Innovation",F514)),F514="Mini Project"),10,
OR(ISNUMBER(SEARCH("Data Science",F514)),ISNUMBER(SEARCH("DS",F514))),11,
ISNUMBER(SEARCH("Generative AI",F514)),12
=_xlfn.IFS(
OR(F514="Selenium (Hands-on)",F514="Guest Lecture: HR Interview"),6,
OR(F514="Soft Skill",F514="Soft Skill (Examination)",F514="AWS Training",F514="AWS Session"),7,
OR(ISNUMBER(SEARCH("MAD",F514)),ISNUMBER(SEARCH("STQA",F514)),F514="CI/CD Session"),8,
OR(ISNUMBER(SEARCH("Cloud",F514)),F514="Industry Readiness Program",ISNUMBER(SEARCH("Talenlio",F514))),9,
OR(ISNUMBER(SEARCH("Innovation",F514)),F514="Mini Project"),10,
OR(ISNUMBER(SEARCH("Data Science",F514)),ISNUMBER(SEARCH("DS",F514))),11,
ISNUMBER(SEARCH("Generative AI",F514)),12
))))</f>
        <v>9</v>
      </c>
      <c r="X514" s="3">
        <v>7</v>
      </c>
      <c r="Y514" s="3">
        <v>46</v>
      </c>
      <c r="Z514" s="3" t="s">
        <v>38</v>
      </c>
    </row>
    <row r="515" spans="1:26" x14ac:dyDescent="0.3">
      <c r="A515" s="2">
        <v>46233</v>
      </c>
      <c r="B515" s="3" t="s">
        <v>45</v>
      </c>
      <c r="C515" s="3">
        <v>6</v>
      </c>
      <c r="D515" s="4">
        <v>0.60416666666666696</v>
      </c>
      <c r="E515" s="4">
        <v>0.64583333333333304</v>
      </c>
      <c r="F515" s="3" t="s">
        <v>63</v>
      </c>
      <c r="G515" s="3" t="s">
        <v>64</v>
      </c>
      <c r="H515" s="3" t="s">
        <v>29</v>
      </c>
      <c r="I515" s="3" t="s">
        <v>30</v>
      </c>
      <c r="J515" s="3" t="s">
        <v>84</v>
      </c>
      <c r="K515" s="3" t="s">
        <v>52</v>
      </c>
      <c r="L515" s="5">
        <v>102</v>
      </c>
      <c r="M515" s="5">
        <f t="shared" ca="1" si="40"/>
        <v>89</v>
      </c>
      <c r="N515" s="6">
        <f t="shared" ca="1" si="41"/>
        <v>87.254901960784309</v>
      </c>
      <c r="O515" s="3" cm="1">
        <f t="array" aca="1" ref="O515" ca="1">IFERROR(LOOKUP(2, 1/((F$1:F514=F515)*(J$1:J514=J515)*(ROW(F$1:F514)&lt;ROW(F515))), N$1:N514), "")</f>
        <v>56.862745098039213</v>
      </c>
      <c r="P515" s="3">
        <f t="shared" ref="P515:P578" si="44">IF(C515=1, 0, IF(AND(A515=A514, J515=J514), ROUND(MAX(0, (D515-E514)*24), 2), 0))</f>
        <v>0</v>
      </c>
      <c r="Q515" s="3" t="s">
        <v>33</v>
      </c>
      <c r="R515" s="3" t="s">
        <v>40</v>
      </c>
      <c r="S515" s="3" t="str">
        <f t="shared" si="42"/>
        <v>No</v>
      </c>
      <c r="T515" s="3" t="s">
        <v>40</v>
      </c>
      <c r="U515" s="3" t="str">
        <f t="shared" si="43"/>
        <v>Rainy</v>
      </c>
      <c r="V515" s="3" t="s">
        <v>40</v>
      </c>
      <c r="W515" s="3" cm="1">
        <f t="array" ref="W515">_xlfn.IFS(
OR(F515="Selenium (Hands-on)",F515="Guest Lecture: HR Interview"),6,
OR(F515="Soft Skill",F515="Soft Skill (Examination)",F515="AWS Training",F515="AWS Session"),7,
OR(ISNUMBER(SEARCH("MAD",F515)),ISNUMBER(SEARCH("STQA",F515)),F515="CI/CD Session"),8,
OR(ISNUMBER(SEARCH("Cloud",F515)),F515="Industry Readiness Program",ISNUMBER(SEARCH("Talenlio",F515))),9,
OR(ISNUMBER(SEARCH("Innovation",F515)),F515="Mini Project"),10,
OR(ISNUMBER(SEARCH("Data Science",F515)),ISNUMBER(SEARCH("DS",F515))),11,
ISNUMBER(SEARCH("Generative AI",F515)),12
=_xlfn.IFS(
OR(F515="Selenium (Hands-on)",F515="Guest Lecture: HR Interview"),6,
OR(F515="Soft Skill",F515="Soft Skill (Examination)",F515="AWS Training",F515="AWS Session"),7,
OR(ISNUMBER(SEARCH("MAD",F515)),ISNUMBER(SEARCH("STQA",F515)),F515="CI/CD Session"),8,
OR(ISNUMBER(SEARCH("Cloud",F515)),F515="Industry Readiness Program",ISNUMBER(SEARCH("Talenlio",F515))),9,
OR(ISNUMBER(SEARCH("Innovation",F515)),F515="Mini Project"),10,
OR(ISNUMBER(SEARCH("Data Science",F515)),ISNUMBER(SEARCH("DS",F515))),11,
ISNUMBER(SEARCH("Generative AI",F515)),12
=_xlfn.IFS(
OR(F515="Selenium (Hands-on)",F515="Guest Lecture: HR Interview"),6,
OR(F515="Soft Skill",F515="Soft Skill (Examination)",F515="AWS Training",F515="AWS Session"),7,
OR(ISNUMBER(SEARCH("MAD",F515)),ISNUMBER(SEARCH("STQA",F515)),F515="CI/CD Session"),8,
OR(ISNUMBER(SEARCH("Cloud",F515)),F515="Industry Readiness Program",ISNUMBER(SEARCH("Talenlio",F515))),9,
OR(ISNUMBER(SEARCH("Innovation",F515)),F515="Mini Project"),10,
OR(ISNUMBER(SEARCH("Data Science",F515)),ISNUMBER(SEARCH("DS",F515))),11,
ISNUMBER(SEARCH("Generative AI",F515)),12
=_xlfn.IFS(
OR(F515="Selenium (Hands-on)",F515="Guest Lecture: HR Interview"),6,
OR(F515="Soft Skill",F515="Soft Skill (Examination)",F515="AWS Training",F515="AWS Session"),7,
OR(ISNUMBER(SEARCH("MAD",F515)),ISNUMBER(SEARCH("STQA",F515)),F515="CI/CD Session"),8,
OR(ISNUMBER(SEARCH("Cloud",F515)),F515="Industry Readiness Program",ISNUMBER(SEARCH("Talenlio",F515))),9,
OR(ISNUMBER(SEARCH("Innovation",F515)),F515="Mini Project"),10,
OR(ISNUMBER(SEARCH("Data Science",F515)),ISNUMBER(SEARCH("DS",F515))),11,
ISNUMBER(SEARCH("Generative AI",F515)),12
))))</f>
        <v>9</v>
      </c>
      <c r="X515" s="3">
        <v>7</v>
      </c>
      <c r="Y515" s="3">
        <v>46</v>
      </c>
      <c r="Z515" s="3" t="s">
        <v>38</v>
      </c>
    </row>
    <row r="516" spans="1:26" x14ac:dyDescent="0.3">
      <c r="A516" s="2">
        <v>46234</v>
      </c>
      <c r="B516" s="3" t="s">
        <v>46</v>
      </c>
      <c r="C516" s="3">
        <v>1</v>
      </c>
      <c r="D516" s="4">
        <v>0.375</v>
      </c>
      <c r="E516" s="4">
        <v>0.41666666666666702</v>
      </c>
      <c r="F516" s="3" t="s">
        <v>74</v>
      </c>
      <c r="G516" s="3" t="s">
        <v>75</v>
      </c>
      <c r="H516" s="3" t="s">
        <v>29</v>
      </c>
      <c r="I516" s="3" t="s">
        <v>30</v>
      </c>
      <c r="J516" s="3" t="s">
        <v>84</v>
      </c>
      <c r="K516" s="3" t="s">
        <v>76</v>
      </c>
      <c r="L516" s="5">
        <v>102</v>
      </c>
      <c r="M516" s="5">
        <f t="shared" ca="1" si="40"/>
        <v>89</v>
      </c>
      <c r="N516" s="6">
        <f t="shared" ca="1" si="41"/>
        <v>87.254901960784309</v>
      </c>
      <c r="O516" s="3" cm="1">
        <f t="array" aca="1" ref="O516" ca="1">IFERROR(LOOKUP(2, 1/((F$1:F515=F516)*(J$1:J515=J516)*(ROW(F$1:F515)&lt;ROW(F516))), N$1:N515), "")</f>
        <v>39.215686274509807</v>
      </c>
      <c r="P516" s="3">
        <f t="shared" si="44"/>
        <v>0</v>
      </c>
      <c r="Q516" s="3" t="s">
        <v>43</v>
      </c>
      <c r="R516" s="3" t="s">
        <v>40</v>
      </c>
      <c r="S516" s="3" t="str">
        <f t="shared" si="42"/>
        <v>Yes</v>
      </c>
      <c r="T516" s="3" t="s">
        <v>40</v>
      </c>
      <c r="U516" s="3" t="str">
        <f t="shared" si="43"/>
        <v>Rainy</v>
      </c>
      <c r="V516" s="3" t="s">
        <v>40</v>
      </c>
      <c r="W516" s="3" cm="1">
        <f t="array" ref="W516">_xlfn.IFS(
OR(F516="Selenium (Hands-on)",F516="Guest Lecture: HR Interview"),6,
OR(F516="Soft Skill",F516="Soft Skill (Examination)",F516="AWS Training",F516="AWS Session"),7,
OR(ISNUMBER(SEARCH("MAD",F516)),ISNUMBER(SEARCH("STQA",F516)),F516="CI/CD Session"),8,
OR(ISNUMBER(SEARCH("Cloud",F516)),F516="Industry Readiness Program",ISNUMBER(SEARCH("Talenlio",F516))),9,
OR(ISNUMBER(SEARCH("Innovation",F516)),F516="Mini Project"),10,
OR(ISNUMBER(SEARCH("Data Science",F516)),ISNUMBER(SEARCH("DS",F516))),11,
ISNUMBER(SEARCH("Generative AI",F516)),12
=_xlfn.IFS(
OR(F516="Selenium (Hands-on)",F516="Guest Lecture: HR Interview"),6,
OR(F516="Soft Skill",F516="Soft Skill (Examination)",F516="AWS Training",F516="AWS Session"),7,
OR(ISNUMBER(SEARCH("MAD",F516)),ISNUMBER(SEARCH("STQA",F516)),F516="CI/CD Session"),8,
OR(ISNUMBER(SEARCH("Cloud",F516)),F516="Industry Readiness Program",ISNUMBER(SEARCH("Talenlio",F516))),9,
OR(ISNUMBER(SEARCH("Innovation",F516)),F516="Mini Project"),10,
OR(ISNUMBER(SEARCH("Data Science",F516)),ISNUMBER(SEARCH("DS",F516))),11,
ISNUMBER(SEARCH("Generative AI",F516)),12
=_xlfn.IFS(
OR(F516="Selenium (Hands-on)",F516="Guest Lecture: HR Interview"),6,
OR(F516="Soft Skill",F516="Soft Skill (Examination)",F516="AWS Training",F516="AWS Session"),7,
OR(ISNUMBER(SEARCH("MAD",F516)),ISNUMBER(SEARCH("STQA",F516)),F516="CI/CD Session"),8,
OR(ISNUMBER(SEARCH("Cloud",F516)),F516="Industry Readiness Program",ISNUMBER(SEARCH("Talenlio",F516))),9,
OR(ISNUMBER(SEARCH("Innovation",F516)),F516="Mini Project"),10,
OR(ISNUMBER(SEARCH("Data Science",F516)),ISNUMBER(SEARCH("DS",F516))),11,
ISNUMBER(SEARCH("Generative AI",F516)),12
=_xlfn.IFS(
OR(F516="Selenium (Hands-on)",F516="Guest Lecture: HR Interview"),6,
OR(F516="Soft Skill",F516="Soft Skill (Examination)",F516="AWS Training",F516="AWS Session"),7,
OR(ISNUMBER(SEARCH("MAD",F516)),ISNUMBER(SEARCH("STQA",F516)),F516="CI/CD Session"),8,
OR(ISNUMBER(SEARCH("Cloud",F516)),F516="Industry Readiness Program",ISNUMBER(SEARCH("Talenlio",F516))),9,
OR(ISNUMBER(SEARCH("Innovation",F516)),F516="Mini Project"),10,
OR(ISNUMBER(SEARCH("Data Science",F516)),ISNUMBER(SEARCH("DS",F516))),11,
ISNUMBER(SEARCH("Generative AI",F516)),12
))))</f>
        <v>6</v>
      </c>
      <c r="X516" s="3">
        <v>7</v>
      </c>
      <c r="Y516" s="3">
        <v>47</v>
      </c>
      <c r="Z516" s="3" t="s">
        <v>35</v>
      </c>
    </row>
    <row r="517" spans="1:26" x14ac:dyDescent="0.3">
      <c r="A517" s="2">
        <v>46234</v>
      </c>
      <c r="B517" s="3" t="s">
        <v>46</v>
      </c>
      <c r="C517" s="3">
        <v>2</v>
      </c>
      <c r="D517" s="4">
        <v>0.41666666666666702</v>
      </c>
      <c r="E517" s="4">
        <v>0.45833333333333298</v>
      </c>
      <c r="F517" s="3" t="s">
        <v>74</v>
      </c>
      <c r="G517" s="3" t="s">
        <v>75</v>
      </c>
      <c r="H517" s="3" t="s">
        <v>29</v>
      </c>
      <c r="I517" s="3" t="s">
        <v>30</v>
      </c>
      <c r="J517" s="3" t="s">
        <v>84</v>
      </c>
      <c r="K517" s="3" t="s">
        <v>76</v>
      </c>
      <c r="L517" s="5">
        <v>102</v>
      </c>
      <c r="M517" s="5">
        <f t="shared" ca="1" si="40"/>
        <v>58</v>
      </c>
      <c r="N517" s="6">
        <f t="shared" ca="1" si="41"/>
        <v>56.862745098039213</v>
      </c>
      <c r="O517" s="3" cm="1">
        <f t="array" aca="1" ref="O517" ca="1">IFERROR(LOOKUP(2, 1/((F$1:F516=F517)*(J$1:J516=J517)*(ROW(F$1:F516)&lt;ROW(F517))), N$1:N516), "")</f>
        <v>87.254901960784309</v>
      </c>
      <c r="P517" s="3">
        <f t="shared" si="44"/>
        <v>0</v>
      </c>
      <c r="Q517" s="3" t="s">
        <v>43</v>
      </c>
      <c r="R517" s="3" t="s">
        <v>40</v>
      </c>
      <c r="S517" s="3" t="str">
        <f t="shared" si="42"/>
        <v>Yes</v>
      </c>
      <c r="T517" s="3" t="s">
        <v>40</v>
      </c>
      <c r="U517" s="3" t="str">
        <f t="shared" si="43"/>
        <v>Rainy</v>
      </c>
      <c r="V517" s="3" t="s">
        <v>40</v>
      </c>
      <c r="W517" s="3" cm="1">
        <f t="array" ref="W517">_xlfn.IFS(
OR(F517="Selenium (Hands-on)",F517="Guest Lecture: HR Interview"),6,
OR(F517="Soft Skill",F517="Soft Skill (Examination)",F517="AWS Training",F517="AWS Session"),7,
OR(ISNUMBER(SEARCH("MAD",F517)),ISNUMBER(SEARCH("STQA",F517)),F517="CI/CD Session"),8,
OR(ISNUMBER(SEARCH("Cloud",F517)),F517="Industry Readiness Program",ISNUMBER(SEARCH("Talenlio",F517))),9,
OR(ISNUMBER(SEARCH("Innovation",F517)),F517="Mini Project"),10,
OR(ISNUMBER(SEARCH("Data Science",F517)),ISNUMBER(SEARCH("DS",F517))),11,
ISNUMBER(SEARCH("Generative AI",F517)),12
=_xlfn.IFS(
OR(F517="Selenium (Hands-on)",F517="Guest Lecture: HR Interview"),6,
OR(F517="Soft Skill",F517="Soft Skill (Examination)",F517="AWS Training",F517="AWS Session"),7,
OR(ISNUMBER(SEARCH("MAD",F517)),ISNUMBER(SEARCH("STQA",F517)),F517="CI/CD Session"),8,
OR(ISNUMBER(SEARCH("Cloud",F517)),F517="Industry Readiness Program",ISNUMBER(SEARCH("Talenlio",F517))),9,
OR(ISNUMBER(SEARCH("Innovation",F517)),F517="Mini Project"),10,
OR(ISNUMBER(SEARCH("Data Science",F517)),ISNUMBER(SEARCH("DS",F517))),11,
ISNUMBER(SEARCH("Generative AI",F517)),12
=_xlfn.IFS(
OR(F517="Selenium (Hands-on)",F517="Guest Lecture: HR Interview"),6,
OR(F517="Soft Skill",F517="Soft Skill (Examination)",F517="AWS Training",F517="AWS Session"),7,
OR(ISNUMBER(SEARCH("MAD",F517)),ISNUMBER(SEARCH("STQA",F517)),F517="CI/CD Session"),8,
OR(ISNUMBER(SEARCH("Cloud",F517)),F517="Industry Readiness Program",ISNUMBER(SEARCH("Talenlio",F517))),9,
OR(ISNUMBER(SEARCH("Innovation",F517)),F517="Mini Project"),10,
OR(ISNUMBER(SEARCH("Data Science",F517)),ISNUMBER(SEARCH("DS",F517))),11,
ISNUMBER(SEARCH("Generative AI",F517)),12
=_xlfn.IFS(
OR(F517="Selenium (Hands-on)",F517="Guest Lecture: HR Interview"),6,
OR(F517="Soft Skill",F517="Soft Skill (Examination)",F517="AWS Training",F517="AWS Session"),7,
OR(ISNUMBER(SEARCH("MAD",F517)),ISNUMBER(SEARCH("STQA",F517)),F517="CI/CD Session"),8,
OR(ISNUMBER(SEARCH("Cloud",F517)),F517="Industry Readiness Program",ISNUMBER(SEARCH("Talenlio",F517))),9,
OR(ISNUMBER(SEARCH("Innovation",F517)),F517="Mini Project"),10,
OR(ISNUMBER(SEARCH("Data Science",F517)),ISNUMBER(SEARCH("DS",F517))),11,
ISNUMBER(SEARCH("Generative AI",F517)),12
))))</f>
        <v>6</v>
      </c>
      <c r="X517" s="3">
        <v>7</v>
      </c>
      <c r="Y517" s="3">
        <v>47</v>
      </c>
      <c r="Z517" s="3" t="s">
        <v>35</v>
      </c>
    </row>
    <row r="518" spans="1:26" x14ac:dyDescent="0.3">
      <c r="A518" s="2">
        <v>46234</v>
      </c>
      <c r="B518" s="3" t="s">
        <v>46</v>
      </c>
      <c r="C518" s="3">
        <v>3</v>
      </c>
      <c r="D518" s="4">
        <v>0.45833333333333298</v>
      </c>
      <c r="E518" s="4">
        <v>0.47916666666666702</v>
      </c>
      <c r="F518" s="3" t="s">
        <v>74</v>
      </c>
      <c r="G518" s="3" t="s">
        <v>75</v>
      </c>
      <c r="H518" s="3" t="s">
        <v>29</v>
      </c>
      <c r="I518" s="3" t="s">
        <v>30</v>
      </c>
      <c r="J518" s="3" t="s">
        <v>84</v>
      </c>
      <c r="K518" s="3" t="s">
        <v>76</v>
      </c>
      <c r="L518" s="5">
        <v>102</v>
      </c>
      <c r="M518" s="5">
        <f t="shared" ca="1" si="40"/>
        <v>77</v>
      </c>
      <c r="N518" s="6">
        <f t="shared" ca="1" si="41"/>
        <v>75.490196078431367</v>
      </c>
      <c r="O518" s="3" cm="1">
        <f t="array" aca="1" ref="O518" ca="1">IFERROR(LOOKUP(2, 1/((F$1:F517=F518)*(J$1:J517=J518)*(ROW(F$1:F517)&lt;ROW(F518))), N$1:N517), "")</f>
        <v>56.862745098039213</v>
      </c>
      <c r="P518" s="3">
        <f t="shared" si="44"/>
        <v>0</v>
      </c>
      <c r="Q518" s="3" t="s">
        <v>43</v>
      </c>
      <c r="R518" s="3" t="s">
        <v>40</v>
      </c>
      <c r="S518" s="3" t="str">
        <f t="shared" si="42"/>
        <v>Yes</v>
      </c>
      <c r="T518" s="3" t="s">
        <v>40</v>
      </c>
      <c r="U518" s="3" t="str">
        <f t="shared" si="43"/>
        <v>Rainy</v>
      </c>
      <c r="V518" s="3" t="s">
        <v>40</v>
      </c>
      <c r="W518" s="3" cm="1">
        <f t="array" ref="W518">_xlfn.IFS(
OR(F518="Selenium (Hands-on)",F518="Guest Lecture: HR Interview"),6,
OR(F518="Soft Skill",F518="Soft Skill (Examination)",F518="AWS Training",F518="AWS Session"),7,
OR(ISNUMBER(SEARCH("MAD",F518)),ISNUMBER(SEARCH("STQA",F518)),F518="CI/CD Session"),8,
OR(ISNUMBER(SEARCH("Cloud",F518)),F518="Industry Readiness Program",ISNUMBER(SEARCH("Talenlio",F518))),9,
OR(ISNUMBER(SEARCH("Innovation",F518)),F518="Mini Project"),10,
OR(ISNUMBER(SEARCH("Data Science",F518)),ISNUMBER(SEARCH("DS",F518))),11,
ISNUMBER(SEARCH("Generative AI",F518)),12
=_xlfn.IFS(
OR(F518="Selenium (Hands-on)",F518="Guest Lecture: HR Interview"),6,
OR(F518="Soft Skill",F518="Soft Skill (Examination)",F518="AWS Training",F518="AWS Session"),7,
OR(ISNUMBER(SEARCH("MAD",F518)),ISNUMBER(SEARCH("STQA",F518)),F518="CI/CD Session"),8,
OR(ISNUMBER(SEARCH("Cloud",F518)),F518="Industry Readiness Program",ISNUMBER(SEARCH("Talenlio",F518))),9,
OR(ISNUMBER(SEARCH("Innovation",F518)),F518="Mini Project"),10,
OR(ISNUMBER(SEARCH("Data Science",F518)),ISNUMBER(SEARCH("DS",F518))),11,
ISNUMBER(SEARCH("Generative AI",F518)),12
=_xlfn.IFS(
OR(F518="Selenium (Hands-on)",F518="Guest Lecture: HR Interview"),6,
OR(F518="Soft Skill",F518="Soft Skill (Examination)",F518="AWS Training",F518="AWS Session"),7,
OR(ISNUMBER(SEARCH("MAD",F518)),ISNUMBER(SEARCH("STQA",F518)),F518="CI/CD Session"),8,
OR(ISNUMBER(SEARCH("Cloud",F518)),F518="Industry Readiness Program",ISNUMBER(SEARCH("Talenlio",F518))),9,
OR(ISNUMBER(SEARCH("Innovation",F518)),F518="Mini Project"),10,
OR(ISNUMBER(SEARCH("Data Science",F518)),ISNUMBER(SEARCH("DS",F518))),11,
ISNUMBER(SEARCH("Generative AI",F518)),12
=_xlfn.IFS(
OR(F518="Selenium (Hands-on)",F518="Guest Lecture: HR Interview"),6,
OR(F518="Soft Skill",F518="Soft Skill (Examination)",F518="AWS Training",F518="AWS Session"),7,
OR(ISNUMBER(SEARCH("MAD",F518)),ISNUMBER(SEARCH("STQA",F518)),F518="CI/CD Session"),8,
OR(ISNUMBER(SEARCH("Cloud",F518)),F518="Industry Readiness Program",ISNUMBER(SEARCH("Talenlio",F518))),9,
OR(ISNUMBER(SEARCH("Innovation",F518)),F518="Mini Project"),10,
OR(ISNUMBER(SEARCH("Data Science",F518)),ISNUMBER(SEARCH("DS",F518))),11,
ISNUMBER(SEARCH("Generative AI",F518)),12
))))</f>
        <v>6</v>
      </c>
      <c r="X518" s="3">
        <v>7</v>
      </c>
      <c r="Y518" s="3">
        <v>47</v>
      </c>
      <c r="Z518" s="3" t="s">
        <v>35</v>
      </c>
    </row>
    <row r="519" spans="1:26" x14ac:dyDescent="0.3">
      <c r="A519" s="2">
        <v>46234</v>
      </c>
      <c r="B519" s="3" t="s">
        <v>46</v>
      </c>
      <c r="C519" s="3">
        <v>4</v>
      </c>
      <c r="D519" s="4">
        <v>0.47916666666666702</v>
      </c>
      <c r="E519" s="4">
        <v>0.52083333333333304</v>
      </c>
      <c r="F519" s="3" t="s">
        <v>59</v>
      </c>
      <c r="G519" s="3" t="s">
        <v>73</v>
      </c>
      <c r="H519" s="3" t="s">
        <v>29</v>
      </c>
      <c r="I519" s="3" t="s">
        <v>30</v>
      </c>
      <c r="J519" s="3" t="s">
        <v>84</v>
      </c>
      <c r="K519" s="3" t="s">
        <v>52</v>
      </c>
      <c r="L519" s="5">
        <v>102</v>
      </c>
      <c r="M519" s="5">
        <f t="shared" ca="1" si="40"/>
        <v>77</v>
      </c>
      <c r="N519" s="6">
        <f t="shared" ca="1" si="41"/>
        <v>75.490196078431367</v>
      </c>
      <c r="O519" s="3" cm="1">
        <f t="array" aca="1" ref="O519" ca="1">IFERROR(LOOKUP(2, 1/((F$1:F518=F519)*(J$1:J518=J519)*(ROW(F$1:F518)&lt;ROW(F519))), N$1:N518), "")</f>
        <v>86.274509803921575</v>
      </c>
      <c r="P519" s="3">
        <f t="shared" si="44"/>
        <v>0</v>
      </c>
      <c r="Q519" s="3" t="s">
        <v>33</v>
      </c>
      <c r="R519" s="3" t="s">
        <v>40</v>
      </c>
      <c r="S519" s="3" t="str">
        <f t="shared" si="42"/>
        <v>Yes</v>
      </c>
      <c r="T519" s="3" t="s">
        <v>40</v>
      </c>
      <c r="U519" s="3" t="str">
        <f t="shared" si="43"/>
        <v>Rainy</v>
      </c>
      <c r="V519" s="3" t="s">
        <v>40</v>
      </c>
      <c r="W519" s="3" cm="1">
        <f t="array" ref="W519">_xlfn.IFS(
OR(F519="Selenium (Hands-on)",F519="Guest Lecture: HR Interview"),6,
OR(F519="Soft Skill",F519="Soft Skill (Examination)",F519="AWS Training",F519="AWS Session"),7,
OR(ISNUMBER(SEARCH("MAD",F519)),ISNUMBER(SEARCH("STQA",F519)),F519="CI/CD Session"),8,
OR(ISNUMBER(SEARCH("Cloud",F519)),F519="Industry Readiness Program",ISNUMBER(SEARCH("Talenlio",F519))),9,
OR(ISNUMBER(SEARCH("Innovation",F519)),F519="Mini Project"),10,
OR(ISNUMBER(SEARCH("Data Science",F519)),ISNUMBER(SEARCH("DS",F519))),11,
ISNUMBER(SEARCH("Generative AI",F519)),12
=_xlfn.IFS(
OR(F519="Selenium (Hands-on)",F519="Guest Lecture: HR Interview"),6,
OR(F519="Soft Skill",F519="Soft Skill (Examination)",F519="AWS Training",F519="AWS Session"),7,
OR(ISNUMBER(SEARCH("MAD",F519)),ISNUMBER(SEARCH("STQA",F519)),F519="CI/CD Session"),8,
OR(ISNUMBER(SEARCH("Cloud",F519)),F519="Industry Readiness Program",ISNUMBER(SEARCH("Talenlio",F519))),9,
OR(ISNUMBER(SEARCH("Innovation",F519)),F519="Mini Project"),10,
OR(ISNUMBER(SEARCH("Data Science",F519)),ISNUMBER(SEARCH("DS",F519))),11,
ISNUMBER(SEARCH("Generative AI",F519)),12
=_xlfn.IFS(
OR(F519="Selenium (Hands-on)",F519="Guest Lecture: HR Interview"),6,
OR(F519="Soft Skill",F519="Soft Skill (Examination)",F519="AWS Training",F519="AWS Session"),7,
OR(ISNUMBER(SEARCH("MAD",F519)),ISNUMBER(SEARCH("STQA",F519)),F519="CI/CD Session"),8,
OR(ISNUMBER(SEARCH("Cloud",F519)),F519="Industry Readiness Program",ISNUMBER(SEARCH("Talenlio",F519))),9,
OR(ISNUMBER(SEARCH("Innovation",F519)),F519="Mini Project"),10,
OR(ISNUMBER(SEARCH("Data Science",F519)),ISNUMBER(SEARCH("DS",F519))),11,
ISNUMBER(SEARCH("Generative AI",F519)),12
=_xlfn.IFS(
OR(F519="Selenium (Hands-on)",F519="Guest Lecture: HR Interview"),6,
OR(F519="Soft Skill",F519="Soft Skill (Examination)",F519="AWS Training",F519="AWS Session"),7,
OR(ISNUMBER(SEARCH("MAD",F519)),ISNUMBER(SEARCH("STQA",F519)),F519="CI/CD Session"),8,
OR(ISNUMBER(SEARCH("Cloud",F519)),F519="Industry Readiness Program",ISNUMBER(SEARCH("Talenlio",F519))),9,
OR(ISNUMBER(SEARCH("Innovation",F519)),F519="Mini Project"),10,
OR(ISNUMBER(SEARCH("Data Science",F519)),ISNUMBER(SEARCH("DS",F519))),11,
ISNUMBER(SEARCH("Generative AI",F519)),12
))))</f>
        <v>11</v>
      </c>
      <c r="X519" s="3">
        <v>7</v>
      </c>
      <c r="Y519" s="3">
        <v>47</v>
      </c>
      <c r="Z519" s="3" t="s">
        <v>35</v>
      </c>
    </row>
    <row r="520" spans="1:26" x14ac:dyDescent="0.3">
      <c r="A520" s="2">
        <v>46234</v>
      </c>
      <c r="B520" s="3" t="s">
        <v>46</v>
      </c>
      <c r="C520" s="3">
        <v>5</v>
      </c>
      <c r="D520" s="4">
        <v>0.5625</v>
      </c>
      <c r="E520" s="4">
        <v>0.60416666666666696</v>
      </c>
      <c r="F520" s="3" t="s">
        <v>78</v>
      </c>
      <c r="G520" s="3" t="s">
        <v>73</v>
      </c>
      <c r="H520" s="3" t="s">
        <v>29</v>
      </c>
      <c r="I520" s="3" t="s">
        <v>30</v>
      </c>
      <c r="J520" s="3" t="s">
        <v>84</v>
      </c>
      <c r="K520" s="3" t="s">
        <v>52</v>
      </c>
      <c r="L520" s="5">
        <v>102</v>
      </c>
      <c r="M520" s="5">
        <f t="shared" ca="1" si="40"/>
        <v>95</v>
      </c>
      <c r="N520" s="6">
        <f t="shared" ca="1" si="41"/>
        <v>93.137254901960787</v>
      </c>
      <c r="O520" s="3">
        <v>64.1579421</v>
      </c>
      <c r="P520" s="3">
        <f t="shared" si="44"/>
        <v>1</v>
      </c>
      <c r="Q520" s="3" t="s">
        <v>43</v>
      </c>
      <c r="R520" s="3" t="s">
        <v>40</v>
      </c>
      <c r="S520" s="3" t="str">
        <f t="shared" si="42"/>
        <v>Yes</v>
      </c>
      <c r="T520" s="3" t="s">
        <v>40</v>
      </c>
      <c r="U520" s="3" t="str">
        <f t="shared" si="43"/>
        <v>Rainy</v>
      </c>
      <c r="V520" s="3" t="s">
        <v>40</v>
      </c>
      <c r="W520" s="3" cm="1">
        <f t="array" ref="W520">_xlfn.IFS(
OR(F520="Selenium (Hands-on)",F520="Guest Lecture: HR Interview"),6,
OR(F520="Soft Skill",F520="Soft Skill (Examination)",F520="AWS Training",F520="AWS Session"),7,
OR(ISNUMBER(SEARCH("MAD",F520)),ISNUMBER(SEARCH("STQA",F520)),F520="CI/CD Session"),8,
OR(ISNUMBER(SEARCH("Cloud",F520)),F520="Industry Readiness Program",ISNUMBER(SEARCH("Talenlio",F520))),9,
OR(ISNUMBER(SEARCH("Innovation",F520)),F520="Mini Project"),10,
OR(ISNUMBER(SEARCH("Data Science",F520)),ISNUMBER(SEARCH("DS",F520))),11,
ISNUMBER(SEARCH("Generative AI",F520)),12
=_xlfn.IFS(
OR(F520="Selenium (Hands-on)",F520="Guest Lecture: HR Interview"),6,
OR(F520="Soft Skill",F520="Soft Skill (Examination)",F520="AWS Training",F520="AWS Session"),7,
OR(ISNUMBER(SEARCH("MAD",F520)),ISNUMBER(SEARCH("STQA",F520)),F520="CI/CD Session"),8,
OR(ISNUMBER(SEARCH("Cloud",F520)),F520="Industry Readiness Program",ISNUMBER(SEARCH("Talenlio",F520))),9,
OR(ISNUMBER(SEARCH("Innovation",F520)),F520="Mini Project"),10,
OR(ISNUMBER(SEARCH("Data Science",F520)),ISNUMBER(SEARCH("DS",F520))),11,
ISNUMBER(SEARCH("Generative AI",F520)),12
=_xlfn.IFS(
OR(F520="Selenium (Hands-on)",F520="Guest Lecture: HR Interview"),6,
OR(F520="Soft Skill",F520="Soft Skill (Examination)",F520="AWS Training",F520="AWS Session"),7,
OR(ISNUMBER(SEARCH("MAD",F520)),ISNUMBER(SEARCH("STQA",F520)),F520="CI/CD Session"),8,
OR(ISNUMBER(SEARCH("Cloud",F520)),F520="Industry Readiness Program",ISNUMBER(SEARCH("Talenlio",F520))),9,
OR(ISNUMBER(SEARCH("Innovation",F520)),F520="Mini Project"),10,
OR(ISNUMBER(SEARCH("Data Science",F520)),ISNUMBER(SEARCH("DS",F520))),11,
ISNUMBER(SEARCH("Generative AI",F520)),12
=_xlfn.IFS(
OR(F520="Selenium (Hands-on)",F520="Guest Lecture: HR Interview"),6,
OR(F520="Soft Skill",F520="Soft Skill (Examination)",F520="AWS Training",F520="AWS Session"),7,
OR(ISNUMBER(SEARCH("MAD",F520)),ISNUMBER(SEARCH("STQA",F520)),F520="CI/CD Session"),8,
OR(ISNUMBER(SEARCH("Cloud",F520)),F520="Industry Readiness Program",ISNUMBER(SEARCH("Talenlio",F520))),9,
OR(ISNUMBER(SEARCH("Innovation",F520)),F520="Mini Project"),10,
OR(ISNUMBER(SEARCH("Data Science",F520)),ISNUMBER(SEARCH("DS",F520))),11,
ISNUMBER(SEARCH("Generative AI",F520)),12
))))</f>
        <v>11</v>
      </c>
      <c r="X520" s="3">
        <v>7</v>
      </c>
      <c r="Y520" s="3">
        <v>47</v>
      </c>
      <c r="Z520" s="3" t="s">
        <v>38</v>
      </c>
    </row>
    <row r="521" spans="1:26" x14ac:dyDescent="0.3">
      <c r="A521" s="2">
        <v>46234</v>
      </c>
      <c r="B521" s="3" t="s">
        <v>46</v>
      </c>
      <c r="C521" s="3">
        <v>6</v>
      </c>
      <c r="D521" s="4">
        <v>0.60416666666666696</v>
      </c>
      <c r="E521" s="4">
        <v>0.64583333333333304</v>
      </c>
      <c r="F521" s="3" t="s">
        <v>78</v>
      </c>
      <c r="G521" s="3" t="s">
        <v>73</v>
      </c>
      <c r="H521" s="3" t="s">
        <v>29</v>
      </c>
      <c r="I521" s="3" t="s">
        <v>30</v>
      </c>
      <c r="J521" s="3" t="s">
        <v>84</v>
      </c>
      <c r="K521" s="3" t="s">
        <v>52</v>
      </c>
      <c r="L521" s="5">
        <v>102</v>
      </c>
      <c r="M521" s="5">
        <f t="shared" ca="1" si="40"/>
        <v>52</v>
      </c>
      <c r="N521" s="6">
        <f t="shared" ca="1" si="41"/>
        <v>50.980392156862742</v>
      </c>
      <c r="O521" s="3" cm="1">
        <f t="array" aca="1" ref="O521" ca="1">IFERROR(LOOKUP(2, 1/((F$1:F520=F521)*(J$1:J520=J521)*(ROW(F$1:F520)&lt;ROW(F521))), N$1:N520), "")</f>
        <v>93.137254901960787</v>
      </c>
      <c r="P521" s="3">
        <f t="shared" si="44"/>
        <v>0</v>
      </c>
      <c r="Q521" s="3" t="s">
        <v>43</v>
      </c>
      <c r="R521" s="3" t="s">
        <v>40</v>
      </c>
      <c r="S521" s="3" t="str">
        <f t="shared" si="42"/>
        <v>Yes</v>
      </c>
      <c r="T521" s="3" t="s">
        <v>40</v>
      </c>
      <c r="U521" s="3" t="str">
        <f t="shared" si="43"/>
        <v>Rainy</v>
      </c>
      <c r="V521" s="3" t="s">
        <v>40</v>
      </c>
      <c r="W521" s="3" cm="1">
        <f t="array" ref="W521">_xlfn.IFS(
OR(F521="Selenium (Hands-on)",F521="Guest Lecture: HR Interview"),6,
OR(F521="Soft Skill",F521="Soft Skill (Examination)",F521="AWS Training",F521="AWS Session"),7,
OR(ISNUMBER(SEARCH("MAD",F521)),ISNUMBER(SEARCH("STQA",F521)),F521="CI/CD Session"),8,
OR(ISNUMBER(SEARCH("Cloud",F521)),F521="Industry Readiness Program",ISNUMBER(SEARCH("Talenlio",F521))),9,
OR(ISNUMBER(SEARCH("Innovation",F521)),F521="Mini Project"),10,
OR(ISNUMBER(SEARCH("Data Science",F521)),ISNUMBER(SEARCH("DS",F521))),11,
ISNUMBER(SEARCH("Generative AI",F521)),12
=_xlfn.IFS(
OR(F521="Selenium (Hands-on)",F521="Guest Lecture: HR Interview"),6,
OR(F521="Soft Skill",F521="Soft Skill (Examination)",F521="AWS Training",F521="AWS Session"),7,
OR(ISNUMBER(SEARCH("MAD",F521)),ISNUMBER(SEARCH("STQA",F521)),F521="CI/CD Session"),8,
OR(ISNUMBER(SEARCH("Cloud",F521)),F521="Industry Readiness Program",ISNUMBER(SEARCH("Talenlio",F521))),9,
OR(ISNUMBER(SEARCH("Innovation",F521)),F521="Mini Project"),10,
OR(ISNUMBER(SEARCH("Data Science",F521)),ISNUMBER(SEARCH("DS",F521))),11,
ISNUMBER(SEARCH("Generative AI",F521)),12
=_xlfn.IFS(
OR(F521="Selenium (Hands-on)",F521="Guest Lecture: HR Interview"),6,
OR(F521="Soft Skill",F521="Soft Skill (Examination)",F521="AWS Training",F521="AWS Session"),7,
OR(ISNUMBER(SEARCH("MAD",F521)),ISNUMBER(SEARCH("STQA",F521)),F521="CI/CD Session"),8,
OR(ISNUMBER(SEARCH("Cloud",F521)),F521="Industry Readiness Program",ISNUMBER(SEARCH("Talenlio",F521))),9,
OR(ISNUMBER(SEARCH("Innovation",F521)),F521="Mini Project"),10,
OR(ISNUMBER(SEARCH("Data Science",F521)),ISNUMBER(SEARCH("DS",F521))),11,
ISNUMBER(SEARCH("Generative AI",F521)),12
=_xlfn.IFS(
OR(F521="Selenium (Hands-on)",F521="Guest Lecture: HR Interview"),6,
OR(F521="Soft Skill",F521="Soft Skill (Examination)",F521="AWS Training",F521="AWS Session"),7,
OR(ISNUMBER(SEARCH("MAD",F521)),ISNUMBER(SEARCH("STQA",F521)),F521="CI/CD Session"),8,
OR(ISNUMBER(SEARCH("Cloud",F521)),F521="Industry Readiness Program",ISNUMBER(SEARCH("Talenlio",F521))),9,
OR(ISNUMBER(SEARCH("Innovation",F521)),F521="Mini Project"),10,
OR(ISNUMBER(SEARCH("Data Science",F521)),ISNUMBER(SEARCH("DS",F521))),11,
ISNUMBER(SEARCH("Generative AI",F521)),12
))))</f>
        <v>11</v>
      </c>
      <c r="X521" s="3">
        <v>7</v>
      </c>
      <c r="Y521" s="3">
        <v>47</v>
      </c>
      <c r="Z521" s="3" t="s">
        <v>38</v>
      </c>
    </row>
    <row r="522" spans="1:26" x14ac:dyDescent="0.3">
      <c r="A522" s="2">
        <v>46235</v>
      </c>
      <c r="B522" s="3" t="s">
        <v>47</v>
      </c>
      <c r="C522" s="3">
        <v>1</v>
      </c>
      <c r="D522" s="4">
        <v>0.35416666666666702</v>
      </c>
      <c r="E522" s="4">
        <v>0.38541666666666702</v>
      </c>
      <c r="F522" s="3" t="s">
        <v>65</v>
      </c>
      <c r="G522" s="3" t="s">
        <v>51</v>
      </c>
      <c r="H522" s="3" t="s">
        <v>29</v>
      </c>
      <c r="I522" s="3" t="s">
        <v>30</v>
      </c>
      <c r="J522" s="3" t="s">
        <v>84</v>
      </c>
      <c r="K522" s="3" t="s">
        <v>52</v>
      </c>
      <c r="L522" s="5">
        <v>102</v>
      </c>
      <c r="M522" s="5">
        <f t="shared" ca="1" si="40"/>
        <v>52</v>
      </c>
      <c r="N522" s="6">
        <f t="shared" ca="1" si="41"/>
        <v>50.980392156862742</v>
      </c>
      <c r="O522" s="3" cm="1">
        <f t="array" aca="1" ref="O522" ca="1">IFERROR(LOOKUP(2, 1/((F$1:F521=F522)*(J$1:J521=J522)*(ROW(F$1:F521)&lt;ROW(F522))), N$1:N521), "")</f>
        <v>54.901960784313729</v>
      </c>
      <c r="P522" s="3">
        <f t="shared" si="44"/>
        <v>0</v>
      </c>
      <c r="Q522" s="3" t="s">
        <v>43</v>
      </c>
      <c r="R522" s="3" t="s">
        <v>40</v>
      </c>
      <c r="S522" s="3" t="str">
        <f t="shared" si="42"/>
        <v>No</v>
      </c>
      <c r="T522" s="3" t="s">
        <v>34</v>
      </c>
      <c r="U522" s="3" t="str">
        <f t="shared" si="43"/>
        <v>Rainy</v>
      </c>
      <c r="V522" s="3" t="s">
        <v>40</v>
      </c>
      <c r="W522" s="3" cm="1">
        <f t="array" ref="W522">_xlfn.IFS(
OR(F522="Selenium (Hands-on)",F522="Guest Lecture: HR Interview"),6,
OR(F522="Soft Skill",F522="Soft Skill (Examination)",F522="AWS Training",F522="AWS Session"),7,
OR(ISNUMBER(SEARCH("MAD",F522)),ISNUMBER(SEARCH("STQA",F522)),F522="CI/CD Session"),8,
OR(ISNUMBER(SEARCH("Cloud",F522)),F522="Industry Readiness Program",ISNUMBER(SEARCH("Talenlio",F522))),9,
OR(ISNUMBER(SEARCH("Innovation",F522)),F522="Mini Project"),10,
OR(ISNUMBER(SEARCH("Data Science",F522)),ISNUMBER(SEARCH("DS",F522))),11,
ISNUMBER(SEARCH("Generative AI",F522)),12
=_xlfn.IFS(
OR(F522="Selenium (Hands-on)",F522="Guest Lecture: HR Interview"),6,
OR(F522="Soft Skill",F522="Soft Skill (Examination)",F522="AWS Training",F522="AWS Session"),7,
OR(ISNUMBER(SEARCH("MAD",F522)),ISNUMBER(SEARCH("STQA",F522)),F522="CI/CD Session"),8,
OR(ISNUMBER(SEARCH("Cloud",F522)),F522="Industry Readiness Program",ISNUMBER(SEARCH("Talenlio",F522))),9,
OR(ISNUMBER(SEARCH("Innovation",F522)),F522="Mini Project"),10,
OR(ISNUMBER(SEARCH("Data Science",F522)),ISNUMBER(SEARCH("DS",F522))),11,
ISNUMBER(SEARCH("Generative AI",F522)),12
=_xlfn.IFS(
OR(F522="Selenium (Hands-on)",F522="Guest Lecture: HR Interview"),6,
OR(F522="Soft Skill",F522="Soft Skill (Examination)",F522="AWS Training",F522="AWS Session"),7,
OR(ISNUMBER(SEARCH("MAD",F522)),ISNUMBER(SEARCH("STQA",F522)),F522="CI/CD Session"),8,
OR(ISNUMBER(SEARCH("Cloud",F522)),F522="Industry Readiness Program",ISNUMBER(SEARCH("Talenlio",F522))),9,
OR(ISNUMBER(SEARCH("Innovation",F522)),F522="Mini Project"),10,
OR(ISNUMBER(SEARCH("Data Science",F522)),ISNUMBER(SEARCH("DS",F522))),11,
ISNUMBER(SEARCH("Generative AI",F522)),12
=_xlfn.IFS(
OR(F522="Selenium (Hands-on)",F522="Guest Lecture: HR Interview"),6,
OR(F522="Soft Skill",F522="Soft Skill (Examination)",F522="AWS Training",F522="AWS Session"),7,
OR(ISNUMBER(SEARCH("MAD",F522)),ISNUMBER(SEARCH("STQA",F522)),F522="CI/CD Session"),8,
OR(ISNUMBER(SEARCH("Cloud",F522)),F522="Industry Readiness Program",ISNUMBER(SEARCH("Talenlio",F522))),9,
OR(ISNUMBER(SEARCH("Innovation",F522)),F522="Mini Project"),10,
OR(ISNUMBER(SEARCH("Data Science",F522)),ISNUMBER(SEARCH("DS",F522))),11,
ISNUMBER(SEARCH("Generative AI",F522)),12
))))</f>
        <v>8</v>
      </c>
      <c r="X522" s="3">
        <v>7</v>
      </c>
      <c r="Y522" s="3">
        <v>48</v>
      </c>
      <c r="Z522" s="3" t="s">
        <v>35</v>
      </c>
    </row>
    <row r="523" spans="1:26" x14ac:dyDescent="0.3">
      <c r="A523" s="2">
        <v>46235</v>
      </c>
      <c r="B523" s="3" t="s">
        <v>47</v>
      </c>
      <c r="C523" s="3">
        <v>2</v>
      </c>
      <c r="D523" s="4">
        <v>0.38541666666666702</v>
      </c>
      <c r="E523" s="4">
        <v>0.42708333333333298</v>
      </c>
      <c r="F523" s="3" t="s">
        <v>65</v>
      </c>
      <c r="G523" s="3" t="s">
        <v>51</v>
      </c>
      <c r="H523" s="3" t="s">
        <v>29</v>
      </c>
      <c r="I523" s="3" t="s">
        <v>30</v>
      </c>
      <c r="J523" s="3" t="s">
        <v>84</v>
      </c>
      <c r="K523" s="3" t="s">
        <v>52</v>
      </c>
      <c r="L523" s="5">
        <v>102</v>
      </c>
      <c r="M523" s="5">
        <f t="shared" ca="1" si="40"/>
        <v>42</v>
      </c>
      <c r="N523" s="6">
        <f t="shared" ca="1" si="41"/>
        <v>41.17647058823529</v>
      </c>
      <c r="O523" s="3" cm="1">
        <f t="array" aca="1" ref="O523" ca="1">IFERROR(LOOKUP(2, 1/((F$1:F522=F523)*(J$1:J522=J523)*(ROW(F$1:F522)&lt;ROW(F523))), N$1:N522), "")</f>
        <v>50.980392156862742</v>
      </c>
      <c r="P523" s="3">
        <f t="shared" si="44"/>
        <v>0</v>
      </c>
      <c r="Q523" s="3" t="s">
        <v>43</v>
      </c>
      <c r="R523" s="3" t="s">
        <v>40</v>
      </c>
      <c r="S523" s="3" t="str">
        <f t="shared" si="42"/>
        <v>No</v>
      </c>
      <c r="T523" s="3" t="s">
        <v>34</v>
      </c>
      <c r="U523" s="3" t="str">
        <f t="shared" si="43"/>
        <v>Rainy</v>
      </c>
      <c r="V523" s="3" t="s">
        <v>40</v>
      </c>
      <c r="W523" s="3" cm="1">
        <f t="array" ref="W523">_xlfn.IFS(
OR(F523="Selenium (Hands-on)",F523="Guest Lecture: HR Interview"),6,
OR(F523="Soft Skill",F523="Soft Skill (Examination)",F523="AWS Training",F523="AWS Session"),7,
OR(ISNUMBER(SEARCH("MAD",F523)),ISNUMBER(SEARCH("STQA",F523)),F523="CI/CD Session"),8,
OR(ISNUMBER(SEARCH("Cloud",F523)),F523="Industry Readiness Program",ISNUMBER(SEARCH("Talenlio",F523))),9,
OR(ISNUMBER(SEARCH("Innovation",F523)),F523="Mini Project"),10,
OR(ISNUMBER(SEARCH("Data Science",F523)),ISNUMBER(SEARCH("DS",F523))),11,
ISNUMBER(SEARCH("Generative AI",F523)),12
=_xlfn.IFS(
OR(F523="Selenium (Hands-on)",F523="Guest Lecture: HR Interview"),6,
OR(F523="Soft Skill",F523="Soft Skill (Examination)",F523="AWS Training",F523="AWS Session"),7,
OR(ISNUMBER(SEARCH("MAD",F523)),ISNUMBER(SEARCH("STQA",F523)),F523="CI/CD Session"),8,
OR(ISNUMBER(SEARCH("Cloud",F523)),F523="Industry Readiness Program",ISNUMBER(SEARCH("Talenlio",F523))),9,
OR(ISNUMBER(SEARCH("Innovation",F523)),F523="Mini Project"),10,
OR(ISNUMBER(SEARCH("Data Science",F523)),ISNUMBER(SEARCH("DS",F523))),11,
ISNUMBER(SEARCH("Generative AI",F523)),12
=_xlfn.IFS(
OR(F523="Selenium (Hands-on)",F523="Guest Lecture: HR Interview"),6,
OR(F523="Soft Skill",F523="Soft Skill (Examination)",F523="AWS Training",F523="AWS Session"),7,
OR(ISNUMBER(SEARCH("MAD",F523)),ISNUMBER(SEARCH("STQA",F523)),F523="CI/CD Session"),8,
OR(ISNUMBER(SEARCH("Cloud",F523)),F523="Industry Readiness Program",ISNUMBER(SEARCH("Talenlio",F523))),9,
OR(ISNUMBER(SEARCH("Innovation",F523)),F523="Mini Project"),10,
OR(ISNUMBER(SEARCH("Data Science",F523)),ISNUMBER(SEARCH("DS",F523))),11,
ISNUMBER(SEARCH("Generative AI",F523)),12
=_xlfn.IFS(
OR(F523="Selenium (Hands-on)",F523="Guest Lecture: HR Interview"),6,
OR(F523="Soft Skill",F523="Soft Skill (Examination)",F523="AWS Training",F523="AWS Session"),7,
OR(ISNUMBER(SEARCH("MAD",F523)),ISNUMBER(SEARCH("STQA",F523)),F523="CI/CD Session"),8,
OR(ISNUMBER(SEARCH("Cloud",F523)),F523="Industry Readiness Program",ISNUMBER(SEARCH("Talenlio",F523))),9,
OR(ISNUMBER(SEARCH("Innovation",F523)),F523="Mini Project"),10,
OR(ISNUMBER(SEARCH("Data Science",F523)),ISNUMBER(SEARCH("DS",F523))),11,
ISNUMBER(SEARCH("Generative AI",F523)),12
))))</f>
        <v>8</v>
      </c>
      <c r="X523" s="3">
        <v>7</v>
      </c>
      <c r="Y523" s="3">
        <v>48</v>
      </c>
      <c r="Z523" s="3" t="s">
        <v>35</v>
      </c>
    </row>
    <row r="524" spans="1:26" x14ac:dyDescent="0.3">
      <c r="A524" s="2">
        <v>46235</v>
      </c>
      <c r="B524" s="3" t="s">
        <v>47</v>
      </c>
      <c r="C524" s="3">
        <v>3</v>
      </c>
      <c r="D524" s="4">
        <v>0.42708333333333298</v>
      </c>
      <c r="E524" s="4">
        <v>0.46875</v>
      </c>
      <c r="F524" s="3" t="s">
        <v>66</v>
      </c>
      <c r="G524" s="3" t="s">
        <v>67</v>
      </c>
      <c r="H524" s="3" t="s">
        <v>29</v>
      </c>
      <c r="I524" s="3" t="s">
        <v>30</v>
      </c>
      <c r="J524" s="3" t="s">
        <v>84</v>
      </c>
      <c r="K524" s="3" t="s">
        <v>52</v>
      </c>
      <c r="L524" s="5">
        <v>102</v>
      </c>
      <c r="M524" s="5">
        <f t="shared" ca="1" si="40"/>
        <v>73</v>
      </c>
      <c r="N524" s="6">
        <f t="shared" ca="1" si="41"/>
        <v>71.568627450980387</v>
      </c>
      <c r="O524" s="3" cm="1">
        <f t="array" aca="1" ref="O524" ca="1">IFERROR(LOOKUP(2, 1/((F$1:F523=F524)*(J$1:J523=J524)*(ROW(F$1:F523)&lt;ROW(F524))), N$1:N523), "")</f>
        <v>39.215686274509807</v>
      </c>
      <c r="P524" s="3">
        <f t="shared" si="44"/>
        <v>0</v>
      </c>
      <c r="Q524" s="3" t="s">
        <v>43</v>
      </c>
      <c r="R524" s="3" t="s">
        <v>40</v>
      </c>
      <c r="S524" s="3" t="str">
        <f t="shared" si="42"/>
        <v>Yes</v>
      </c>
      <c r="T524" s="3" t="s">
        <v>34</v>
      </c>
      <c r="U524" s="3" t="str">
        <f t="shared" si="43"/>
        <v>Rainy</v>
      </c>
      <c r="V524" s="3" t="s">
        <v>40</v>
      </c>
      <c r="W524" s="3" cm="1">
        <f t="array" ref="W524">_xlfn.IFS(
OR(F524="Selenium (Hands-on)",F524="Guest Lecture: HR Interview"),6,
OR(F524="Soft Skill",F524="Soft Skill (Examination)",F524="AWS Training",F524="AWS Session"),7,
OR(ISNUMBER(SEARCH("MAD",F524)),ISNUMBER(SEARCH("STQA",F524)),F524="CI/CD Session"),8,
OR(ISNUMBER(SEARCH("Cloud",F524)),F524="Industry Readiness Program",ISNUMBER(SEARCH("Talenlio",F524))),9,
OR(ISNUMBER(SEARCH("Innovation",F524)),F524="Mini Project"),10,
OR(ISNUMBER(SEARCH("Data Science",F524)),ISNUMBER(SEARCH("DS",F524))),11,
ISNUMBER(SEARCH("Generative AI",F524)),12
=_xlfn.IFS(
OR(F524="Selenium (Hands-on)",F524="Guest Lecture: HR Interview"),6,
OR(F524="Soft Skill",F524="Soft Skill (Examination)",F524="AWS Training",F524="AWS Session"),7,
OR(ISNUMBER(SEARCH("MAD",F524)),ISNUMBER(SEARCH("STQA",F524)),F524="CI/CD Session"),8,
OR(ISNUMBER(SEARCH("Cloud",F524)),F524="Industry Readiness Program",ISNUMBER(SEARCH("Talenlio",F524))),9,
OR(ISNUMBER(SEARCH("Innovation",F524)),F524="Mini Project"),10,
OR(ISNUMBER(SEARCH("Data Science",F524)),ISNUMBER(SEARCH("DS",F524))),11,
ISNUMBER(SEARCH("Generative AI",F524)),12
=_xlfn.IFS(
OR(F524="Selenium (Hands-on)",F524="Guest Lecture: HR Interview"),6,
OR(F524="Soft Skill",F524="Soft Skill (Examination)",F524="AWS Training",F524="AWS Session"),7,
OR(ISNUMBER(SEARCH("MAD",F524)),ISNUMBER(SEARCH("STQA",F524)),F524="CI/CD Session"),8,
OR(ISNUMBER(SEARCH("Cloud",F524)),F524="Industry Readiness Program",ISNUMBER(SEARCH("Talenlio",F524))),9,
OR(ISNUMBER(SEARCH("Innovation",F524)),F524="Mini Project"),10,
OR(ISNUMBER(SEARCH("Data Science",F524)),ISNUMBER(SEARCH("DS",F524))),11,
ISNUMBER(SEARCH("Generative AI",F524)),12
=_xlfn.IFS(
OR(F524="Selenium (Hands-on)",F524="Guest Lecture: HR Interview"),6,
OR(F524="Soft Skill",F524="Soft Skill (Examination)",F524="AWS Training",F524="AWS Session"),7,
OR(ISNUMBER(SEARCH("MAD",F524)),ISNUMBER(SEARCH("STQA",F524)),F524="CI/CD Session"),8,
OR(ISNUMBER(SEARCH("Cloud",F524)),F524="Industry Readiness Program",ISNUMBER(SEARCH("Talenlio",F524))),9,
OR(ISNUMBER(SEARCH("Innovation",F524)),F524="Mini Project"),10,
OR(ISNUMBER(SEARCH("Data Science",F524)),ISNUMBER(SEARCH("DS",F524))),11,
ISNUMBER(SEARCH("Generative AI",F524)),12
))))</f>
        <v>10</v>
      </c>
      <c r="X524" s="3">
        <v>7</v>
      </c>
      <c r="Y524" s="3">
        <v>48</v>
      </c>
      <c r="Z524" s="3" t="s">
        <v>35</v>
      </c>
    </row>
    <row r="525" spans="1:26" x14ac:dyDescent="0.3">
      <c r="A525" s="2">
        <v>46235</v>
      </c>
      <c r="B525" s="3" t="s">
        <v>47</v>
      </c>
      <c r="C525" s="3">
        <v>4</v>
      </c>
      <c r="D525" s="4">
        <v>0.46875</v>
      </c>
      <c r="E525" s="4">
        <v>0.51041666666666696</v>
      </c>
      <c r="F525" s="3" t="s">
        <v>66</v>
      </c>
      <c r="G525" s="3" t="s">
        <v>67</v>
      </c>
      <c r="H525" s="3" t="s">
        <v>29</v>
      </c>
      <c r="I525" s="3" t="s">
        <v>30</v>
      </c>
      <c r="J525" s="3" t="s">
        <v>84</v>
      </c>
      <c r="K525" s="3" t="s">
        <v>52</v>
      </c>
      <c r="L525" s="5">
        <v>102</v>
      </c>
      <c r="M525" s="5">
        <f t="shared" ca="1" si="40"/>
        <v>68</v>
      </c>
      <c r="N525" s="6">
        <f t="shared" ca="1" si="41"/>
        <v>66.666666666666657</v>
      </c>
      <c r="O525" s="3" cm="1">
        <f t="array" aca="1" ref="O525" ca="1">IFERROR(LOOKUP(2, 1/((F$1:F524=F525)*(J$1:J524=J525)*(ROW(F$1:F524)&lt;ROW(F525))), N$1:N524), "")</f>
        <v>71.568627450980387</v>
      </c>
      <c r="P525" s="3">
        <f t="shared" si="44"/>
        <v>0</v>
      </c>
      <c r="Q525" s="3" t="s">
        <v>43</v>
      </c>
      <c r="R525" s="3" t="s">
        <v>40</v>
      </c>
      <c r="S525" s="3" t="str">
        <f t="shared" si="42"/>
        <v>Yes</v>
      </c>
      <c r="T525" s="3" t="s">
        <v>34</v>
      </c>
      <c r="U525" s="3" t="str">
        <f t="shared" si="43"/>
        <v>Rainy</v>
      </c>
      <c r="V525" s="3" t="s">
        <v>40</v>
      </c>
      <c r="W525" s="3" cm="1">
        <f t="array" ref="W525">_xlfn.IFS(
OR(F525="Selenium (Hands-on)",F525="Guest Lecture: HR Interview"),6,
OR(F525="Soft Skill",F525="Soft Skill (Examination)",F525="AWS Training",F525="AWS Session"),7,
OR(ISNUMBER(SEARCH("MAD",F525)),ISNUMBER(SEARCH("STQA",F525)),F525="CI/CD Session"),8,
OR(ISNUMBER(SEARCH("Cloud",F525)),F525="Industry Readiness Program",ISNUMBER(SEARCH("Talenlio",F525))),9,
OR(ISNUMBER(SEARCH("Innovation",F525)),F525="Mini Project"),10,
OR(ISNUMBER(SEARCH("Data Science",F525)),ISNUMBER(SEARCH("DS",F525))),11,
ISNUMBER(SEARCH("Generative AI",F525)),12
=_xlfn.IFS(
OR(F525="Selenium (Hands-on)",F525="Guest Lecture: HR Interview"),6,
OR(F525="Soft Skill",F525="Soft Skill (Examination)",F525="AWS Training",F525="AWS Session"),7,
OR(ISNUMBER(SEARCH("MAD",F525)),ISNUMBER(SEARCH("STQA",F525)),F525="CI/CD Session"),8,
OR(ISNUMBER(SEARCH("Cloud",F525)),F525="Industry Readiness Program",ISNUMBER(SEARCH("Talenlio",F525))),9,
OR(ISNUMBER(SEARCH("Innovation",F525)),F525="Mini Project"),10,
OR(ISNUMBER(SEARCH("Data Science",F525)),ISNUMBER(SEARCH("DS",F525))),11,
ISNUMBER(SEARCH("Generative AI",F525)),12
=_xlfn.IFS(
OR(F525="Selenium (Hands-on)",F525="Guest Lecture: HR Interview"),6,
OR(F525="Soft Skill",F525="Soft Skill (Examination)",F525="AWS Training",F525="AWS Session"),7,
OR(ISNUMBER(SEARCH("MAD",F525)),ISNUMBER(SEARCH("STQA",F525)),F525="CI/CD Session"),8,
OR(ISNUMBER(SEARCH("Cloud",F525)),F525="Industry Readiness Program",ISNUMBER(SEARCH("Talenlio",F525))),9,
OR(ISNUMBER(SEARCH("Innovation",F525)),F525="Mini Project"),10,
OR(ISNUMBER(SEARCH("Data Science",F525)),ISNUMBER(SEARCH("DS",F525))),11,
ISNUMBER(SEARCH("Generative AI",F525)),12
=_xlfn.IFS(
OR(F525="Selenium (Hands-on)",F525="Guest Lecture: HR Interview"),6,
OR(F525="Soft Skill",F525="Soft Skill (Examination)",F525="AWS Training",F525="AWS Session"),7,
OR(ISNUMBER(SEARCH("MAD",F525)),ISNUMBER(SEARCH("STQA",F525)),F525="CI/CD Session"),8,
OR(ISNUMBER(SEARCH("Cloud",F525)),F525="Industry Readiness Program",ISNUMBER(SEARCH("Talenlio",F525))),9,
OR(ISNUMBER(SEARCH("Innovation",F525)),F525="Mini Project"),10,
OR(ISNUMBER(SEARCH("Data Science",F525)),ISNUMBER(SEARCH("DS",F525))),11,
ISNUMBER(SEARCH("Generative AI",F525)),12
))))</f>
        <v>10</v>
      </c>
      <c r="X525" s="3">
        <v>7</v>
      </c>
      <c r="Y525" s="3">
        <v>48</v>
      </c>
      <c r="Z525" s="3" t="s">
        <v>35</v>
      </c>
    </row>
    <row r="526" spans="1:26" x14ac:dyDescent="0.3">
      <c r="A526" s="2">
        <v>46235</v>
      </c>
      <c r="B526" s="3" t="s">
        <v>47</v>
      </c>
      <c r="C526" s="3">
        <v>5</v>
      </c>
      <c r="D526" s="4">
        <v>0.5625</v>
      </c>
      <c r="E526" s="4">
        <v>0.60416666666666696</v>
      </c>
      <c r="F526" s="3" t="s">
        <v>66</v>
      </c>
      <c r="G526" s="3" t="s">
        <v>67</v>
      </c>
      <c r="H526" s="3" t="s">
        <v>29</v>
      </c>
      <c r="I526" s="3" t="s">
        <v>30</v>
      </c>
      <c r="J526" s="3" t="s">
        <v>84</v>
      </c>
      <c r="K526" s="3" t="s">
        <v>52</v>
      </c>
      <c r="L526" s="5">
        <v>102</v>
      </c>
      <c r="M526" s="5">
        <f t="shared" ca="1" si="40"/>
        <v>57</v>
      </c>
      <c r="N526" s="6">
        <f t="shared" ca="1" si="41"/>
        <v>55.882352941176471</v>
      </c>
      <c r="O526" s="3" cm="1">
        <f t="array" aca="1" ref="O526" ca="1">IFERROR(LOOKUP(2, 1/((F$1:F525=F526)*(J$1:J525=J526)*(ROW(F$1:F525)&lt;ROW(F526))), N$1:N525), "")</f>
        <v>66.666666666666657</v>
      </c>
      <c r="P526" s="3">
        <f t="shared" si="44"/>
        <v>1.25</v>
      </c>
      <c r="Q526" s="3" t="s">
        <v>43</v>
      </c>
      <c r="R526" s="3" t="s">
        <v>40</v>
      </c>
      <c r="S526" s="3" t="str">
        <f t="shared" si="42"/>
        <v>Yes</v>
      </c>
      <c r="T526" s="3" t="s">
        <v>34</v>
      </c>
      <c r="U526" s="3" t="str">
        <f t="shared" si="43"/>
        <v>Rainy</v>
      </c>
      <c r="V526" s="3" t="s">
        <v>40</v>
      </c>
      <c r="W526" s="3" cm="1">
        <f t="array" ref="W526">_xlfn.IFS(
OR(F526="Selenium (Hands-on)",F526="Guest Lecture: HR Interview"),6,
OR(F526="Soft Skill",F526="Soft Skill (Examination)",F526="AWS Training",F526="AWS Session"),7,
OR(ISNUMBER(SEARCH("MAD",F526)),ISNUMBER(SEARCH("STQA",F526)),F526="CI/CD Session"),8,
OR(ISNUMBER(SEARCH("Cloud",F526)),F526="Industry Readiness Program",ISNUMBER(SEARCH("Talenlio",F526))),9,
OR(ISNUMBER(SEARCH("Innovation",F526)),F526="Mini Project"),10,
OR(ISNUMBER(SEARCH("Data Science",F526)),ISNUMBER(SEARCH("DS",F526))),11,
ISNUMBER(SEARCH("Generative AI",F526)),12
=_xlfn.IFS(
OR(F526="Selenium (Hands-on)",F526="Guest Lecture: HR Interview"),6,
OR(F526="Soft Skill",F526="Soft Skill (Examination)",F526="AWS Training",F526="AWS Session"),7,
OR(ISNUMBER(SEARCH("MAD",F526)),ISNUMBER(SEARCH("STQA",F526)),F526="CI/CD Session"),8,
OR(ISNUMBER(SEARCH("Cloud",F526)),F526="Industry Readiness Program",ISNUMBER(SEARCH("Talenlio",F526))),9,
OR(ISNUMBER(SEARCH("Innovation",F526)),F526="Mini Project"),10,
OR(ISNUMBER(SEARCH("Data Science",F526)),ISNUMBER(SEARCH("DS",F526))),11,
ISNUMBER(SEARCH("Generative AI",F526)),12
=_xlfn.IFS(
OR(F526="Selenium (Hands-on)",F526="Guest Lecture: HR Interview"),6,
OR(F526="Soft Skill",F526="Soft Skill (Examination)",F526="AWS Training",F526="AWS Session"),7,
OR(ISNUMBER(SEARCH("MAD",F526)),ISNUMBER(SEARCH("STQA",F526)),F526="CI/CD Session"),8,
OR(ISNUMBER(SEARCH("Cloud",F526)),F526="Industry Readiness Program",ISNUMBER(SEARCH("Talenlio",F526))),9,
OR(ISNUMBER(SEARCH("Innovation",F526)),F526="Mini Project"),10,
OR(ISNUMBER(SEARCH("Data Science",F526)),ISNUMBER(SEARCH("DS",F526))),11,
ISNUMBER(SEARCH("Generative AI",F526)),12
=_xlfn.IFS(
OR(F526="Selenium (Hands-on)",F526="Guest Lecture: HR Interview"),6,
OR(F526="Soft Skill",F526="Soft Skill (Examination)",F526="AWS Training",F526="AWS Session"),7,
OR(ISNUMBER(SEARCH("MAD",F526)),ISNUMBER(SEARCH("STQA",F526)),F526="CI/CD Session"),8,
OR(ISNUMBER(SEARCH("Cloud",F526)),F526="Industry Readiness Program",ISNUMBER(SEARCH("Talenlio",F526))),9,
OR(ISNUMBER(SEARCH("Innovation",F526)),F526="Mini Project"),10,
OR(ISNUMBER(SEARCH("Data Science",F526)),ISNUMBER(SEARCH("DS",F526))),11,
ISNUMBER(SEARCH("Generative AI",F526)),12
))))</f>
        <v>10</v>
      </c>
      <c r="X526" s="3">
        <v>7</v>
      </c>
      <c r="Y526" s="3">
        <v>48</v>
      </c>
      <c r="Z526" s="3" t="s">
        <v>38</v>
      </c>
    </row>
    <row r="527" spans="1:26" x14ac:dyDescent="0.3">
      <c r="A527" s="2">
        <v>46235</v>
      </c>
      <c r="B527" s="3" t="s">
        <v>47</v>
      </c>
      <c r="C527" s="3">
        <v>6</v>
      </c>
      <c r="D527" s="4">
        <v>0.60416666666666696</v>
      </c>
      <c r="E527" s="4">
        <v>0.64583333333333304</v>
      </c>
      <c r="F527" s="3" t="s">
        <v>66</v>
      </c>
      <c r="G527" s="3" t="s">
        <v>67</v>
      </c>
      <c r="H527" s="3" t="s">
        <v>29</v>
      </c>
      <c r="I527" s="3" t="s">
        <v>30</v>
      </c>
      <c r="J527" s="3" t="s">
        <v>84</v>
      </c>
      <c r="K527" s="3" t="s">
        <v>52</v>
      </c>
      <c r="L527" s="5">
        <v>102</v>
      </c>
      <c r="M527" s="5">
        <f t="shared" ca="1" si="40"/>
        <v>60</v>
      </c>
      <c r="N527" s="6">
        <f t="shared" ca="1" si="41"/>
        <v>58.82352941176471</v>
      </c>
      <c r="O527" s="3" cm="1">
        <f t="array" aca="1" ref="O527" ca="1">IFERROR(LOOKUP(2, 1/((F$1:F526=F527)*(J$1:J526=J527)*(ROW(F$1:F526)&lt;ROW(F527))), N$1:N526), "")</f>
        <v>55.882352941176471</v>
      </c>
      <c r="P527" s="3">
        <f t="shared" si="44"/>
        <v>0</v>
      </c>
      <c r="Q527" s="3" t="s">
        <v>43</v>
      </c>
      <c r="R527" s="3" t="s">
        <v>40</v>
      </c>
      <c r="S527" s="3" t="str">
        <f t="shared" si="42"/>
        <v>Yes</v>
      </c>
      <c r="T527" s="3" t="s">
        <v>34</v>
      </c>
      <c r="U527" s="3" t="str">
        <f t="shared" si="43"/>
        <v>Rainy</v>
      </c>
      <c r="V527" s="3" t="s">
        <v>40</v>
      </c>
      <c r="W527" s="3" cm="1">
        <f t="array" ref="W527">_xlfn.IFS(
OR(F527="Selenium (Hands-on)",F527="Guest Lecture: HR Interview"),6,
OR(F527="Soft Skill",F527="Soft Skill (Examination)",F527="AWS Training",F527="AWS Session"),7,
OR(ISNUMBER(SEARCH("MAD",F527)),ISNUMBER(SEARCH("STQA",F527)),F527="CI/CD Session"),8,
OR(ISNUMBER(SEARCH("Cloud",F527)),F527="Industry Readiness Program",ISNUMBER(SEARCH("Talenlio",F527))),9,
OR(ISNUMBER(SEARCH("Innovation",F527)),F527="Mini Project"),10,
OR(ISNUMBER(SEARCH("Data Science",F527)),ISNUMBER(SEARCH("DS",F527))),11,
ISNUMBER(SEARCH("Generative AI",F527)),12
=_xlfn.IFS(
OR(F527="Selenium (Hands-on)",F527="Guest Lecture: HR Interview"),6,
OR(F527="Soft Skill",F527="Soft Skill (Examination)",F527="AWS Training",F527="AWS Session"),7,
OR(ISNUMBER(SEARCH("MAD",F527)),ISNUMBER(SEARCH("STQA",F527)),F527="CI/CD Session"),8,
OR(ISNUMBER(SEARCH("Cloud",F527)),F527="Industry Readiness Program",ISNUMBER(SEARCH("Talenlio",F527))),9,
OR(ISNUMBER(SEARCH("Innovation",F527)),F527="Mini Project"),10,
OR(ISNUMBER(SEARCH("Data Science",F527)),ISNUMBER(SEARCH("DS",F527))),11,
ISNUMBER(SEARCH("Generative AI",F527)),12
=_xlfn.IFS(
OR(F527="Selenium (Hands-on)",F527="Guest Lecture: HR Interview"),6,
OR(F527="Soft Skill",F527="Soft Skill (Examination)",F527="AWS Training",F527="AWS Session"),7,
OR(ISNUMBER(SEARCH("MAD",F527)),ISNUMBER(SEARCH("STQA",F527)),F527="CI/CD Session"),8,
OR(ISNUMBER(SEARCH("Cloud",F527)),F527="Industry Readiness Program",ISNUMBER(SEARCH("Talenlio",F527))),9,
OR(ISNUMBER(SEARCH("Innovation",F527)),F527="Mini Project"),10,
OR(ISNUMBER(SEARCH("Data Science",F527)),ISNUMBER(SEARCH("DS",F527))),11,
ISNUMBER(SEARCH("Generative AI",F527)),12
=_xlfn.IFS(
OR(F527="Selenium (Hands-on)",F527="Guest Lecture: HR Interview"),6,
OR(F527="Soft Skill",F527="Soft Skill (Examination)",F527="AWS Training",F527="AWS Session"),7,
OR(ISNUMBER(SEARCH("MAD",F527)),ISNUMBER(SEARCH("STQA",F527)),F527="CI/CD Session"),8,
OR(ISNUMBER(SEARCH("Cloud",F527)),F527="Industry Readiness Program",ISNUMBER(SEARCH("Talenlio",F527))),9,
OR(ISNUMBER(SEARCH("Innovation",F527)),F527="Mini Project"),10,
OR(ISNUMBER(SEARCH("Data Science",F527)),ISNUMBER(SEARCH("DS",F527))),11,
ISNUMBER(SEARCH("Generative AI",F527)),12
))))</f>
        <v>10</v>
      </c>
      <c r="X527" s="3">
        <v>7</v>
      </c>
      <c r="Y527" s="3">
        <v>48</v>
      </c>
      <c r="Z527" s="3" t="s">
        <v>38</v>
      </c>
    </row>
    <row r="528" spans="1:26" x14ac:dyDescent="0.3">
      <c r="A528" s="2">
        <v>46237</v>
      </c>
      <c r="B528" s="3" t="s">
        <v>26</v>
      </c>
      <c r="C528" s="3">
        <v>1</v>
      </c>
      <c r="D528" s="4">
        <v>0.375</v>
      </c>
      <c r="E528" s="4">
        <v>0.41666666666666702</v>
      </c>
      <c r="F528" s="3" t="s">
        <v>53</v>
      </c>
      <c r="G528" s="3" t="s">
        <v>68</v>
      </c>
      <c r="H528" s="3" t="s">
        <v>29</v>
      </c>
      <c r="I528" s="3" t="s">
        <v>30</v>
      </c>
      <c r="J528" s="3" t="s">
        <v>84</v>
      </c>
      <c r="K528" s="3" t="s">
        <v>32</v>
      </c>
      <c r="L528" s="5">
        <v>102</v>
      </c>
      <c r="M528" s="5">
        <f t="shared" ca="1" si="40"/>
        <v>81</v>
      </c>
      <c r="N528" s="6">
        <f t="shared" ca="1" si="41"/>
        <v>79.411764705882348</v>
      </c>
      <c r="O528" s="3" cm="1">
        <f t="array" aca="1" ref="O528" ca="1">IFERROR(LOOKUP(2, 1/((F$1:F527=F528)*(J$1:J527=J528)*(ROW(F$1:F527)&lt;ROW(F528))), N$1:N527), "")</f>
        <v>52.941176470588239</v>
      </c>
      <c r="P528" s="3">
        <f t="shared" si="44"/>
        <v>0</v>
      </c>
      <c r="Q528" s="3" t="s">
        <v>33</v>
      </c>
      <c r="R528" s="3" t="s">
        <v>40</v>
      </c>
      <c r="S528" s="3" t="str">
        <f t="shared" si="42"/>
        <v>No</v>
      </c>
      <c r="T528" s="3" t="s">
        <v>34</v>
      </c>
      <c r="U528" s="3" t="str">
        <f t="shared" si="43"/>
        <v>Rainy</v>
      </c>
      <c r="V528" s="3" t="s">
        <v>40</v>
      </c>
      <c r="W528" s="3" cm="1">
        <f t="array" ref="W528">_xlfn.IFS(
OR(F528="Selenium (Hands-on)",F528="Guest Lecture: HR Interview"),6,
OR(F528="Soft Skill",F528="Soft Skill (Examination)",F528="AWS Training",F528="AWS Session"),7,
OR(ISNUMBER(SEARCH("MAD",F528)),ISNUMBER(SEARCH("STQA",F528)),F528="CI/CD Session"),8,
OR(ISNUMBER(SEARCH("Cloud",F528)),F528="Industry Readiness Program",ISNUMBER(SEARCH("Talenlio",F528))),9,
OR(ISNUMBER(SEARCH("Innovation",F528)),F528="Mini Project"),10,
OR(ISNUMBER(SEARCH("Data Science",F528)),ISNUMBER(SEARCH("DS",F528))),11,
ISNUMBER(SEARCH("Generative AI",F528)),12
=_xlfn.IFS(
OR(F528="Selenium (Hands-on)",F528="Guest Lecture: HR Interview"),6,
OR(F528="Soft Skill",F528="Soft Skill (Examination)",F528="AWS Training",F528="AWS Session"),7,
OR(ISNUMBER(SEARCH("MAD",F528)),ISNUMBER(SEARCH("STQA",F528)),F528="CI/CD Session"),8,
OR(ISNUMBER(SEARCH("Cloud",F528)),F528="Industry Readiness Program",ISNUMBER(SEARCH("Talenlio",F528))),9,
OR(ISNUMBER(SEARCH("Innovation",F528)),F528="Mini Project"),10,
OR(ISNUMBER(SEARCH("Data Science",F528)),ISNUMBER(SEARCH("DS",F528))),11,
ISNUMBER(SEARCH("Generative AI",F528)),12
=_xlfn.IFS(
OR(F528="Selenium (Hands-on)",F528="Guest Lecture: HR Interview"),6,
OR(F528="Soft Skill",F528="Soft Skill (Examination)",F528="AWS Training",F528="AWS Session"),7,
OR(ISNUMBER(SEARCH("MAD",F528)),ISNUMBER(SEARCH("STQA",F528)),F528="CI/CD Session"),8,
OR(ISNUMBER(SEARCH("Cloud",F528)),F528="Industry Readiness Program",ISNUMBER(SEARCH("Talenlio",F528))),9,
OR(ISNUMBER(SEARCH("Innovation",F528)),F528="Mini Project"),10,
OR(ISNUMBER(SEARCH("Data Science",F528)),ISNUMBER(SEARCH("DS",F528))),11,
ISNUMBER(SEARCH("Generative AI",F528)),12
=_xlfn.IFS(
OR(F528="Selenium (Hands-on)",F528="Guest Lecture: HR Interview"),6,
OR(F528="Soft Skill",F528="Soft Skill (Examination)",F528="AWS Training",F528="AWS Session"),7,
OR(ISNUMBER(SEARCH("MAD",F528)),ISNUMBER(SEARCH("STQA",F528)),F528="CI/CD Session"),8,
OR(ISNUMBER(SEARCH("Cloud",F528)),F528="Industry Readiness Program",ISNUMBER(SEARCH("Talenlio",F528))),9,
OR(ISNUMBER(SEARCH("Innovation",F528)),F528="Mini Project"),10,
OR(ISNUMBER(SEARCH("Data Science",F528)),ISNUMBER(SEARCH("DS",F528))),11,
ISNUMBER(SEARCH("Generative AI",F528)),12
))))</f>
        <v>10</v>
      </c>
      <c r="X528" s="3">
        <v>8</v>
      </c>
      <c r="Y528" s="3">
        <v>50</v>
      </c>
      <c r="Z528" s="3" t="s">
        <v>35</v>
      </c>
    </row>
    <row r="529" spans="1:26" x14ac:dyDescent="0.3">
      <c r="A529" s="2">
        <v>46237</v>
      </c>
      <c r="B529" s="3" t="s">
        <v>26</v>
      </c>
      <c r="C529" s="3">
        <v>2</v>
      </c>
      <c r="D529" s="4">
        <v>0.41666666666666702</v>
      </c>
      <c r="E529" s="4">
        <v>0.45833333333333298</v>
      </c>
      <c r="F529" s="3" t="s">
        <v>53</v>
      </c>
      <c r="G529" s="3" t="s">
        <v>68</v>
      </c>
      <c r="H529" s="3" t="s">
        <v>29</v>
      </c>
      <c r="I529" s="3" t="s">
        <v>30</v>
      </c>
      <c r="J529" s="3" t="s">
        <v>84</v>
      </c>
      <c r="K529" s="3" t="s">
        <v>32</v>
      </c>
      <c r="L529" s="5">
        <v>102</v>
      </c>
      <c r="M529" s="5">
        <f t="shared" ca="1" si="40"/>
        <v>73</v>
      </c>
      <c r="N529" s="6">
        <f t="shared" ca="1" si="41"/>
        <v>71.568627450980387</v>
      </c>
      <c r="O529" s="3" cm="1">
        <f t="array" aca="1" ref="O529" ca="1">IFERROR(LOOKUP(2, 1/((F$1:F528=F529)*(J$1:J528=J529)*(ROW(F$1:F528)&lt;ROW(F529))), N$1:N528), "")</f>
        <v>79.411764705882348</v>
      </c>
      <c r="P529" s="3">
        <f t="shared" si="44"/>
        <v>0</v>
      </c>
      <c r="Q529" s="3" t="s">
        <v>33</v>
      </c>
      <c r="R529" s="3" t="s">
        <v>40</v>
      </c>
      <c r="S529" s="3" t="str">
        <f t="shared" si="42"/>
        <v>No</v>
      </c>
      <c r="T529" s="3" t="s">
        <v>34</v>
      </c>
      <c r="U529" s="3" t="str">
        <f t="shared" si="43"/>
        <v>Rainy</v>
      </c>
      <c r="V529" s="3" t="s">
        <v>40</v>
      </c>
      <c r="W529" s="3" cm="1">
        <f t="array" ref="W529">_xlfn.IFS(
OR(F529="Selenium (Hands-on)",F529="Guest Lecture: HR Interview"),6,
OR(F529="Soft Skill",F529="Soft Skill (Examination)",F529="AWS Training",F529="AWS Session"),7,
OR(ISNUMBER(SEARCH("MAD",F529)),ISNUMBER(SEARCH("STQA",F529)),F529="CI/CD Session"),8,
OR(ISNUMBER(SEARCH("Cloud",F529)),F529="Industry Readiness Program",ISNUMBER(SEARCH("Talenlio",F529))),9,
OR(ISNUMBER(SEARCH("Innovation",F529)),F529="Mini Project"),10,
OR(ISNUMBER(SEARCH("Data Science",F529)),ISNUMBER(SEARCH("DS",F529))),11,
ISNUMBER(SEARCH("Generative AI",F529)),12
=_xlfn.IFS(
OR(F529="Selenium (Hands-on)",F529="Guest Lecture: HR Interview"),6,
OR(F529="Soft Skill",F529="Soft Skill (Examination)",F529="AWS Training",F529="AWS Session"),7,
OR(ISNUMBER(SEARCH("MAD",F529)),ISNUMBER(SEARCH("STQA",F529)),F529="CI/CD Session"),8,
OR(ISNUMBER(SEARCH("Cloud",F529)),F529="Industry Readiness Program",ISNUMBER(SEARCH("Talenlio",F529))),9,
OR(ISNUMBER(SEARCH("Innovation",F529)),F529="Mini Project"),10,
OR(ISNUMBER(SEARCH("Data Science",F529)),ISNUMBER(SEARCH("DS",F529))),11,
ISNUMBER(SEARCH("Generative AI",F529)),12
=_xlfn.IFS(
OR(F529="Selenium (Hands-on)",F529="Guest Lecture: HR Interview"),6,
OR(F529="Soft Skill",F529="Soft Skill (Examination)",F529="AWS Training",F529="AWS Session"),7,
OR(ISNUMBER(SEARCH("MAD",F529)),ISNUMBER(SEARCH("STQA",F529)),F529="CI/CD Session"),8,
OR(ISNUMBER(SEARCH("Cloud",F529)),F529="Industry Readiness Program",ISNUMBER(SEARCH("Talenlio",F529))),9,
OR(ISNUMBER(SEARCH("Innovation",F529)),F529="Mini Project"),10,
OR(ISNUMBER(SEARCH("Data Science",F529)),ISNUMBER(SEARCH("DS",F529))),11,
ISNUMBER(SEARCH("Generative AI",F529)),12
=_xlfn.IFS(
OR(F529="Selenium (Hands-on)",F529="Guest Lecture: HR Interview"),6,
OR(F529="Soft Skill",F529="Soft Skill (Examination)",F529="AWS Training",F529="AWS Session"),7,
OR(ISNUMBER(SEARCH("MAD",F529)),ISNUMBER(SEARCH("STQA",F529)),F529="CI/CD Session"),8,
OR(ISNUMBER(SEARCH("Cloud",F529)),F529="Industry Readiness Program",ISNUMBER(SEARCH("Talenlio",F529))),9,
OR(ISNUMBER(SEARCH("Innovation",F529)),F529="Mini Project"),10,
OR(ISNUMBER(SEARCH("Data Science",F529)),ISNUMBER(SEARCH("DS",F529))),11,
ISNUMBER(SEARCH("Generative AI",F529)),12
))))</f>
        <v>10</v>
      </c>
      <c r="X529" s="3">
        <v>8</v>
      </c>
      <c r="Y529" s="3">
        <v>50</v>
      </c>
      <c r="Z529" s="3" t="s">
        <v>35</v>
      </c>
    </row>
    <row r="530" spans="1:26" x14ac:dyDescent="0.3">
      <c r="A530" s="2">
        <v>46237</v>
      </c>
      <c r="B530" s="3" t="s">
        <v>26</v>
      </c>
      <c r="C530" s="3">
        <v>3</v>
      </c>
      <c r="D530" s="4">
        <v>0.45833333333333298</v>
      </c>
      <c r="E530" s="4">
        <v>0.52083333333333304</v>
      </c>
      <c r="F530" s="3" t="s">
        <v>59</v>
      </c>
      <c r="G530" s="3" t="s">
        <v>73</v>
      </c>
      <c r="H530" s="3" t="s">
        <v>29</v>
      </c>
      <c r="I530" s="3" t="s">
        <v>30</v>
      </c>
      <c r="J530" s="3" t="s">
        <v>84</v>
      </c>
      <c r="K530" s="3" t="s">
        <v>52</v>
      </c>
      <c r="L530" s="5">
        <v>102</v>
      </c>
      <c r="M530" s="5">
        <f t="shared" ca="1" si="40"/>
        <v>99</v>
      </c>
      <c r="N530" s="6">
        <f t="shared" ca="1" si="41"/>
        <v>97.058823529411768</v>
      </c>
      <c r="O530" s="3" cm="1">
        <f t="array" aca="1" ref="O530" ca="1">IFERROR(LOOKUP(2, 1/((F$1:F529=F530)*(J$1:J529=J530)*(ROW(F$1:F529)&lt;ROW(F530))), N$1:N529), "")</f>
        <v>75.490196078431367</v>
      </c>
      <c r="P530" s="3">
        <f t="shared" si="44"/>
        <v>0</v>
      </c>
      <c r="Q530" s="3" t="s">
        <v>33</v>
      </c>
      <c r="R530" s="3" t="s">
        <v>40</v>
      </c>
      <c r="S530" s="3" t="str">
        <f t="shared" si="42"/>
        <v>No</v>
      </c>
      <c r="T530" s="3" t="s">
        <v>34</v>
      </c>
      <c r="U530" s="3" t="str">
        <f t="shared" si="43"/>
        <v>Rainy</v>
      </c>
      <c r="V530" s="3" t="s">
        <v>40</v>
      </c>
      <c r="W530" s="3" cm="1">
        <f t="array" ref="W530">_xlfn.IFS(
OR(F530="Selenium (Hands-on)",F530="Guest Lecture: HR Interview"),6,
OR(F530="Soft Skill",F530="Soft Skill (Examination)",F530="AWS Training",F530="AWS Session"),7,
OR(ISNUMBER(SEARCH("MAD",F530)),ISNUMBER(SEARCH("STQA",F530)),F530="CI/CD Session"),8,
OR(ISNUMBER(SEARCH("Cloud",F530)),F530="Industry Readiness Program",ISNUMBER(SEARCH("Talenlio",F530))),9,
OR(ISNUMBER(SEARCH("Innovation",F530)),F530="Mini Project"),10,
OR(ISNUMBER(SEARCH("Data Science",F530)),ISNUMBER(SEARCH("DS",F530))),11,
ISNUMBER(SEARCH("Generative AI",F530)),12
=_xlfn.IFS(
OR(F530="Selenium (Hands-on)",F530="Guest Lecture: HR Interview"),6,
OR(F530="Soft Skill",F530="Soft Skill (Examination)",F530="AWS Training",F530="AWS Session"),7,
OR(ISNUMBER(SEARCH("MAD",F530)),ISNUMBER(SEARCH("STQA",F530)),F530="CI/CD Session"),8,
OR(ISNUMBER(SEARCH("Cloud",F530)),F530="Industry Readiness Program",ISNUMBER(SEARCH("Talenlio",F530))),9,
OR(ISNUMBER(SEARCH("Innovation",F530)),F530="Mini Project"),10,
OR(ISNUMBER(SEARCH("Data Science",F530)),ISNUMBER(SEARCH("DS",F530))),11,
ISNUMBER(SEARCH("Generative AI",F530)),12
=_xlfn.IFS(
OR(F530="Selenium (Hands-on)",F530="Guest Lecture: HR Interview"),6,
OR(F530="Soft Skill",F530="Soft Skill (Examination)",F530="AWS Training",F530="AWS Session"),7,
OR(ISNUMBER(SEARCH("MAD",F530)),ISNUMBER(SEARCH("STQA",F530)),F530="CI/CD Session"),8,
OR(ISNUMBER(SEARCH("Cloud",F530)),F530="Industry Readiness Program",ISNUMBER(SEARCH("Talenlio",F530))),9,
OR(ISNUMBER(SEARCH("Innovation",F530)),F530="Mini Project"),10,
OR(ISNUMBER(SEARCH("Data Science",F530)),ISNUMBER(SEARCH("DS",F530))),11,
ISNUMBER(SEARCH("Generative AI",F530)),12
=_xlfn.IFS(
OR(F530="Selenium (Hands-on)",F530="Guest Lecture: HR Interview"),6,
OR(F530="Soft Skill",F530="Soft Skill (Examination)",F530="AWS Training",F530="AWS Session"),7,
OR(ISNUMBER(SEARCH("MAD",F530)),ISNUMBER(SEARCH("STQA",F530)),F530="CI/CD Session"),8,
OR(ISNUMBER(SEARCH("Cloud",F530)),F530="Industry Readiness Program",ISNUMBER(SEARCH("Talenlio",F530))),9,
OR(ISNUMBER(SEARCH("Innovation",F530)),F530="Mini Project"),10,
OR(ISNUMBER(SEARCH("Data Science",F530)),ISNUMBER(SEARCH("DS",F530))),11,
ISNUMBER(SEARCH("Generative AI",F530)),12
))))</f>
        <v>11</v>
      </c>
      <c r="X530" s="3">
        <v>8</v>
      </c>
      <c r="Y530" s="3">
        <v>50</v>
      </c>
      <c r="Z530" s="3" t="s">
        <v>35</v>
      </c>
    </row>
    <row r="531" spans="1:26" x14ac:dyDescent="0.3">
      <c r="A531" s="2">
        <v>46237</v>
      </c>
      <c r="B531" s="3" t="s">
        <v>26</v>
      </c>
      <c r="C531" s="3">
        <v>4</v>
      </c>
      <c r="D531" s="4">
        <v>0.5625</v>
      </c>
      <c r="E531" s="4">
        <v>0.60416666666666696</v>
      </c>
      <c r="F531" s="3" t="s">
        <v>79</v>
      </c>
      <c r="G531" s="3" t="s">
        <v>289</v>
      </c>
      <c r="H531" s="3" t="s">
        <v>29</v>
      </c>
      <c r="I531" s="3" t="s">
        <v>30</v>
      </c>
      <c r="J531" s="3" t="s">
        <v>84</v>
      </c>
      <c r="K531" s="3" t="s">
        <v>52</v>
      </c>
      <c r="L531" s="5">
        <v>102</v>
      </c>
      <c r="M531" s="5">
        <f t="shared" ca="1" si="40"/>
        <v>60</v>
      </c>
      <c r="N531" s="6">
        <f t="shared" ca="1" si="41"/>
        <v>58.82352941176471</v>
      </c>
      <c r="O531" s="3">
        <v>30.145644999999998</v>
      </c>
      <c r="P531" s="3">
        <f t="shared" si="44"/>
        <v>1</v>
      </c>
      <c r="Q531" s="3" t="s">
        <v>43</v>
      </c>
      <c r="R531" s="3" t="s">
        <v>40</v>
      </c>
      <c r="S531" s="3" t="str">
        <f t="shared" si="42"/>
        <v>No</v>
      </c>
      <c r="T531" s="3" t="s">
        <v>34</v>
      </c>
      <c r="U531" s="3" t="str">
        <f t="shared" si="43"/>
        <v>Rainy</v>
      </c>
      <c r="V531" s="3" t="s">
        <v>40</v>
      </c>
      <c r="W531" s="3" cm="1">
        <f t="array" ref="W531">_xlfn.IFS(
OR(F531="Selenium (Hands-on)",F531="Guest Lecture: HR Interview"),6,
OR(F531="Soft Skill",F531="Soft Skill (Examination)",F531="AWS Training",F531="AWS Session"),7,
OR(ISNUMBER(SEARCH("MAD",F531)),ISNUMBER(SEARCH("STQA",F531)),F531="CI/CD Session"),8,
OR(ISNUMBER(SEARCH("Cloud",F531)),F531="Industry Readiness Program",ISNUMBER(SEARCH("Talenlio",F531))),9,
OR(ISNUMBER(SEARCH("Innovation",F531)),F531="Mini Project"),10,
OR(ISNUMBER(SEARCH("Data Science",F531)),ISNUMBER(SEARCH("DS",F531))),11,
ISNUMBER(SEARCH("Generative AI",F531)),12
=_xlfn.IFS(
OR(F531="Selenium (Hands-on)",F531="Guest Lecture: HR Interview"),6,
OR(F531="Soft Skill",F531="Soft Skill (Examination)",F531="AWS Training",F531="AWS Session"),7,
OR(ISNUMBER(SEARCH("MAD",F531)),ISNUMBER(SEARCH("STQA",F531)),F531="CI/CD Session"),8,
OR(ISNUMBER(SEARCH("Cloud",F531)),F531="Industry Readiness Program",ISNUMBER(SEARCH("Talenlio",F531))),9,
OR(ISNUMBER(SEARCH("Innovation",F531)),F531="Mini Project"),10,
OR(ISNUMBER(SEARCH("Data Science",F531)),ISNUMBER(SEARCH("DS",F531))),11,
ISNUMBER(SEARCH("Generative AI",F531)),12
=_xlfn.IFS(
OR(F531="Selenium (Hands-on)",F531="Guest Lecture: HR Interview"),6,
OR(F531="Soft Skill",F531="Soft Skill (Examination)",F531="AWS Training",F531="AWS Session"),7,
OR(ISNUMBER(SEARCH("MAD",F531)),ISNUMBER(SEARCH("STQA",F531)),F531="CI/CD Session"),8,
OR(ISNUMBER(SEARCH("Cloud",F531)),F531="Industry Readiness Program",ISNUMBER(SEARCH("Talenlio",F531))),9,
OR(ISNUMBER(SEARCH("Innovation",F531)),F531="Mini Project"),10,
OR(ISNUMBER(SEARCH("Data Science",F531)),ISNUMBER(SEARCH("DS",F531))),11,
ISNUMBER(SEARCH("Generative AI",F531)),12
=_xlfn.IFS(
OR(F531="Selenium (Hands-on)",F531="Guest Lecture: HR Interview"),6,
OR(F531="Soft Skill",F531="Soft Skill (Examination)",F531="AWS Training",F531="AWS Session"),7,
OR(ISNUMBER(SEARCH("MAD",F531)),ISNUMBER(SEARCH("STQA",F531)),F531="CI/CD Session"),8,
OR(ISNUMBER(SEARCH("Cloud",F531)),F531="Industry Readiness Program",ISNUMBER(SEARCH("Talenlio",F531))),9,
OR(ISNUMBER(SEARCH("Innovation",F531)),F531="Mini Project"),10,
OR(ISNUMBER(SEARCH("Data Science",F531)),ISNUMBER(SEARCH("DS",F531))),11,
ISNUMBER(SEARCH("Generative AI",F531)),12
))))</f>
        <v>7</v>
      </c>
      <c r="X531" s="3">
        <v>8</v>
      </c>
      <c r="Y531" s="3">
        <v>50</v>
      </c>
      <c r="Z531" s="3" t="s">
        <v>38</v>
      </c>
    </row>
    <row r="532" spans="1:26" x14ac:dyDescent="0.3">
      <c r="A532" s="2">
        <v>46237</v>
      </c>
      <c r="B532" s="3" t="s">
        <v>26</v>
      </c>
      <c r="C532" s="3">
        <v>5</v>
      </c>
      <c r="D532" s="4">
        <v>0.60416666666666696</v>
      </c>
      <c r="E532" s="4">
        <v>0.64583333333333304</v>
      </c>
      <c r="F532" s="3" t="s">
        <v>79</v>
      </c>
      <c r="G532" s="3" t="s">
        <v>289</v>
      </c>
      <c r="H532" s="3" t="s">
        <v>29</v>
      </c>
      <c r="I532" s="3" t="s">
        <v>30</v>
      </c>
      <c r="J532" s="3" t="s">
        <v>84</v>
      </c>
      <c r="K532" s="3" t="s">
        <v>52</v>
      </c>
      <c r="L532" s="5">
        <v>102</v>
      </c>
      <c r="M532" s="5">
        <f t="shared" ca="1" si="40"/>
        <v>71</v>
      </c>
      <c r="N532" s="6">
        <f t="shared" ca="1" si="41"/>
        <v>69.607843137254903</v>
      </c>
      <c r="O532" s="3" cm="1">
        <f t="array" aca="1" ref="O532" ca="1">IFERROR(LOOKUP(2, 1/((F$1:F531=F532)*(J$1:J531=J532)*(ROW(F$1:F531)&lt;ROW(F532))), N$1:N531), "")</f>
        <v>58.82352941176471</v>
      </c>
      <c r="P532" s="3">
        <f t="shared" si="44"/>
        <v>0</v>
      </c>
      <c r="Q532" s="3" t="s">
        <v>43</v>
      </c>
      <c r="R532" s="3" t="s">
        <v>40</v>
      </c>
      <c r="S532" s="3" t="str">
        <f t="shared" si="42"/>
        <v>No</v>
      </c>
      <c r="T532" s="3" t="s">
        <v>34</v>
      </c>
      <c r="U532" s="3" t="str">
        <f t="shared" si="43"/>
        <v>Rainy</v>
      </c>
      <c r="V532" s="3" t="s">
        <v>40</v>
      </c>
      <c r="W532" s="3" cm="1">
        <f t="array" ref="W532">_xlfn.IFS(
OR(F532="Selenium (Hands-on)",F532="Guest Lecture: HR Interview"),6,
OR(F532="Soft Skill",F532="Soft Skill (Examination)",F532="AWS Training",F532="AWS Session"),7,
OR(ISNUMBER(SEARCH("MAD",F532)),ISNUMBER(SEARCH("STQA",F532)),F532="CI/CD Session"),8,
OR(ISNUMBER(SEARCH("Cloud",F532)),F532="Industry Readiness Program",ISNUMBER(SEARCH("Talenlio",F532))),9,
OR(ISNUMBER(SEARCH("Innovation",F532)),F532="Mini Project"),10,
OR(ISNUMBER(SEARCH("Data Science",F532)),ISNUMBER(SEARCH("DS",F532))),11,
ISNUMBER(SEARCH("Generative AI",F532)),12
=_xlfn.IFS(
OR(F532="Selenium (Hands-on)",F532="Guest Lecture: HR Interview"),6,
OR(F532="Soft Skill",F532="Soft Skill (Examination)",F532="AWS Training",F532="AWS Session"),7,
OR(ISNUMBER(SEARCH("MAD",F532)),ISNUMBER(SEARCH("STQA",F532)),F532="CI/CD Session"),8,
OR(ISNUMBER(SEARCH("Cloud",F532)),F532="Industry Readiness Program",ISNUMBER(SEARCH("Talenlio",F532))),9,
OR(ISNUMBER(SEARCH("Innovation",F532)),F532="Mini Project"),10,
OR(ISNUMBER(SEARCH("Data Science",F532)),ISNUMBER(SEARCH("DS",F532))),11,
ISNUMBER(SEARCH("Generative AI",F532)),12
=_xlfn.IFS(
OR(F532="Selenium (Hands-on)",F532="Guest Lecture: HR Interview"),6,
OR(F532="Soft Skill",F532="Soft Skill (Examination)",F532="AWS Training",F532="AWS Session"),7,
OR(ISNUMBER(SEARCH("MAD",F532)),ISNUMBER(SEARCH("STQA",F532)),F532="CI/CD Session"),8,
OR(ISNUMBER(SEARCH("Cloud",F532)),F532="Industry Readiness Program",ISNUMBER(SEARCH("Talenlio",F532))),9,
OR(ISNUMBER(SEARCH("Innovation",F532)),F532="Mini Project"),10,
OR(ISNUMBER(SEARCH("Data Science",F532)),ISNUMBER(SEARCH("DS",F532))),11,
ISNUMBER(SEARCH("Generative AI",F532)),12
=_xlfn.IFS(
OR(F532="Selenium (Hands-on)",F532="Guest Lecture: HR Interview"),6,
OR(F532="Soft Skill",F532="Soft Skill (Examination)",F532="AWS Training",F532="AWS Session"),7,
OR(ISNUMBER(SEARCH("MAD",F532)),ISNUMBER(SEARCH("STQA",F532)),F532="CI/CD Session"),8,
OR(ISNUMBER(SEARCH("Cloud",F532)),F532="Industry Readiness Program",ISNUMBER(SEARCH("Talenlio",F532))),9,
OR(ISNUMBER(SEARCH("Innovation",F532)),F532="Mini Project"),10,
OR(ISNUMBER(SEARCH("Data Science",F532)),ISNUMBER(SEARCH("DS",F532))),11,
ISNUMBER(SEARCH("Generative AI",F532)),12
))))</f>
        <v>7</v>
      </c>
      <c r="X532" s="3">
        <v>8</v>
      </c>
      <c r="Y532" s="3">
        <v>50</v>
      </c>
      <c r="Z532" s="3" t="s">
        <v>38</v>
      </c>
    </row>
    <row r="533" spans="1:26" x14ac:dyDescent="0.3">
      <c r="A533" s="2">
        <v>46237</v>
      </c>
      <c r="B533" s="3" t="s">
        <v>26</v>
      </c>
      <c r="C533" s="3">
        <v>6</v>
      </c>
      <c r="D533" s="4">
        <v>0.64583333333333304</v>
      </c>
      <c r="E533" s="4">
        <v>0.6875</v>
      </c>
      <c r="F533" s="3" t="s">
        <v>79</v>
      </c>
      <c r="G533" s="3" t="s">
        <v>289</v>
      </c>
      <c r="H533" s="3" t="s">
        <v>29</v>
      </c>
      <c r="I533" s="3" t="s">
        <v>30</v>
      </c>
      <c r="J533" s="3" t="s">
        <v>84</v>
      </c>
      <c r="K533" s="3" t="s">
        <v>52</v>
      </c>
      <c r="L533" s="5">
        <v>102</v>
      </c>
      <c r="M533" s="5">
        <f t="shared" ca="1" si="40"/>
        <v>65</v>
      </c>
      <c r="N533" s="6">
        <f t="shared" ca="1" si="41"/>
        <v>63.725490196078425</v>
      </c>
      <c r="O533" s="3" cm="1">
        <f t="array" aca="1" ref="O533" ca="1">IFERROR(LOOKUP(2, 1/((F$1:F532=F533)*(J$1:J532=J533)*(ROW(F$1:F532)&lt;ROW(F533))), N$1:N532), "")</f>
        <v>69.607843137254903</v>
      </c>
      <c r="P533" s="3">
        <f t="shared" si="44"/>
        <v>0</v>
      </c>
      <c r="Q533" s="3" t="s">
        <v>43</v>
      </c>
      <c r="R533" s="3" t="s">
        <v>40</v>
      </c>
      <c r="S533" s="3" t="str">
        <f t="shared" si="42"/>
        <v>No</v>
      </c>
      <c r="T533" s="3" t="s">
        <v>34</v>
      </c>
      <c r="U533" s="3" t="str">
        <f t="shared" si="43"/>
        <v>Rainy</v>
      </c>
      <c r="V533" s="3" t="s">
        <v>40</v>
      </c>
      <c r="W533" s="3" cm="1">
        <f t="array" ref="W533">_xlfn.IFS(
OR(F533="Selenium (Hands-on)",F533="Guest Lecture: HR Interview"),6,
OR(F533="Soft Skill",F533="Soft Skill (Examination)",F533="AWS Training",F533="AWS Session"),7,
OR(ISNUMBER(SEARCH("MAD",F533)),ISNUMBER(SEARCH("STQA",F533)),F533="CI/CD Session"),8,
OR(ISNUMBER(SEARCH("Cloud",F533)),F533="Industry Readiness Program",ISNUMBER(SEARCH("Talenlio",F533))),9,
OR(ISNUMBER(SEARCH("Innovation",F533)),F533="Mini Project"),10,
OR(ISNUMBER(SEARCH("Data Science",F533)),ISNUMBER(SEARCH("DS",F533))),11,
ISNUMBER(SEARCH("Generative AI",F533)),12
=_xlfn.IFS(
OR(F533="Selenium (Hands-on)",F533="Guest Lecture: HR Interview"),6,
OR(F533="Soft Skill",F533="Soft Skill (Examination)",F533="AWS Training",F533="AWS Session"),7,
OR(ISNUMBER(SEARCH("MAD",F533)),ISNUMBER(SEARCH("STQA",F533)),F533="CI/CD Session"),8,
OR(ISNUMBER(SEARCH("Cloud",F533)),F533="Industry Readiness Program",ISNUMBER(SEARCH("Talenlio",F533))),9,
OR(ISNUMBER(SEARCH("Innovation",F533)),F533="Mini Project"),10,
OR(ISNUMBER(SEARCH("Data Science",F533)),ISNUMBER(SEARCH("DS",F533))),11,
ISNUMBER(SEARCH("Generative AI",F533)),12
=_xlfn.IFS(
OR(F533="Selenium (Hands-on)",F533="Guest Lecture: HR Interview"),6,
OR(F533="Soft Skill",F533="Soft Skill (Examination)",F533="AWS Training",F533="AWS Session"),7,
OR(ISNUMBER(SEARCH("MAD",F533)),ISNUMBER(SEARCH("STQA",F533)),F533="CI/CD Session"),8,
OR(ISNUMBER(SEARCH("Cloud",F533)),F533="Industry Readiness Program",ISNUMBER(SEARCH("Talenlio",F533))),9,
OR(ISNUMBER(SEARCH("Innovation",F533)),F533="Mini Project"),10,
OR(ISNUMBER(SEARCH("Data Science",F533)),ISNUMBER(SEARCH("DS",F533))),11,
ISNUMBER(SEARCH("Generative AI",F533)),12
=_xlfn.IFS(
OR(F533="Selenium (Hands-on)",F533="Guest Lecture: HR Interview"),6,
OR(F533="Soft Skill",F533="Soft Skill (Examination)",F533="AWS Training",F533="AWS Session"),7,
OR(ISNUMBER(SEARCH("MAD",F533)),ISNUMBER(SEARCH("STQA",F533)),F533="CI/CD Session"),8,
OR(ISNUMBER(SEARCH("Cloud",F533)),F533="Industry Readiness Program",ISNUMBER(SEARCH("Talenlio",F533))),9,
OR(ISNUMBER(SEARCH("Innovation",F533)),F533="Mini Project"),10,
OR(ISNUMBER(SEARCH("Data Science",F533)),ISNUMBER(SEARCH("DS",F533))),11,
ISNUMBER(SEARCH("Generative AI",F533)),12
))))</f>
        <v>7</v>
      </c>
      <c r="X533" s="3">
        <v>8</v>
      </c>
      <c r="Y533" s="3">
        <v>50</v>
      </c>
      <c r="Z533" s="3" t="s">
        <v>38</v>
      </c>
    </row>
    <row r="534" spans="1:26" x14ac:dyDescent="0.3">
      <c r="A534" s="2">
        <v>46238</v>
      </c>
      <c r="B534" s="3" t="s">
        <v>39</v>
      </c>
      <c r="C534" s="3">
        <v>1</v>
      </c>
      <c r="D534" s="4">
        <v>0.35416666666666702</v>
      </c>
      <c r="E534" s="4">
        <v>0.38541666666666702</v>
      </c>
      <c r="F534" s="3" t="s">
        <v>50</v>
      </c>
      <c r="G534" s="3" t="s">
        <v>51</v>
      </c>
      <c r="H534" s="3" t="s">
        <v>29</v>
      </c>
      <c r="I534" s="3" t="s">
        <v>30</v>
      </c>
      <c r="J534" s="3" t="s">
        <v>84</v>
      </c>
      <c r="K534" s="3" t="s">
        <v>52</v>
      </c>
      <c r="L534" s="5">
        <v>102</v>
      </c>
      <c r="M534" s="5">
        <f t="shared" ca="1" si="40"/>
        <v>61</v>
      </c>
      <c r="N534" s="6">
        <f t="shared" ca="1" si="41"/>
        <v>59.803921568627452</v>
      </c>
      <c r="O534" s="3" cm="1">
        <f t="array" aca="1" ref="O534" ca="1">IFERROR(LOOKUP(2, 1/((F$1:F533=F534)*(J$1:J533=J534)*(ROW(F$1:F533)&lt;ROW(F534))), N$1:N533), "")</f>
        <v>42.156862745098039</v>
      </c>
      <c r="P534" s="3">
        <f t="shared" si="44"/>
        <v>0</v>
      </c>
      <c r="Q534" s="3" t="s">
        <v>43</v>
      </c>
      <c r="R534" s="3" t="s">
        <v>40</v>
      </c>
      <c r="S534" s="3" t="str">
        <f t="shared" si="42"/>
        <v>No</v>
      </c>
      <c r="T534" s="3" t="s">
        <v>40</v>
      </c>
      <c r="U534" s="3" t="str">
        <f t="shared" si="43"/>
        <v>Rainy</v>
      </c>
      <c r="V534" s="3" t="s">
        <v>40</v>
      </c>
      <c r="W534" s="3" cm="1">
        <f t="array" ref="W534">_xlfn.IFS(
OR(F534="Selenium (Hands-on)",F534="Guest Lecture: HR Interview"),6,
OR(F534="Soft Skill",F534="Soft Skill (Examination)",F534="AWS Training",F534="AWS Session"),7,
OR(ISNUMBER(SEARCH("MAD",F534)),ISNUMBER(SEARCH("STQA",F534)),F534="CI/CD Session"),8,
OR(ISNUMBER(SEARCH("Cloud",F534)),F534="Industry Readiness Program",ISNUMBER(SEARCH("Talenlio",F534))),9,
OR(ISNUMBER(SEARCH("Innovation",F534)),F534="Mini Project"),10,
OR(ISNUMBER(SEARCH("Data Science",F534)),ISNUMBER(SEARCH("DS",F534))),11,
ISNUMBER(SEARCH("Generative AI",F534)),12
=_xlfn.IFS(
OR(F534="Selenium (Hands-on)",F534="Guest Lecture: HR Interview"),6,
OR(F534="Soft Skill",F534="Soft Skill (Examination)",F534="AWS Training",F534="AWS Session"),7,
OR(ISNUMBER(SEARCH("MAD",F534)),ISNUMBER(SEARCH("STQA",F534)),F534="CI/CD Session"),8,
OR(ISNUMBER(SEARCH("Cloud",F534)),F534="Industry Readiness Program",ISNUMBER(SEARCH("Talenlio",F534))),9,
OR(ISNUMBER(SEARCH("Innovation",F534)),F534="Mini Project"),10,
OR(ISNUMBER(SEARCH("Data Science",F534)),ISNUMBER(SEARCH("DS",F534))),11,
ISNUMBER(SEARCH("Generative AI",F534)),12
=_xlfn.IFS(
OR(F534="Selenium (Hands-on)",F534="Guest Lecture: HR Interview"),6,
OR(F534="Soft Skill",F534="Soft Skill (Examination)",F534="AWS Training",F534="AWS Session"),7,
OR(ISNUMBER(SEARCH("MAD",F534)),ISNUMBER(SEARCH("STQA",F534)),F534="CI/CD Session"),8,
OR(ISNUMBER(SEARCH("Cloud",F534)),F534="Industry Readiness Program",ISNUMBER(SEARCH("Talenlio",F534))),9,
OR(ISNUMBER(SEARCH("Innovation",F534)),F534="Mini Project"),10,
OR(ISNUMBER(SEARCH("Data Science",F534)),ISNUMBER(SEARCH("DS",F534))),11,
ISNUMBER(SEARCH("Generative AI",F534)),12
=_xlfn.IFS(
OR(F534="Selenium (Hands-on)",F534="Guest Lecture: HR Interview"),6,
OR(F534="Soft Skill",F534="Soft Skill (Examination)",F534="AWS Training",F534="AWS Session"),7,
OR(ISNUMBER(SEARCH("MAD",F534)),ISNUMBER(SEARCH("STQA",F534)),F534="CI/CD Session"),8,
OR(ISNUMBER(SEARCH("Cloud",F534)),F534="Industry Readiness Program",ISNUMBER(SEARCH("Talenlio",F534))),9,
OR(ISNUMBER(SEARCH("Innovation",F534)),F534="Mini Project"),10,
OR(ISNUMBER(SEARCH("Data Science",F534)),ISNUMBER(SEARCH("DS",F534))),11,
ISNUMBER(SEARCH("Generative AI",F534)),12
))))</f>
        <v>8</v>
      </c>
      <c r="X534" s="3">
        <v>8</v>
      </c>
      <c r="Y534" s="3">
        <v>51</v>
      </c>
      <c r="Z534" s="3" t="s">
        <v>35</v>
      </c>
    </row>
    <row r="535" spans="1:26" x14ac:dyDescent="0.3">
      <c r="A535" s="2">
        <v>46238</v>
      </c>
      <c r="B535" s="3" t="s">
        <v>39</v>
      </c>
      <c r="C535" s="3">
        <v>2</v>
      </c>
      <c r="D535" s="4">
        <v>0.38541666666666702</v>
      </c>
      <c r="E535" s="4">
        <v>0.42708333333333298</v>
      </c>
      <c r="F535" s="3" t="s">
        <v>50</v>
      </c>
      <c r="G535" s="3" t="s">
        <v>51</v>
      </c>
      <c r="H535" s="3" t="s">
        <v>29</v>
      </c>
      <c r="I535" s="3" t="s">
        <v>30</v>
      </c>
      <c r="J535" s="3" t="s">
        <v>84</v>
      </c>
      <c r="K535" s="3" t="s">
        <v>52</v>
      </c>
      <c r="L535" s="5">
        <v>102</v>
      </c>
      <c r="M535" s="5">
        <f t="shared" ca="1" si="40"/>
        <v>62</v>
      </c>
      <c r="N535" s="6">
        <f t="shared" ca="1" si="41"/>
        <v>60.784313725490193</v>
      </c>
      <c r="O535" s="3" cm="1">
        <f t="array" aca="1" ref="O535" ca="1">IFERROR(LOOKUP(2, 1/((F$1:F534=F535)*(J$1:J534=J535)*(ROW(F$1:F534)&lt;ROW(F535))), N$1:N534), "")</f>
        <v>59.803921568627452</v>
      </c>
      <c r="P535" s="3">
        <f t="shared" si="44"/>
        <v>0</v>
      </c>
      <c r="Q535" s="3" t="s">
        <v>43</v>
      </c>
      <c r="R535" s="3" t="s">
        <v>40</v>
      </c>
      <c r="S535" s="3" t="str">
        <f t="shared" si="42"/>
        <v>No</v>
      </c>
      <c r="T535" s="3" t="s">
        <v>40</v>
      </c>
      <c r="U535" s="3" t="str">
        <f t="shared" si="43"/>
        <v>Rainy</v>
      </c>
      <c r="V535" s="3" t="s">
        <v>40</v>
      </c>
      <c r="W535" s="3" cm="1">
        <f t="array" ref="W535">_xlfn.IFS(
OR(F535="Selenium (Hands-on)",F535="Guest Lecture: HR Interview"),6,
OR(F535="Soft Skill",F535="Soft Skill (Examination)",F535="AWS Training",F535="AWS Session"),7,
OR(ISNUMBER(SEARCH("MAD",F535)),ISNUMBER(SEARCH("STQA",F535)),F535="CI/CD Session"),8,
OR(ISNUMBER(SEARCH("Cloud",F535)),F535="Industry Readiness Program",ISNUMBER(SEARCH("Talenlio",F535))),9,
OR(ISNUMBER(SEARCH("Innovation",F535)),F535="Mini Project"),10,
OR(ISNUMBER(SEARCH("Data Science",F535)),ISNUMBER(SEARCH("DS",F535))),11,
ISNUMBER(SEARCH("Generative AI",F535)),12
=_xlfn.IFS(
OR(F535="Selenium (Hands-on)",F535="Guest Lecture: HR Interview"),6,
OR(F535="Soft Skill",F535="Soft Skill (Examination)",F535="AWS Training",F535="AWS Session"),7,
OR(ISNUMBER(SEARCH("MAD",F535)),ISNUMBER(SEARCH("STQA",F535)),F535="CI/CD Session"),8,
OR(ISNUMBER(SEARCH("Cloud",F535)),F535="Industry Readiness Program",ISNUMBER(SEARCH("Talenlio",F535))),9,
OR(ISNUMBER(SEARCH("Innovation",F535)),F535="Mini Project"),10,
OR(ISNUMBER(SEARCH("Data Science",F535)),ISNUMBER(SEARCH("DS",F535))),11,
ISNUMBER(SEARCH("Generative AI",F535)),12
=_xlfn.IFS(
OR(F535="Selenium (Hands-on)",F535="Guest Lecture: HR Interview"),6,
OR(F535="Soft Skill",F535="Soft Skill (Examination)",F535="AWS Training",F535="AWS Session"),7,
OR(ISNUMBER(SEARCH("MAD",F535)),ISNUMBER(SEARCH("STQA",F535)),F535="CI/CD Session"),8,
OR(ISNUMBER(SEARCH("Cloud",F535)),F535="Industry Readiness Program",ISNUMBER(SEARCH("Talenlio",F535))),9,
OR(ISNUMBER(SEARCH("Innovation",F535)),F535="Mini Project"),10,
OR(ISNUMBER(SEARCH("Data Science",F535)),ISNUMBER(SEARCH("DS",F535))),11,
ISNUMBER(SEARCH("Generative AI",F535)),12
=_xlfn.IFS(
OR(F535="Selenium (Hands-on)",F535="Guest Lecture: HR Interview"),6,
OR(F535="Soft Skill",F535="Soft Skill (Examination)",F535="AWS Training",F535="AWS Session"),7,
OR(ISNUMBER(SEARCH("MAD",F535)),ISNUMBER(SEARCH("STQA",F535)),F535="CI/CD Session"),8,
OR(ISNUMBER(SEARCH("Cloud",F535)),F535="Industry Readiness Program",ISNUMBER(SEARCH("Talenlio",F535))),9,
OR(ISNUMBER(SEARCH("Innovation",F535)),F535="Mini Project"),10,
OR(ISNUMBER(SEARCH("Data Science",F535)),ISNUMBER(SEARCH("DS",F535))),11,
ISNUMBER(SEARCH("Generative AI",F535)),12
))))</f>
        <v>8</v>
      </c>
      <c r="X535" s="3">
        <v>8</v>
      </c>
      <c r="Y535" s="3">
        <v>51</v>
      </c>
      <c r="Z535" s="3" t="s">
        <v>35</v>
      </c>
    </row>
    <row r="536" spans="1:26" x14ac:dyDescent="0.3">
      <c r="A536" s="2">
        <v>46238</v>
      </c>
      <c r="B536" s="3" t="s">
        <v>39</v>
      </c>
      <c r="C536" s="3">
        <v>3</v>
      </c>
      <c r="D536" s="4">
        <v>0.42708333333333298</v>
      </c>
      <c r="E536" s="4">
        <v>0.46875</v>
      </c>
      <c r="F536" s="3" t="s">
        <v>57</v>
      </c>
      <c r="G536" s="3" t="s">
        <v>71</v>
      </c>
      <c r="H536" s="3" t="s">
        <v>29</v>
      </c>
      <c r="I536" s="3" t="s">
        <v>30</v>
      </c>
      <c r="J536" s="3" t="s">
        <v>84</v>
      </c>
      <c r="K536" s="3" t="s">
        <v>52</v>
      </c>
      <c r="L536" s="5">
        <v>102</v>
      </c>
      <c r="M536" s="5">
        <f t="shared" ca="1" si="40"/>
        <v>80</v>
      </c>
      <c r="N536" s="6">
        <f t="shared" ca="1" si="41"/>
        <v>78.431372549019613</v>
      </c>
      <c r="O536" s="3" cm="1">
        <f t="array" aca="1" ref="O536" ca="1">IFERROR(LOOKUP(2, 1/((F$1:F535=F536)*(J$1:J535=J536)*(ROW(F$1:F535)&lt;ROW(F536))), N$1:N535), "")</f>
        <v>55.882352941176471</v>
      </c>
      <c r="P536" s="3">
        <f t="shared" si="44"/>
        <v>0</v>
      </c>
      <c r="Q536" s="3" t="s">
        <v>33</v>
      </c>
      <c r="R536" s="3" t="s">
        <v>40</v>
      </c>
      <c r="S536" s="3" t="str">
        <f t="shared" si="42"/>
        <v>No</v>
      </c>
      <c r="T536" s="3" t="s">
        <v>40</v>
      </c>
      <c r="U536" s="3" t="str">
        <f t="shared" si="43"/>
        <v>Rainy</v>
      </c>
      <c r="V536" s="3" t="s">
        <v>40</v>
      </c>
      <c r="W536" s="3" cm="1">
        <f t="array" ref="W536">_xlfn.IFS(
OR(F536="Selenium (Hands-on)",F536="Guest Lecture: HR Interview"),6,
OR(F536="Soft Skill",F536="Soft Skill (Examination)",F536="AWS Training",F536="AWS Session"),7,
OR(ISNUMBER(SEARCH("MAD",F536)),ISNUMBER(SEARCH("STQA",F536)),F536="CI/CD Session"),8,
OR(ISNUMBER(SEARCH("Cloud",F536)),F536="Industry Readiness Program",ISNUMBER(SEARCH("Talenlio",F536))),9,
OR(ISNUMBER(SEARCH("Innovation",F536)),F536="Mini Project"),10,
OR(ISNUMBER(SEARCH("Data Science",F536)),ISNUMBER(SEARCH("DS",F536))),11,
ISNUMBER(SEARCH("Generative AI",F536)),12
=_xlfn.IFS(
OR(F536="Selenium (Hands-on)",F536="Guest Lecture: HR Interview"),6,
OR(F536="Soft Skill",F536="Soft Skill (Examination)",F536="AWS Training",F536="AWS Session"),7,
OR(ISNUMBER(SEARCH("MAD",F536)),ISNUMBER(SEARCH("STQA",F536)),F536="CI/CD Session"),8,
OR(ISNUMBER(SEARCH("Cloud",F536)),F536="Industry Readiness Program",ISNUMBER(SEARCH("Talenlio",F536))),9,
OR(ISNUMBER(SEARCH("Innovation",F536)),F536="Mini Project"),10,
OR(ISNUMBER(SEARCH("Data Science",F536)),ISNUMBER(SEARCH("DS",F536))),11,
ISNUMBER(SEARCH("Generative AI",F536)),12
=_xlfn.IFS(
OR(F536="Selenium (Hands-on)",F536="Guest Lecture: HR Interview"),6,
OR(F536="Soft Skill",F536="Soft Skill (Examination)",F536="AWS Training",F536="AWS Session"),7,
OR(ISNUMBER(SEARCH("MAD",F536)),ISNUMBER(SEARCH("STQA",F536)),F536="CI/CD Session"),8,
OR(ISNUMBER(SEARCH("Cloud",F536)),F536="Industry Readiness Program",ISNUMBER(SEARCH("Talenlio",F536))),9,
OR(ISNUMBER(SEARCH("Innovation",F536)),F536="Mini Project"),10,
OR(ISNUMBER(SEARCH("Data Science",F536)),ISNUMBER(SEARCH("DS",F536))),11,
ISNUMBER(SEARCH("Generative AI",F536)),12
=_xlfn.IFS(
OR(F536="Selenium (Hands-on)",F536="Guest Lecture: HR Interview"),6,
OR(F536="Soft Skill",F536="Soft Skill (Examination)",F536="AWS Training",F536="AWS Session"),7,
OR(ISNUMBER(SEARCH("MAD",F536)),ISNUMBER(SEARCH("STQA",F536)),F536="CI/CD Session"),8,
OR(ISNUMBER(SEARCH("Cloud",F536)),F536="Industry Readiness Program",ISNUMBER(SEARCH("Talenlio",F536))),9,
OR(ISNUMBER(SEARCH("Innovation",F536)),F536="Mini Project"),10,
OR(ISNUMBER(SEARCH("Data Science",F536)),ISNUMBER(SEARCH("DS",F536))),11,
ISNUMBER(SEARCH("Generative AI",F536)),12
))))</f>
        <v>9</v>
      </c>
      <c r="X536" s="3">
        <v>8</v>
      </c>
      <c r="Y536" s="3">
        <v>51</v>
      </c>
      <c r="Z536" s="3" t="s">
        <v>35</v>
      </c>
    </row>
    <row r="537" spans="1:26" x14ac:dyDescent="0.3">
      <c r="A537" s="2">
        <v>46238</v>
      </c>
      <c r="B537" s="3" t="s">
        <v>39</v>
      </c>
      <c r="C537" s="3">
        <v>4</v>
      </c>
      <c r="D537" s="4">
        <v>0.46875</v>
      </c>
      <c r="E537" s="4">
        <v>0.51041666666666696</v>
      </c>
      <c r="F537" s="3" t="s">
        <v>59</v>
      </c>
      <c r="G537" s="3" t="s">
        <v>73</v>
      </c>
      <c r="H537" s="3" t="s">
        <v>29</v>
      </c>
      <c r="I537" s="3" t="s">
        <v>30</v>
      </c>
      <c r="J537" s="3" t="s">
        <v>84</v>
      </c>
      <c r="K537" s="3" t="s">
        <v>52</v>
      </c>
      <c r="L537" s="5">
        <v>102</v>
      </c>
      <c r="M537" s="5">
        <f t="shared" ca="1" si="40"/>
        <v>97</v>
      </c>
      <c r="N537" s="6">
        <f t="shared" ca="1" si="41"/>
        <v>95.098039215686271</v>
      </c>
      <c r="O537" s="3" cm="1">
        <f t="array" aca="1" ref="O537" ca="1">IFERROR(LOOKUP(2, 1/((F$1:F536=F537)*(J$1:J536=J537)*(ROW(F$1:F536)&lt;ROW(F537))), N$1:N536), "")</f>
        <v>97.058823529411768</v>
      </c>
      <c r="P537" s="3">
        <f t="shared" si="44"/>
        <v>0</v>
      </c>
      <c r="Q537" s="3" t="s">
        <v>33</v>
      </c>
      <c r="R537" s="3" t="s">
        <v>40</v>
      </c>
      <c r="S537" s="3" t="str">
        <f t="shared" si="42"/>
        <v>No</v>
      </c>
      <c r="T537" s="3" t="s">
        <v>40</v>
      </c>
      <c r="U537" s="3" t="str">
        <f t="shared" si="43"/>
        <v>Rainy</v>
      </c>
      <c r="V537" s="3" t="s">
        <v>40</v>
      </c>
      <c r="W537" s="3" cm="1">
        <f t="array" ref="W537">_xlfn.IFS(
OR(F537="Selenium (Hands-on)",F537="Guest Lecture: HR Interview"),6,
OR(F537="Soft Skill",F537="Soft Skill (Examination)",F537="AWS Training",F537="AWS Session"),7,
OR(ISNUMBER(SEARCH("MAD",F537)),ISNUMBER(SEARCH("STQA",F537)),F537="CI/CD Session"),8,
OR(ISNUMBER(SEARCH("Cloud",F537)),F537="Industry Readiness Program",ISNUMBER(SEARCH("Talenlio",F537))),9,
OR(ISNUMBER(SEARCH("Innovation",F537)),F537="Mini Project"),10,
OR(ISNUMBER(SEARCH("Data Science",F537)),ISNUMBER(SEARCH("DS",F537))),11,
ISNUMBER(SEARCH("Generative AI",F537)),12
=_xlfn.IFS(
OR(F537="Selenium (Hands-on)",F537="Guest Lecture: HR Interview"),6,
OR(F537="Soft Skill",F537="Soft Skill (Examination)",F537="AWS Training",F537="AWS Session"),7,
OR(ISNUMBER(SEARCH("MAD",F537)),ISNUMBER(SEARCH("STQA",F537)),F537="CI/CD Session"),8,
OR(ISNUMBER(SEARCH("Cloud",F537)),F537="Industry Readiness Program",ISNUMBER(SEARCH("Talenlio",F537))),9,
OR(ISNUMBER(SEARCH("Innovation",F537)),F537="Mini Project"),10,
OR(ISNUMBER(SEARCH("Data Science",F537)),ISNUMBER(SEARCH("DS",F537))),11,
ISNUMBER(SEARCH("Generative AI",F537)),12
=_xlfn.IFS(
OR(F537="Selenium (Hands-on)",F537="Guest Lecture: HR Interview"),6,
OR(F537="Soft Skill",F537="Soft Skill (Examination)",F537="AWS Training",F537="AWS Session"),7,
OR(ISNUMBER(SEARCH("MAD",F537)),ISNUMBER(SEARCH("STQA",F537)),F537="CI/CD Session"),8,
OR(ISNUMBER(SEARCH("Cloud",F537)),F537="Industry Readiness Program",ISNUMBER(SEARCH("Talenlio",F537))),9,
OR(ISNUMBER(SEARCH("Innovation",F537)),F537="Mini Project"),10,
OR(ISNUMBER(SEARCH("Data Science",F537)),ISNUMBER(SEARCH("DS",F537))),11,
ISNUMBER(SEARCH("Generative AI",F537)),12
=_xlfn.IFS(
OR(F537="Selenium (Hands-on)",F537="Guest Lecture: HR Interview"),6,
OR(F537="Soft Skill",F537="Soft Skill (Examination)",F537="AWS Training",F537="AWS Session"),7,
OR(ISNUMBER(SEARCH("MAD",F537)),ISNUMBER(SEARCH("STQA",F537)),F537="CI/CD Session"),8,
OR(ISNUMBER(SEARCH("Cloud",F537)),F537="Industry Readiness Program",ISNUMBER(SEARCH("Talenlio",F537))),9,
OR(ISNUMBER(SEARCH("Innovation",F537)),F537="Mini Project"),10,
OR(ISNUMBER(SEARCH("Data Science",F537)),ISNUMBER(SEARCH("DS",F537))),11,
ISNUMBER(SEARCH("Generative AI",F537)),12
))))</f>
        <v>11</v>
      </c>
      <c r="X537" s="3">
        <v>8</v>
      </c>
      <c r="Y537" s="3">
        <v>51</v>
      </c>
      <c r="Z537" s="3" t="s">
        <v>35</v>
      </c>
    </row>
    <row r="538" spans="1:26" x14ac:dyDescent="0.3">
      <c r="A538" s="2">
        <v>46238</v>
      </c>
      <c r="B538" s="3" t="s">
        <v>39</v>
      </c>
      <c r="C538" s="3">
        <v>5</v>
      </c>
      <c r="D538" s="4">
        <v>0.5625</v>
      </c>
      <c r="E538" s="4">
        <v>0.60416666666666696</v>
      </c>
      <c r="F538" s="3" t="s">
        <v>61</v>
      </c>
      <c r="G538" s="3" t="s">
        <v>73</v>
      </c>
      <c r="H538" s="3" t="s">
        <v>29</v>
      </c>
      <c r="I538" s="3" t="s">
        <v>30</v>
      </c>
      <c r="J538" s="3" t="s">
        <v>84</v>
      </c>
      <c r="K538" s="3" t="s">
        <v>52</v>
      </c>
      <c r="L538" s="5">
        <v>102</v>
      </c>
      <c r="M538" s="5">
        <f t="shared" ca="1" si="40"/>
        <v>99</v>
      </c>
      <c r="N538" s="6">
        <f t="shared" ca="1" si="41"/>
        <v>97.058823529411768</v>
      </c>
      <c r="O538" s="3" cm="1">
        <f t="array" aca="1" ref="O538" ca="1">IFERROR(LOOKUP(2, 1/((F$1:F537=F538)*(J$1:J537=J538)*(ROW(F$1:F537)&lt;ROW(F538))), N$1:N537), "")</f>
        <v>56.862745098039213</v>
      </c>
      <c r="P538" s="3">
        <f t="shared" si="44"/>
        <v>1.25</v>
      </c>
      <c r="Q538" s="3" t="s">
        <v>43</v>
      </c>
      <c r="R538" s="3" t="s">
        <v>40</v>
      </c>
      <c r="S538" s="3" t="str">
        <f t="shared" si="42"/>
        <v>No</v>
      </c>
      <c r="T538" s="3" t="s">
        <v>40</v>
      </c>
      <c r="U538" s="3" t="str">
        <f t="shared" si="43"/>
        <v>Rainy</v>
      </c>
      <c r="V538" s="3" t="s">
        <v>40</v>
      </c>
      <c r="W538" s="3" cm="1">
        <f t="array" ref="W538">_xlfn.IFS(
OR(F538="Selenium (Hands-on)",F538="Guest Lecture: HR Interview"),6,
OR(F538="Soft Skill",F538="Soft Skill (Examination)",F538="AWS Training",F538="AWS Session"),7,
OR(ISNUMBER(SEARCH("MAD",F538)),ISNUMBER(SEARCH("STQA",F538)),F538="CI/CD Session"),8,
OR(ISNUMBER(SEARCH("Cloud",F538)),F538="Industry Readiness Program",ISNUMBER(SEARCH("Talenlio",F538))),9,
OR(ISNUMBER(SEARCH("Innovation",F538)),F538="Mini Project"),10,
OR(ISNUMBER(SEARCH("Data Science",F538)),ISNUMBER(SEARCH("DS",F538))),11,
ISNUMBER(SEARCH("Generative AI",F538)),12
=_xlfn.IFS(
OR(F538="Selenium (Hands-on)",F538="Guest Lecture: HR Interview"),6,
OR(F538="Soft Skill",F538="Soft Skill (Examination)",F538="AWS Training",F538="AWS Session"),7,
OR(ISNUMBER(SEARCH("MAD",F538)),ISNUMBER(SEARCH("STQA",F538)),F538="CI/CD Session"),8,
OR(ISNUMBER(SEARCH("Cloud",F538)),F538="Industry Readiness Program",ISNUMBER(SEARCH("Talenlio",F538))),9,
OR(ISNUMBER(SEARCH("Innovation",F538)),F538="Mini Project"),10,
OR(ISNUMBER(SEARCH("Data Science",F538)),ISNUMBER(SEARCH("DS",F538))),11,
ISNUMBER(SEARCH("Generative AI",F538)),12
=_xlfn.IFS(
OR(F538="Selenium (Hands-on)",F538="Guest Lecture: HR Interview"),6,
OR(F538="Soft Skill",F538="Soft Skill (Examination)",F538="AWS Training",F538="AWS Session"),7,
OR(ISNUMBER(SEARCH("MAD",F538)),ISNUMBER(SEARCH("STQA",F538)),F538="CI/CD Session"),8,
OR(ISNUMBER(SEARCH("Cloud",F538)),F538="Industry Readiness Program",ISNUMBER(SEARCH("Talenlio",F538))),9,
OR(ISNUMBER(SEARCH("Innovation",F538)),F538="Mini Project"),10,
OR(ISNUMBER(SEARCH("Data Science",F538)),ISNUMBER(SEARCH("DS",F538))),11,
ISNUMBER(SEARCH("Generative AI",F538)),12
=_xlfn.IFS(
OR(F538="Selenium (Hands-on)",F538="Guest Lecture: HR Interview"),6,
OR(F538="Soft Skill",F538="Soft Skill (Examination)",F538="AWS Training",F538="AWS Session"),7,
OR(ISNUMBER(SEARCH("MAD",F538)),ISNUMBER(SEARCH("STQA",F538)),F538="CI/CD Session"),8,
OR(ISNUMBER(SEARCH("Cloud",F538)),F538="Industry Readiness Program",ISNUMBER(SEARCH("Talenlio",F538))),9,
OR(ISNUMBER(SEARCH("Innovation",F538)),F538="Mini Project"),10,
OR(ISNUMBER(SEARCH("Data Science",F538)),ISNUMBER(SEARCH("DS",F538))),11,
ISNUMBER(SEARCH("Generative AI",F538)),12
))))</f>
        <v>11</v>
      </c>
      <c r="X538" s="3">
        <v>8</v>
      </c>
      <c r="Y538" s="3">
        <v>51</v>
      </c>
      <c r="Z538" s="3" t="s">
        <v>38</v>
      </c>
    </row>
    <row r="539" spans="1:26" x14ac:dyDescent="0.3">
      <c r="A539" s="2">
        <v>46238</v>
      </c>
      <c r="B539" s="3" t="s">
        <v>39</v>
      </c>
      <c r="C539" s="3">
        <v>6</v>
      </c>
      <c r="D539" s="4">
        <v>0.60416666666666696</v>
      </c>
      <c r="E539" s="4">
        <v>0.64583333333333304</v>
      </c>
      <c r="F539" s="3" t="s">
        <v>61</v>
      </c>
      <c r="G539" s="3" t="s">
        <v>73</v>
      </c>
      <c r="H539" s="3" t="s">
        <v>29</v>
      </c>
      <c r="I539" s="3" t="s">
        <v>30</v>
      </c>
      <c r="J539" s="3" t="s">
        <v>84</v>
      </c>
      <c r="K539" s="3" t="s">
        <v>52</v>
      </c>
      <c r="L539" s="5">
        <v>102</v>
      </c>
      <c r="M539" s="5">
        <f t="shared" ca="1" si="40"/>
        <v>92</v>
      </c>
      <c r="N539" s="6">
        <f t="shared" ca="1" si="41"/>
        <v>90.196078431372555</v>
      </c>
      <c r="O539" s="3" cm="1">
        <f t="array" aca="1" ref="O539" ca="1">IFERROR(LOOKUP(2, 1/((F$1:F538=F539)*(J$1:J538=J539)*(ROW(F$1:F538)&lt;ROW(F539))), N$1:N538), "")</f>
        <v>97.058823529411768</v>
      </c>
      <c r="P539" s="3">
        <f t="shared" si="44"/>
        <v>0</v>
      </c>
      <c r="Q539" s="3" t="s">
        <v>43</v>
      </c>
      <c r="R539" s="3" t="s">
        <v>40</v>
      </c>
      <c r="S539" s="3" t="str">
        <f t="shared" si="42"/>
        <v>No</v>
      </c>
      <c r="T539" s="3" t="s">
        <v>40</v>
      </c>
      <c r="U539" s="3" t="str">
        <f t="shared" si="43"/>
        <v>Rainy</v>
      </c>
      <c r="V539" s="3" t="s">
        <v>40</v>
      </c>
      <c r="W539" s="3" cm="1">
        <f t="array" ref="W539">_xlfn.IFS(
OR(F539="Selenium (Hands-on)",F539="Guest Lecture: HR Interview"),6,
OR(F539="Soft Skill",F539="Soft Skill (Examination)",F539="AWS Training",F539="AWS Session"),7,
OR(ISNUMBER(SEARCH("MAD",F539)),ISNUMBER(SEARCH("STQA",F539)),F539="CI/CD Session"),8,
OR(ISNUMBER(SEARCH("Cloud",F539)),F539="Industry Readiness Program",ISNUMBER(SEARCH("Talenlio",F539))),9,
OR(ISNUMBER(SEARCH("Innovation",F539)),F539="Mini Project"),10,
OR(ISNUMBER(SEARCH("Data Science",F539)),ISNUMBER(SEARCH("DS",F539))),11,
ISNUMBER(SEARCH("Generative AI",F539)),12
=_xlfn.IFS(
OR(F539="Selenium (Hands-on)",F539="Guest Lecture: HR Interview"),6,
OR(F539="Soft Skill",F539="Soft Skill (Examination)",F539="AWS Training",F539="AWS Session"),7,
OR(ISNUMBER(SEARCH("MAD",F539)),ISNUMBER(SEARCH("STQA",F539)),F539="CI/CD Session"),8,
OR(ISNUMBER(SEARCH("Cloud",F539)),F539="Industry Readiness Program",ISNUMBER(SEARCH("Talenlio",F539))),9,
OR(ISNUMBER(SEARCH("Innovation",F539)),F539="Mini Project"),10,
OR(ISNUMBER(SEARCH("Data Science",F539)),ISNUMBER(SEARCH("DS",F539))),11,
ISNUMBER(SEARCH("Generative AI",F539)),12
=_xlfn.IFS(
OR(F539="Selenium (Hands-on)",F539="Guest Lecture: HR Interview"),6,
OR(F539="Soft Skill",F539="Soft Skill (Examination)",F539="AWS Training",F539="AWS Session"),7,
OR(ISNUMBER(SEARCH("MAD",F539)),ISNUMBER(SEARCH("STQA",F539)),F539="CI/CD Session"),8,
OR(ISNUMBER(SEARCH("Cloud",F539)),F539="Industry Readiness Program",ISNUMBER(SEARCH("Talenlio",F539))),9,
OR(ISNUMBER(SEARCH("Innovation",F539)),F539="Mini Project"),10,
OR(ISNUMBER(SEARCH("Data Science",F539)),ISNUMBER(SEARCH("DS",F539))),11,
ISNUMBER(SEARCH("Generative AI",F539)),12
=_xlfn.IFS(
OR(F539="Selenium (Hands-on)",F539="Guest Lecture: HR Interview"),6,
OR(F539="Soft Skill",F539="Soft Skill (Examination)",F539="AWS Training",F539="AWS Session"),7,
OR(ISNUMBER(SEARCH("MAD",F539)),ISNUMBER(SEARCH("STQA",F539)),F539="CI/CD Session"),8,
OR(ISNUMBER(SEARCH("Cloud",F539)),F539="Industry Readiness Program",ISNUMBER(SEARCH("Talenlio",F539))),9,
OR(ISNUMBER(SEARCH("Innovation",F539)),F539="Mini Project"),10,
OR(ISNUMBER(SEARCH("Data Science",F539)),ISNUMBER(SEARCH("DS",F539))),11,
ISNUMBER(SEARCH("Generative AI",F539)),12
))))</f>
        <v>11</v>
      </c>
      <c r="X539" s="3">
        <v>8</v>
      </c>
      <c r="Y539" s="3">
        <v>51</v>
      </c>
      <c r="Z539" s="3" t="s">
        <v>38</v>
      </c>
    </row>
    <row r="540" spans="1:26" x14ac:dyDescent="0.3">
      <c r="A540" s="2">
        <v>46239</v>
      </c>
      <c r="B540" s="3" t="s">
        <v>44</v>
      </c>
      <c r="C540" s="3">
        <v>1</v>
      </c>
      <c r="D540" s="4">
        <v>0.375</v>
      </c>
      <c r="E540" s="4">
        <v>0.41666666666666702</v>
      </c>
      <c r="F540" s="3" t="s">
        <v>74</v>
      </c>
      <c r="G540" s="3" t="s">
        <v>75</v>
      </c>
      <c r="H540" s="3" t="s">
        <v>29</v>
      </c>
      <c r="I540" s="3" t="s">
        <v>30</v>
      </c>
      <c r="J540" s="3" t="s">
        <v>84</v>
      </c>
      <c r="K540" s="3" t="s">
        <v>76</v>
      </c>
      <c r="L540" s="5">
        <v>102</v>
      </c>
      <c r="M540" s="5">
        <f t="shared" ca="1" si="40"/>
        <v>47</v>
      </c>
      <c r="N540" s="6">
        <f t="shared" ca="1" si="41"/>
        <v>46.078431372549019</v>
      </c>
      <c r="O540" s="3" cm="1">
        <f t="array" aca="1" ref="O540" ca="1">IFERROR(LOOKUP(2, 1/((F$1:F539=F540)*(J$1:J539=J540)*(ROW(F$1:F539)&lt;ROW(F540))), N$1:N539), "")</f>
        <v>75.490196078431367</v>
      </c>
      <c r="P540" s="3">
        <f t="shared" si="44"/>
        <v>0</v>
      </c>
      <c r="Q540" s="3" t="s">
        <v>43</v>
      </c>
      <c r="R540" s="3" t="s">
        <v>40</v>
      </c>
      <c r="S540" s="3" t="str">
        <f t="shared" si="42"/>
        <v>Yes</v>
      </c>
      <c r="T540" s="3" t="s">
        <v>40</v>
      </c>
      <c r="U540" s="3" t="str">
        <f t="shared" si="43"/>
        <v>Rainy</v>
      </c>
      <c r="V540" s="3" t="s">
        <v>40</v>
      </c>
      <c r="W540" s="3" cm="1">
        <f t="array" ref="W540">_xlfn.IFS(
OR(F540="Selenium (Hands-on)",F540="Guest Lecture: HR Interview"),6,
OR(F540="Soft Skill",F540="Soft Skill (Examination)",F540="AWS Training",F540="AWS Session"),7,
OR(ISNUMBER(SEARCH("MAD",F540)),ISNUMBER(SEARCH("STQA",F540)),F540="CI/CD Session"),8,
OR(ISNUMBER(SEARCH("Cloud",F540)),F540="Industry Readiness Program",ISNUMBER(SEARCH("Talenlio",F540))),9,
OR(ISNUMBER(SEARCH("Innovation",F540)),F540="Mini Project"),10,
OR(ISNUMBER(SEARCH("Data Science",F540)),ISNUMBER(SEARCH("DS",F540))),11,
ISNUMBER(SEARCH("Generative AI",F540)),12
=_xlfn.IFS(
OR(F540="Selenium (Hands-on)",F540="Guest Lecture: HR Interview"),6,
OR(F540="Soft Skill",F540="Soft Skill (Examination)",F540="AWS Training",F540="AWS Session"),7,
OR(ISNUMBER(SEARCH("MAD",F540)),ISNUMBER(SEARCH("STQA",F540)),F540="CI/CD Session"),8,
OR(ISNUMBER(SEARCH("Cloud",F540)),F540="Industry Readiness Program",ISNUMBER(SEARCH("Talenlio",F540))),9,
OR(ISNUMBER(SEARCH("Innovation",F540)),F540="Mini Project"),10,
OR(ISNUMBER(SEARCH("Data Science",F540)),ISNUMBER(SEARCH("DS",F540))),11,
ISNUMBER(SEARCH("Generative AI",F540)),12
=_xlfn.IFS(
OR(F540="Selenium (Hands-on)",F540="Guest Lecture: HR Interview"),6,
OR(F540="Soft Skill",F540="Soft Skill (Examination)",F540="AWS Training",F540="AWS Session"),7,
OR(ISNUMBER(SEARCH("MAD",F540)),ISNUMBER(SEARCH("STQA",F540)),F540="CI/CD Session"),8,
OR(ISNUMBER(SEARCH("Cloud",F540)),F540="Industry Readiness Program",ISNUMBER(SEARCH("Talenlio",F540))),9,
OR(ISNUMBER(SEARCH("Innovation",F540)),F540="Mini Project"),10,
OR(ISNUMBER(SEARCH("Data Science",F540)),ISNUMBER(SEARCH("DS",F540))),11,
ISNUMBER(SEARCH("Generative AI",F540)),12
=_xlfn.IFS(
OR(F540="Selenium (Hands-on)",F540="Guest Lecture: HR Interview"),6,
OR(F540="Soft Skill",F540="Soft Skill (Examination)",F540="AWS Training",F540="AWS Session"),7,
OR(ISNUMBER(SEARCH("MAD",F540)),ISNUMBER(SEARCH("STQA",F540)),F540="CI/CD Session"),8,
OR(ISNUMBER(SEARCH("Cloud",F540)),F540="Industry Readiness Program",ISNUMBER(SEARCH("Talenlio",F540))),9,
OR(ISNUMBER(SEARCH("Innovation",F540)),F540="Mini Project"),10,
OR(ISNUMBER(SEARCH("Data Science",F540)),ISNUMBER(SEARCH("DS",F540))),11,
ISNUMBER(SEARCH("Generative AI",F540)),12
))))</f>
        <v>6</v>
      </c>
      <c r="X540" s="3">
        <v>8</v>
      </c>
      <c r="Y540" s="3">
        <v>52</v>
      </c>
      <c r="Z540" s="3" t="s">
        <v>35</v>
      </c>
    </row>
    <row r="541" spans="1:26" x14ac:dyDescent="0.3">
      <c r="A541" s="2">
        <v>46239</v>
      </c>
      <c r="B541" s="3" t="s">
        <v>44</v>
      </c>
      <c r="C541" s="3">
        <v>2</v>
      </c>
      <c r="D541" s="4">
        <v>0.41666666666666702</v>
      </c>
      <c r="E541" s="4">
        <v>0.45833333333333298</v>
      </c>
      <c r="F541" s="3" t="s">
        <v>74</v>
      </c>
      <c r="G541" s="3" t="s">
        <v>75</v>
      </c>
      <c r="H541" s="3" t="s">
        <v>29</v>
      </c>
      <c r="I541" s="3" t="s">
        <v>30</v>
      </c>
      <c r="J541" s="3" t="s">
        <v>84</v>
      </c>
      <c r="K541" s="3" t="s">
        <v>76</v>
      </c>
      <c r="L541" s="5">
        <v>102</v>
      </c>
      <c r="M541" s="5">
        <f t="shared" ca="1" si="40"/>
        <v>78</v>
      </c>
      <c r="N541" s="6">
        <f t="shared" ca="1" si="41"/>
        <v>76.470588235294116</v>
      </c>
      <c r="O541" s="3" cm="1">
        <f t="array" aca="1" ref="O541" ca="1">IFERROR(LOOKUP(2, 1/((F$1:F540=F541)*(J$1:J540=J541)*(ROW(F$1:F540)&lt;ROW(F541))), N$1:N540), "")</f>
        <v>46.078431372549019</v>
      </c>
      <c r="P541" s="3">
        <f t="shared" si="44"/>
        <v>0</v>
      </c>
      <c r="Q541" s="3" t="s">
        <v>43</v>
      </c>
      <c r="R541" s="3" t="s">
        <v>40</v>
      </c>
      <c r="S541" s="3" t="str">
        <f t="shared" si="42"/>
        <v>Yes</v>
      </c>
      <c r="T541" s="3" t="s">
        <v>40</v>
      </c>
      <c r="U541" s="3" t="str">
        <f t="shared" si="43"/>
        <v>Rainy</v>
      </c>
      <c r="V541" s="3" t="s">
        <v>40</v>
      </c>
      <c r="W541" s="3" cm="1">
        <f t="array" ref="W541">_xlfn.IFS(
OR(F541="Selenium (Hands-on)",F541="Guest Lecture: HR Interview"),6,
OR(F541="Soft Skill",F541="Soft Skill (Examination)",F541="AWS Training",F541="AWS Session"),7,
OR(ISNUMBER(SEARCH("MAD",F541)),ISNUMBER(SEARCH("STQA",F541)),F541="CI/CD Session"),8,
OR(ISNUMBER(SEARCH("Cloud",F541)),F541="Industry Readiness Program",ISNUMBER(SEARCH("Talenlio",F541))),9,
OR(ISNUMBER(SEARCH("Innovation",F541)),F541="Mini Project"),10,
OR(ISNUMBER(SEARCH("Data Science",F541)),ISNUMBER(SEARCH("DS",F541))),11,
ISNUMBER(SEARCH("Generative AI",F541)),12
=_xlfn.IFS(
OR(F541="Selenium (Hands-on)",F541="Guest Lecture: HR Interview"),6,
OR(F541="Soft Skill",F541="Soft Skill (Examination)",F541="AWS Training",F541="AWS Session"),7,
OR(ISNUMBER(SEARCH("MAD",F541)),ISNUMBER(SEARCH("STQA",F541)),F541="CI/CD Session"),8,
OR(ISNUMBER(SEARCH("Cloud",F541)),F541="Industry Readiness Program",ISNUMBER(SEARCH("Talenlio",F541))),9,
OR(ISNUMBER(SEARCH("Innovation",F541)),F541="Mini Project"),10,
OR(ISNUMBER(SEARCH("Data Science",F541)),ISNUMBER(SEARCH("DS",F541))),11,
ISNUMBER(SEARCH("Generative AI",F541)),12
=_xlfn.IFS(
OR(F541="Selenium (Hands-on)",F541="Guest Lecture: HR Interview"),6,
OR(F541="Soft Skill",F541="Soft Skill (Examination)",F541="AWS Training",F541="AWS Session"),7,
OR(ISNUMBER(SEARCH("MAD",F541)),ISNUMBER(SEARCH("STQA",F541)),F541="CI/CD Session"),8,
OR(ISNUMBER(SEARCH("Cloud",F541)),F541="Industry Readiness Program",ISNUMBER(SEARCH("Talenlio",F541))),9,
OR(ISNUMBER(SEARCH("Innovation",F541)),F541="Mini Project"),10,
OR(ISNUMBER(SEARCH("Data Science",F541)),ISNUMBER(SEARCH("DS",F541))),11,
ISNUMBER(SEARCH("Generative AI",F541)),12
=_xlfn.IFS(
OR(F541="Selenium (Hands-on)",F541="Guest Lecture: HR Interview"),6,
OR(F541="Soft Skill",F541="Soft Skill (Examination)",F541="AWS Training",F541="AWS Session"),7,
OR(ISNUMBER(SEARCH("MAD",F541)),ISNUMBER(SEARCH("STQA",F541)),F541="CI/CD Session"),8,
OR(ISNUMBER(SEARCH("Cloud",F541)),F541="Industry Readiness Program",ISNUMBER(SEARCH("Talenlio",F541))),9,
OR(ISNUMBER(SEARCH("Innovation",F541)),F541="Mini Project"),10,
OR(ISNUMBER(SEARCH("Data Science",F541)),ISNUMBER(SEARCH("DS",F541))),11,
ISNUMBER(SEARCH("Generative AI",F541)),12
))))</f>
        <v>6</v>
      </c>
      <c r="X541" s="3">
        <v>8</v>
      </c>
      <c r="Y541" s="3">
        <v>52</v>
      </c>
      <c r="Z541" s="3" t="s">
        <v>35</v>
      </c>
    </row>
    <row r="542" spans="1:26" x14ac:dyDescent="0.3">
      <c r="A542" s="2">
        <v>46239</v>
      </c>
      <c r="B542" s="3" t="s">
        <v>44</v>
      </c>
      <c r="C542" s="3">
        <v>3</v>
      </c>
      <c r="D542" s="4">
        <v>0.45833333333333298</v>
      </c>
      <c r="E542" s="4">
        <v>0.5</v>
      </c>
      <c r="F542" s="3" t="s">
        <v>74</v>
      </c>
      <c r="G542" s="3" t="s">
        <v>75</v>
      </c>
      <c r="H542" s="3" t="s">
        <v>29</v>
      </c>
      <c r="I542" s="3" t="s">
        <v>30</v>
      </c>
      <c r="J542" s="3" t="s">
        <v>84</v>
      </c>
      <c r="K542" s="3" t="s">
        <v>76</v>
      </c>
      <c r="L542" s="5">
        <v>102</v>
      </c>
      <c r="M542" s="5">
        <f t="shared" ca="1" si="40"/>
        <v>59</v>
      </c>
      <c r="N542" s="6">
        <f t="shared" ca="1" si="41"/>
        <v>57.843137254901968</v>
      </c>
      <c r="O542" s="3" cm="1">
        <f t="array" aca="1" ref="O542" ca="1">IFERROR(LOOKUP(2, 1/((F$1:F541=F542)*(J$1:J541=J542)*(ROW(F$1:F541)&lt;ROW(F542))), N$1:N541), "")</f>
        <v>76.470588235294116</v>
      </c>
      <c r="P542" s="3">
        <f t="shared" si="44"/>
        <v>0</v>
      </c>
      <c r="Q542" s="3" t="s">
        <v>43</v>
      </c>
      <c r="R542" s="3" t="s">
        <v>40</v>
      </c>
      <c r="S542" s="3" t="str">
        <f t="shared" si="42"/>
        <v>Yes</v>
      </c>
      <c r="T542" s="3" t="s">
        <v>40</v>
      </c>
      <c r="U542" s="3" t="str">
        <f t="shared" si="43"/>
        <v>Rainy</v>
      </c>
      <c r="V542" s="3" t="s">
        <v>40</v>
      </c>
      <c r="W542" s="3" cm="1">
        <f t="array" ref="W542">_xlfn.IFS(
OR(F542="Selenium (Hands-on)",F542="Guest Lecture: HR Interview"),6,
OR(F542="Soft Skill",F542="Soft Skill (Examination)",F542="AWS Training",F542="AWS Session"),7,
OR(ISNUMBER(SEARCH("MAD",F542)),ISNUMBER(SEARCH("STQA",F542)),F542="CI/CD Session"),8,
OR(ISNUMBER(SEARCH("Cloud",F542)),F542="Industry Readiness Program",ISNUMBER(SEARCH("Talenlio",F542))),9,
OR(ISNUMBER(SEARCH("Innovation",F542)),F542="Mini Project"),10,
OR(ISNUMBER(SEARCH("Data Science",F542)),ISNUMBER(SEARCH("DS",F542))),11,
ISNUMBER(SEARCH("Generative AI",F542)),12
=_xlfn.IFS(
OR(F542="Selenium (Hands-on)",F542="Guest Lecture: HR Interview"),6,
OR(F542="Soft Skill",F542="Soft Skill (Examination)",F542="AWS Training",F542="AWS Session"),7,
OR(ISNUMBER(SEARCH("MAD",F542)),ISNUMBER(SEARCH("STQA",F542)),F542="CI/CD Session"),8,
OR(ISNUMBER(SEARCH("Cloud",F542)),F542="Industry Readiness Program",ISNUMBER(SEARCH("Talenlio",F542))),9,
OR(ISNUMBER(SEARCH("Innovation",F542)),F542="Mini Project"),10,
OR(ISNUMBER(SEARCH("Data Science",F542)),ISNUMBER(SEARCH("DS",F542))),11,
ISNUMBER(SEARCH("Generative AI",F542)),12
=_xlfn.IFS(
OR(F542="Selenium (Hands-on)",F542="Guest Lecture: HR Interview"),6,
OR(F542="Soft Skill",F542="Soft Skill (Examination)",F542="AWS Training",F542="AWS Session"),7,
OR(ISNUMBER(SEARCH("MAD",F542)),ISNUMBER(SEARCH("STQA",F542)),F542="CI/CD Session"),8,
OR(ISNUMBER(SEARCH("Cloud",F542)),F542="Industry Readiness Program",ISNUMBER(SEARCH("Talenlio",F542))),9,
OR(ISNUMBER(SEARCH("Innovation",F542)),F542="Mini Project"),10,
OR(ISNUMBER(SEARCH("Data Science",F542)),ISNUMBER(SEARCH("DS",F542))),11,
ISNUMBER(SEARCH("Generative AI",F542)),12
=_xlfn.IFS(
OR(F542="Selenium (Hands-on)",F542="Guest Lecture: HR Interview"),6,
OR(F542="Soft Skill",F542="Soft Skill (Examination)",F542="AWS Training",F542="AWS Session"),7,
OR(ISNUMBER(SEARCH("MAD",F542)),ISNUMBER(SEARCH("STQA",F542)),F542="CI/CD Session"),8,
OR(ISNUMBER(SEARCH("Cloud",F542)),F542="Industry Readiness Program",ISNUMBER(SEARCH("Talenlio",F542))),9,
OR(ISNUMBER(SEARCH("Innovation",F542)),F542="Mini Project"),10,
OR(ISNUMBER(SEARCH("Data Science",F542)),ISNUMBER(SEARCH("DS",F542))),11,
ISNUMBER(SEARCH("Generative AI",F542)),12
))))</f>
        <v>6</v>
      </c>
      <c r="X542" s="3">
        <v>8</v>
      </c>
      <c r="Y542" s="3">
        <v>52</v>
      </c>
      <c r="Z542" s="3" t="s">
        <v>35</v>
      </c>
    </row>
    <row r="543" spans="1:26" x14ac:dyDescent="0.3">
      <c r="A543" s="2">
        <v>46239</v>
      </c>
      <c r="B543" s="3" t="s">
        <v>44</v>
      </c>
      <c r="C543" s="3">
        <v>4</v>
      </c>
      <c r="D543" s="4">
        <v>0.5</v>
      </c>
      <c r="E543" s="4">
        <v>0.52083333333333304</v>
      </c>
      <c r="F543" s="3" t="s">
        <v>74</v>
      </c>
      <c r="G543" s="3" t="s">
        <v>75</v>
      </c>
      <c r="H543" s="3" t="s">
        <v>29</v>
      </c>
      <c r="I543" s="3" t="s">
        <v>30</v>
      </c>
      <c r="J543" s="3" t="s">
        <v>84</v>
      </c>
      <c r="K543" s="3" t="s">
        <v>76</v>
      </c>
      <c r="L543" s="5">
        <v>102</v>
      </c>
      <c r="M543" s="5">
        <f t="shared" ca="1" si="40"/>
        <v>69</v>
      </c>
      <c r="N543" s="6">
        <f t="shared" ca="1" si="41"/>
        <v>67.64705882352942</v>
      </c>
      <c r="O543" s="3" cm="1">
        <f t="array" aca="1" ref="O543" ca="1">IFERROR(LOOKUP(2, 1/((F$1:F542=F543)*(J$1:J542=J543)*(ROW(F$1:F542)&lt;ROW(F543))), N$1:N542), "")</f>
        <v>57.843137254901968</v>
      </c>
      <c r="P543" s="3">
        <f t="shared" si="44"/>
        <v>0</v>
      </c>
      <c r="Q543" s="3" t="s">
        <v>43</v>
      </c>
      <c r="R543" s="3" t="s">
        <v>40</v>
      </c>
      <c r="S543" s="3" t="str">
        <f t="shared" si="42"/>
        <v>Yes</v>
      </c>
      <c r="T543" s="3" t="s">
        <v>40</v>
      </c>
      <c r="U543" s="3" t="str">
        <f t="shared" si="43"/>
        <v>Rainy</v>
      </c>
      <c r="V543" s="3" t="s">
        <v>40</v>
      </c>
      <c r="W543" s="3" cm="1">
        <f t="array" ref="W543">_xlfn.IFS(
OR(F543="Selenium (Hands-on)",F543="Guest Lecture: HR Interview"),6,
OR(F543="Soft Skill",F543="Soft Skill (Examination)",F543="AWS Training",F543="AWS Session"),7,
OR(ISNUMBER(SEARCH("MAD",F543)),ISNUMBER(SEARCH("STQA",F543)),F543="CI/CD Session"),8,
OR(ISNUMBER(SEARCH("Cloud",F543)),F543="Industry Readiness Program",ISNUMBER(SEARCH("Talenlio",F543))),9,
OR(ISNUMBER(SEARCH("Innovation",F543)),F543="Mini Project"),10,
OR(ISNUMBER(SEARCH("Data Science",F543)),ISNUMBER(SEARCH("DS",F543))),11,
ISNUMBER(SEARCH("Generative AI",F543)),12
=_xlfn.IFS(
OR(F543="Selenium (Hands-on)",F543="Guest Lecture: HR Interview"),6,
OR(F543="Soft Skill",F543="Soft Skill (Examination)",F543="AWS Training",F543="AWS Session"),7,
OR(ISNUMBER(SEARCH("MAD",F543)),ISNUMBER(SEARCH("STQA",F543)),F543="CI/CD Session"),8,
OR(ISNUMBER(SEARCH("Cloud",F543)),F543="Industry Readiness Program",ISNUMBER(SEARCH("Talenlio",F543))),9,
OR(ISNUMBER(SEARCH("Innovation",F543)),F543="Mini Project"),10,
OR(ISNUMBER(SEARCH("Data Science",F543)),ISNUMBER(SEARCH("DS",F543))),11,
ISNUMBER(SEARCH("Generative AI",F543)),12
=_xlfn.IFS(
OR(F543="Selenium (Hands-on)",F543="Guest Lecture: HR Interview"),6,
OR(F543="Soft Skill",F543="Soft Skill (Examination)",F543="AWS Training",F543="AWS Session"),7,
OR(ISNUMBER(SEARCH("MAD",F543)),ISNUMBER(SEARCH("STQA",F543)),F543="CI/CD Session"),8,
OR(ISNUMBER(SEARCH("Cloud",F543)),F543="Industry Readiness Program",ISNUMBER(SEARCH("Talenlio",F543))),9,
OR(ISNUMBER(SEARCH("Innovation",F543)),F543="Mini Project"),10,
OR(ISNUMBER(SEARCH("Data Science",F543)),ISNUMBER(SEARCH("DS",F543))),11,
ISNUMBER(SEARCH("Generative AI",F543)),12
=_xlfn.IFS(
OR(F543="Selenium (Hands-on)",F543="Guest Lecture: HR Interview"),6,
OR(F543="Soft Skill",F543="Soft Skill (Examination)",F543="AWS Training",F543="AWS Session"),7,
OR(ISNUMBER(SEARCH("MAD",F543)),ISNUMBER(SEARCH("STQA",F543)),F543="CI/CD Session"),8,
OR(ISNUMBER(SEARCH("Cloud",F543)),F543="Industry Readiness Program",ISNUMBER(SEARCH("Talenlio",F543))),9,
OR(ISNUMBER(SEARCH("Innovation",F543)),F543="Mini Project"),10,
OR(ISNUMBER(SEARCH("Data Science",F543)),ISNUMBER(SEARCH("DS",F543))),11,
ISNUMBER(SEARCH("Generative AI",F543)),12
))))</f>
        <v>6</v>
      </c>
      <c r="X543" s="3">
        <v>8</v>
      </c>
      <c r="Y543" s="3">
        <v>52</v>
      </c>
      <c r="Z543" s="3" t="s">
        <v>35</v>
      </c>
    </row>
    <row r="544" spans="1:26" x14ac:dyDescent="0.3">
      <c r="A544" s="2">
        <v>46239</v>
      </c>
      <c r="B544" s="3" t="s">
        <v>44</v>
      </c>
      <c r="C544" s="3">
        <v>5</v>
      </c>
      <c r="D544" s="4">
        <v>0.5625</v>
      </c>
      <c r="E544" s="4">
        <v>0.60416666666666696</v>
      </c>
      <c r="F544" s="3" t="s">
        <v>53</v>
      </c>
      <c r="G544" s="3" t="s">
        <v>54</v>
      </c>
      <c r="H544" s="3" t="s">
        <v>29</v>
      </c>
      <c r="I544" s="3" t="s">
        <v>30</v>
      </c>
      <c r="J544" s="3" t="s">
        <v>84</v>
      </c>
      <c r="K544" s="3" t="s">
        <v>52</v>
      </c>
      <c r="L544" s="5">
        <v>102</v>
      </c>
      <c r="M544" s="5">
        <f t="shared" ca="1" si="40"/>
        <v>53</v>
      </c>
      <c r="N544" s="6">
        <f t="shared" ca="1" si="41"/>
        <v>51.960784313725497</v>
      </c>
      <c r="O544" s="3" cm="1">
        <f t="array" aca="1" ref="O544" ca="1">IFERROR(LOOKUP(2, 1/((F$1:F543=F544)*(J$1:J543=J544)*(ROW(F$1:F543)&lt;ROW(F544))), N$1:N543), "")</f>
        <v>71.568627450980387</v>
      </c>
      <c r="P544" s="3">
        <f t="shared" si="44"/>
        <v>1</v>
      </c>
      <c r="Q544" s="3" t="s">
        <v>33</v>
      </c>
      <c r="R544" s="3" t="s">
        <v>40</v>
      </c>
      <c r="S544" s="3" t="str">
        <f t="shared" si="42"/>
        <v>No</v>
      </c>
      <c r="T544" s="3" t="s">
        <v>40</v>
      </c>
      <c r="U544" s="3" t="str">
        <f t="shared" si="43"/>
        <v>Rainy</v>
      </c>
      <c r="V544" s="3" t="s">
        <v>40</v>
      </c>
      <c r="W544" s="3" cm="1">
        <f t="array" ref="W544">_xlfn.IFS(
OR(F544="Selenium (Hands-on)",F544="Guest Lecture: HR Interview"),6,
OR(F544="Soft Skill",F544="Soft Skill (Examination)",F544="AWS Training",F544="AWS Session"),7,
OR(ISNUMBER(SEARCH("MAD",F544)),ISNUMBER(SEARCH("STQA",F544)),F544="CI/CD Session"),8,
OR(ISNUMBER(SEARCH("Cloud",F544)),F544="Industry Readiness Program",ISNUMBER(SEARCH("Talenlio",F544))),9,
OR(ISNUMBER(SEARCH("Innovation",F544)),F544="Mini Project"),10,
OR(ISNUMBER(SEARCH("Data Science",F544)),ISNUMBER(SEARCH("DS",F544))),11,
ISNUMBER(SEARCH("Generative AI",F544)),12
=_xlfn.IFS(
OR(F544="Selenium (Hands-on)",F544="Guest Lecture: HR Interview"),6,
OR(F544="Soft Skill",F544="Soft Skill (Examination)",F544="AWS Training",F544="AWS Session"),7,
OR(ISNUMBER(SEARCH("MAD",F544)),ISNUMBER(SEARCH("STQA",F544)),F544="CI/CD Session"),8,
OR(ISNUMBER(SEARCH("Cloud",F544)),F544="Industry Readiness Program",ISNUMBER(SEARCH("Talenlio",F544))),9,
OR(ISNUMBER(SEARCH("Innovation",F544)),F544="Mini Project"),10,
OR(ISNUMBER(SEARCH("Data Science",F544)),ISNUMBER(SEARCH("DS",F544))),11,
ISNUMBER(SEARCH("Generative AI",F544)),12
=_xlfn.IFS(
OR(F544="Selenium (Hands-on)",F544="Guest Lecture: HR Interview"),6,
OR(F544="Soft Skill",F544="Soft Skill (Examination)",F544="AWS Training",F544="AWS Session"),7,
OR(ISNUMBER(SEARCH("MAD",F544)),ISNUMBER(SEARCH("STQA",F544)),F544="CI/CD Session"),8,
OR(ISNUMBER(SEARCH("Cloud",F544)),F544="Industry Readiness Program",ISNUMBER(SEARCH("Talenlio",F544))),9,
OR(ISNUMBER(SEARCH("Innovation",F544)),F544="Mini Project"),10,
OR(ISNUMBER(SEARCH("Data Science",F544)),ISNUMBER(SEARCH("DS",F544))),11,
ISNUMBER(SEARCH("Generative AI",F544)),12
=_xlfn.IFS(
OR(F544="Selenium (Hands-on)",F544="Guest Lecture: HR Interview"),6,
OR(F544="Soft Skill",F544="Soft Skill (Examination)",F544="AWS Training",F544="AWS Session"),7,
OR(ISNUMBER(SEARCH("MAD",F544)),ISNUMBER(SEARCH("STQA",F544)),F544="CI/CD Session"),8,
OR(ISNUMBER(SEARCH("Cloud",F544)),F544="Industry Readiness Program",ISNUMBER(SEARCH("Talenlio",F544))),9,
OR(ISNUMBER(SEARCH("Innovation",F544)),F544="Mini Project"),10,
OR(ISNUMBER(SEARCH("Data Science",F544)),ISNUMBER(SEARCH("DS",F544))),11,
ISNUMBER(SEARCH("Generative AI",F544)),12
))))</f>
        <v>10</v>
      </c>
      <c r="X544" s="3">
        <v>8</v>
      </c>
      <c r="Y544" s="3">
        <v>52</v>
      </c>
      <c r="Z544" s="3" t="s">
        <v>38</v>
      </c>
    </row>
    <row r="545" spans="1:26" x14ac:dyDescent="0.3">
      <c r="A545" s="2">
        <v>46239</v>
      </c>
      <c r="B545" s="3" t="s">
        <v>44</v>
      </c>
      <c r="C545" s="3">
        <v>6</v>
      </c>
      <c r="D545" s="4">
        <v>0.60416666666666696</v>
      </c>
      <c r="E545" s="4">
        <v>0.64583333333333304</v>
      </c>
      <c r="F545" s="3" t="s">
        <v>53</v>
      </c>
      <c r="G545" s="3" t="s">
        <v>54</v>
      </c>
      <c r="H545" s="3" t="s">
        <v>29</v>
      </c>
      <c r="I545" s="3" t="s">
        <v>30</v>
      </c>
      <c r="J545" s="3" t="s">
        <v>84</v>
      </c>
      <c r="K545" s="3" t="s">
        <v>52</v>
      </c>
      <c r="L545" s="5">
        <v>102</v>
      </c>
      <c r="M545" s="5">
        <f t="shared" ca="1" si="40"/>
        <v>96</v>
      </c>
      <c r="N545" s="6">
        <f t="shared" ca="1" si="41"/>
        <v>94.117647058823522</v>
      </c>
      <c r="O545" s="3" cm="1">
        <f t="array" aca="1" ref="O545" ca="1">IFERROR(LOOKUP(2, 1/((F$1:F544=F545)*(J$1:J544=J545)*(ROW(F$1:F544)&lt;ROW(F545))), N$1:N544), "")</f>
        <v>51.960784313725497</v>
      </c>
      <c r="P545" s="3">
        <f t="shared" si="44"/>
        <v>0</v>
      </c>
      <c r="Q545" s="3" t="s">
        <v>33</v>
      </c>
      <c r="R545" s="3" t="s">
        <v>40</v>
      </c>
      <c r="S545" s="3" t="str">
        <f t="shared" si="42"/>
        <v>No</v>
      </c>
      <c r="T545" s="3" t="s">
        <v>40</v>
      </c>
      <c r="U545" s="3" t="str">
        <f t="shared" si="43"/>
        <v>Rainy</v>
      </c>
      <c r="V545" s="3" t="s">
        <v>40</v>
      </c>
      <c r="W545" s="3" cm="1">
        <f t="array" ref="W545">_xlfn.IFS(
OR(F545="Selenium (Hands-on)",F545="Guest Lecture: HR Interview"),6,
OR(F545="Soft Skill",F545="Soft Skill (Examination)",F545="AWS Training",F545="AWS Session"),7,
OR(ISNUMBER(SEARCH("MAD",F545)),ISNUMBER(SEARCH("STQA",F545)),F545="CI/CD Session"),8,
OR(ISNUMBER(SEARCH("Cloud",F545)),F545="Industry Readiness Program",ISNUMBER(SEARCH("Talenlio",F545))),9,
OR(ISNUMBER(SEARCH("Innovation",F545)),F545="Mini Project"),10,
OR(ISNUMBER(SEARCH("Data Science",F545)),ISNUMBER(SEARCH("DS",F545))),11,
ISNUMBER(SEARCH("Generative AI",F545)),12
=_xlfn.IFS(
OR(F545="Selenium (Hands-on)",F545="Guest Lecture: HR Interview"),6,
OR(F545="Soft Skill",F545="Soft Skill (Examination)",F545="AWS Training",F545="AWS Session"),7,
OR(ISNUMBER(SEARCH("MAD",F545)),ISNUMBER(SEARCH("STQA",F545)),F545="CI/CD Session"),8,
OR(ISNUMBER(SEARCH("Cloud",F545)),F545="Industry Readiness Program",ISNUMBER(SEARCH("Talenlio",F545))),9,
OR(ISNUMBER(SEARCH("Innovation",F545)),F545="Mini Project"),10,
OR(ISNUMBER(SEARCH("Data Science",F545)),ISNUMBER(SEARCH("DS",F545))),11,
ISNUMBER(SEARCH("Generative AI",F545)),12
=_xlfn.IFS(
OR(F545="Selenium (Hands-on)",F545="Guest Lecture: HR Interview"),6,
OR(F545="Soft Skill",F545="Soft Skill (Examination)",F545="AWS Training",F545="AWS Session"),7,
OR(ISNUMBER(SEARCH("MAD",F545)),ISNUMBER(SEARCH("STQA",F545)),F545="CI/CD Session"),8,
OR(ISNUMBER(SEARCH("Cloud",F545)),F545="Industry Readiness Program",ISNUMBER(SEARCH("Talenlio",F545))),9,
OR(ISNUMBER(SEARCH("Innovation",F545)),F545="Mini Project"),10,
OR(ISNUMBER(SEARCH("Data Science",F545)),ISNUMBER(SEARCH("DS",F545))),11,
ISNUMBER(SEARCH("Generative AI",F545)),12
=_xlfn.IFS(
OR(F545="Selenium (Hands-on)",F545="Guest Lecture: HR Interview"),6,
OR(F545="Soft Skill",F545="Soft Skill (Examination)",F545="AWS Training",F545="AWS Session"),7,
OR(ISNUMBER(SEARCH("MAD",F545)),ISNUMBER(SEARCH("STQA",F545)),F545="CI/CD Session"),8,
OR(ISNUMBER(SEARCH("Cloud",F545)),F545="Industry Readiness Program",ISNUMBER(SEARCH("Talenlio",F545))),9,
OR(ISNUMBER(SEARCH("Innovation",F545)),F545="Mini Project"),10,
OR(ISNUMBER(SEARCH("Data Science",F545)),ISNUMBER(SEARCH("DS",F545))),11,
ISNUMBER(SEARCH("Generative AI",F545)),12
))))</f>
        <v>10</v>
      </c>
      <c r="X545" s="3">
        <v>8</v>
      </c>
      <c r="Y545" s="3">
        <v>52</v>
      </c>
      <c r="Z545" s="3" t="s">
        <v>38</v>
      </c>
    </row>
    <row r="546" spans="1:26" x14ac:dyDescent="0.3">
      <c r="A546" s="2">
        <v>46240</v>
      </c>
      <c r="B546" s="3" t="s">
        <v>45</v>
      </c>
      <c r="C546" s="3">
        <v>1</v>
      </c>
      <c r="D546" s="4">
        <v>0.38541666666666702</v>
      </c>
      <c r="E546" s="4">
        <v>0.42708333333333298</v>
      </c>
      <c r="F546" s="3" t="s">
        <v>80</v>
      </c>
      <c r="G546" s="3" t="s">
        <v>289</v>
      </c>
      <c r="H546" s="3" t="s">
        <v>29</v>
      </c>
      <c r="I546" s="3" t="s">
        <v>30</v>
      </c>
      <c r="J546" s="3" t="s">
        <v>84</v>
      </c>
      <c r="K546" s="3" t="s">
        <v>52</v>
      </c>
      <c r="L546" s="5">
        <v>102</v>
      </c>
      <c r="M546" s="5">
        <f t="shared" ca="1" si="40"/>
        <v>93</v>
      </c>
      <c r="N546" s="6">
        <f t="shared" ca="1" si="41"/>
        <v>91.17647058823529</v>
      </c>
      <c r="O546" s="3">
        <v>70.134681999999998</v>
      </c>
      <c r="P546" s="3">
        <f t="shared" si="44"/>
        <v>0</v>
      </c>
      <c r="Q546" s="3" t="s">
        <v>43</v>
      </c>
      <c r="R546" s="3" t="s">
        <v>40</v>
      </c>
      <c r="S546" s="3" t="str">
        <f t="shared" si="42"/>
        <v>Yes</v>
      </c>
      <c r="T546" s="3" t="s">
        <v>40</v>
      </c>
      <c r="U546" s="3" t="str">
        <f t="shared" si="43"/>
        <v>Rainy</v>
      </c>
      <c r="V546" s="3" t="s">
        <v>40</v>
      </c>
      <c r="W546" s="3" cm="1">
        <f t="array" ref="W546">_xlfn.IFS(
OR(F546="Selenium (Hands-on)",F546="Guest Lecture: HR Interview"),6,
OR(F546="Soft Skill",F546="Soft Skill (Examination)",F546="AWS Training",F546="AWS Session"),7,
OR(ISNUMBER(SEARCH("MAD",F546)),ISNUMBER(SEARCH("STQA",F546)),F546="CI/CD Session"),8,
OR(ISNUMBER(SEARCH("Cloud",F546)),F546="Industry Readiness Program",ISNUMBER(SEARCH("Talenlio",F546))),9,
OR(ISNUMBER(SEARCH("Innovation",F546)),F546="Mini Project"),10,
OR(ISNUMBER(SEARCH("Data Science",F546)),ISNUMBER(SEARCH("DS",F546))),11,
ISNUMBER(SEARCH("Generative AI",F546)),12
=_xlfn.IFS(
OR(F546="Selenium (Hands-on)",F546="Guest Lecture: HR Interview"),6,
OR(F546="Soft Skill",F546="Soft Skill (Examination)",F546="AWS Training",F546="AWS Session"),7,
OR(ISNUMBER(SEARCH("MAD",F546)),ISNUMBER(SEARCH("STQA",F546)),F546="CI/CD Session"),8,
OR(ISNUMBER(SEARCH("Cloud",F546)),F546="Industry Readiness Program",ISNUMBER(SEARCH("Talenlio",F546))),9,
OR(ISNUMBER(SEARCH("Innovation",F546)),F546="Mini Project"),10,
OR(ISNUMBER(SEARCH("Data Science",F546)),ISNUMBER(SEARCH("DS",F546))),11,
ISNUMBER(SEARCH("Generative AI",F546)),12
=_xlfn.IFS(
OR(F546="Selenium (Hands-on)",F546="Guest Lecture: HR Interview"),6,
OR(F546="Soft Skill",F546="Soft Skill (Examination)",F546="AWS Training",F546="AWS Session"),7,
OR(ISNUMBER(SEARCH("MAD",F546)),ISNUMBER(SEARCH("STQA",F546)),F546="CI/CD Session"),8,
OR(ISNUMBER(SEARCH("Cloud",F546)),F546="Industry Readiness Program",ISNUMBER(SEARCH("Talenlio",F546))),9,
OR(ISNUMBER(SEARCH("Innovation",F546)),F546="Mini Project"),10,
OR(ISNUMBER(SEARCH("Data Science",F546)),ISNUMBER(SEARCH("DS",F546))),11,
ISNUMBER(SEARCH("Generative AI",F546)),12
=_xlfn.IFS(
OR(F546="Selenium (Hands-on)",F546="Guest Lecture: HR Interview"),6,
OR(F546="Soft Skill",F546="Soft Skill (Examination)",F546="AWS Training",F546="AWS Session"),7,
OR(ISNUMBER(SEARCH("MAD",F546)),ISNUMBER(SEARCH("STQA",F546)),F546="CI/CD Session"),8,
OR(ISNUMBER(SEARCH("Cloud",F546)),F546="Industry Readiness Program",ISNUMBER(SEARCH("Talenlio",F546))),9,
OR(ISNUMBER(SEARCH("Innovation",F546)),F546="Mini Project"),10,
OR(ISNUMBER(SEARCH("Data Science",F546)),ISNUMBER(SEARCH("DS",F546))),11,
ISNUMBER(SEARCH("Generative AI",F546)),12
))))</f>
        <v>8</v>
      </c>
      <c r="X546" s="3">
        <v>8</v>
      </c>
      <c r="Y546" s="3">
        <v>53</v>
      </c>
      <c r="Z546" s="3" t="s">
        <v>35</v>
      </c>
    </row>
    <row r="547" spans="1:26" x14ac:dyDescent="0.3">
      <c r="A547" s="2">
        <v>46240</v>
      </c>
      <c r="B547" s="3" t="s">
        <v>45</v>
      </c>
      <c r="C547" s="3">
        <v>2</v>
      </c>
      <c r="D547" s="4">
        <v>0.42708333333333298</v>
      </c>
      <c r="E547" s="4">
        <v>0.46875</v>
      </c>
      <c r="F547" s="3" t="s">
        <v>80</v>
      </c>
      <c r="G547" s="3" t="s">
        <v>289</v>
      </c>
      <c r="H547" s="3" t="s">
        <v>29</v>
      </c>
      <c r="I547" s="3" t="s">
        <v>30</v>
      </c>
      <c r="J547" s="3" t="s">
        <v>84</v>
      </c>
      <c r="K547" s="3" t="s">
        <v>52</v>
      </c>
      <c r="L547" s="5">
        <v>102</v>
      </c>
      <c r="M547" s="5">
        <f t="shared" ca="1" si="40"/>
        <v>46</v>
      </c>
      <c r="N547" s="6">
        <f t="shared" ca="1" si="41"/>
        <v>45.098039215686278</v>
      </c>
      <c r="O547" s="3" cm="1">
        <f t="array" aca="1" ref="O547" ca="1">IFERROR(LOOKUP(2, 1/((F$1:F546=F547)*(J$1:J546=J547)*(ROW(F$1:F546)&lt;ROW(F547))), N$1:N546), "")</f>
        <v>91.17647058823529</v>
      </c>
      <c r="P547" s="3">
        <f t="shared" si="44"/>
        <v>0</v>
      </c>
      <c r="Q547" s="3" t="s">
        <v>43</v>
      </c>
      <c r="R547" s="3" t="s">
        <v>40</v>
      </c>
      <c r="S547" s="3" t="str">
        <f t="shared" si="42"/>
        <v>Yes</v>
      </c>
      <c r="T547" s="3" t="s">
        <v>40</v>
      </c>
      <c r="U547" s="3" t="str">
        <f t="shared" si="43"/>
        <v>Rainy</v>
      </c>
      <c r="V547" s="3" t="s">
        <v>40</v>
      </c>
      <c r="W547" s="3" cm="1">
        <f t="array" ref="W547">_xlfn.IFS(
OR(F547="Selenium (Hands-on)",F547="Guest Lecture: HR Interview"),6,
OR(F547="Soft Skill",F547="Soft Skill (Examination)",F547="AWS Training",F547="AWS Session"),7,
OR(ISNUMBER(SEARCH("MAD",F547)),ISNUMBER(SEARCH("STQA",F547)),F547="CI/CD Session"),8,
OR(ISNUMBER(SEARCH("Cloud",F547)),F547="Industry Readiness Program",ISNUMBER(SEARCH("Talenlio",F547))),9,
OR(ISNUMBER(SEARCH("Innovation",F547)),F547="Mini Project"),10,
OR(ISNUMBER(SEARCH("Data Science",F547)),ISNUMBER(SEARCH("DS",F547))),11,
ISNUMBER(SEARCH("Generative AI",F547)),12
=_xlfn.IFS(
OR(F547="Selenium (Hands-on)",F547="Guest Lecture: HR Interview"),6,
OR(F547="Soft Skill",F547="Soft Skill (Examination)",F547="AWS Training",F547="AWS Session"),7,
OR(ISNUMBER(SEARCH("MAD",F547)),ISNUMBER(SEARCH("STQA",F547)),F547="CI/CD Session"),8,
OR(ISNUMBER(SEARCH("Cloud",F547)),F547="Industry Readiness Program",ISNUMBER(SEARCH("Talenlio",F547))),9,
OR(ISNUMBER(SEARCH("Innovation",F547)),F547="Mini Project"),10,
OR(ISNUMBER(SEARCH("Data Science",F547)),ISNUMBER(SEARCH("DS",F547))),11,
ISNUMBER(SEARCH("Generative AI",F547)),12
=_xlfn.IFS(
OR(F547="Selenium (Hands-on)",F547="Guest Lecture: HR Interview"),6,
OR(F547="Soft Skill",F547="Soft Skill (Examination)",F547="AWS Training",F547="AWS Session"),7,
OR(ISNUMBER(SEARCH("MAD",F547)),ISNUMBER(SEARCH("STQA",F547)),F547="CI/CD Session"),8,
OR(ISNUMBER(SEARCH("Cloud",F547)),F547="Industry Readiness Program",ISNUMBER(SEARCH("Talenlio",F547))),9,
OR(ISNUMBER(SEARCH("Innovation",F547)),F547="Mini Project"),10,
OR(ISNUMBER(SEARCH("Data Science",F547)),ISNUMBER(SEARCH("DS",F547))),11,
ISNUMBER(SEARCH("Generative AI",F547)),12
=_xlfn.IFS(
OR(F547="Selenium (Hands-on)",F547="Guest Lecture: HR Interview"),6,
OR(F547="Soft Skill",F547="Soft Skill (Examination)",F547="AWS Training",F547="AWS Session"),7,
OR(ISNUMBER(SEARCH("MAD",F547)),ISNUMBER(SEARCH("STQA",F547)),F547="CI/CD Session"),8,
OR(ISNUMBER(SEARCH("Cloud",F547)),F547="Industry Readiness Program",ISNUMBER(SEARCH("Talenlio",F547))),9,
OR(ISNUMBER(SEARCH("Innovation",F547)),F547="Mini Project"),10,
OR(ISNUMBER(SEARCH("Data Science",F547)),ISNUMBER(SEARCH("DS",F547))),11,
ISNUMBER(SEARCH("Generative AI",F547)),12
))))</f>
        <v>8</v>
      </c>
      <c r="X547" s="3">
        <v>8</v>
      </c>
      <c r="Y547" s="3">
        <v>53</v>
      </c>
      <c r="Z547" s="3" t="s">
        <v>35</v>
      </c>
    </row>
    <row r="548" spans="1:26" x14ac:dyDescent="0.3">
      <c r="A548" s="2">
        <v>46240</v>
      </c>
      <c r="B548" s="3" t="s">
        <v>45</v>
      </c>
      <c r="C548" s="3">
        <v>3</v>
      </c>
      <c r="D548" s="4">
        <v>0.46875</v>
      </c>
      <c r="E548" s="4">
        <v>0.51041666666666696</v>
      </c>
      <c r="F548" s="3" t="s">
        <v>80</v>
      </c>
      <c r="G548" s="3" t="s">
        <v>289</v>
      </c>
      <c r="H548" s="3" t="s">
        <v>29</v>
      </c>
      <c r="I548" s="3" t="s">
        <v>30</v>
      </c>
      <c r="J548" s="3" t="s">
        <v>84</v>
      </c>
      <c r="K548" s="3" t="s">
        <v>52</v>
      </c>
      <c r="L548" s="5">
        <v>102</v>
      </c>
      <c r="M548" s="5">
        <f t="shared" ca="1" si="40"/>
        <v>102</v>
      </c>
      <c r="N548" s="6">
        <f t="shared" ca="1" si="41"/>
        <v>100</v>
      </c>
      <c r="O548" s="3" cm="1">
        <f t="array" aca="1" ref="O548" ca="1">IFERROR(LOOKUP(2, 1/((F$1:F547=F548)*(J$1:J547=J548)*(ROW(F$1:F547)&lt;ROW(F548))), N$1:N547), "")</f>
        <v>45.098039215686278</v>
      </c>
      <c r="P548" s="3">
        <f t="shared" si="44"/>
        <v>0</v>
      </c>
      <c r="Q548" s="3" t="s">
        <v>43</v>
      </c>
      <c r="R548" s="3" t="s">
        <v>40</v>
      </c>
      <c r="S548" s="3" t="str">
        <f t="shared" si="42"/>
        <v>Yes</v>
      </c>
      <c r="T548" s="3" t="s">
        <v>40</v>
      </c>
      <c r="U548" s="3" t="str">
        <f t="shared" si="43"/>
        <v>Rainy</v>
      </c>
      <c r="V548" s="3" t="s">
        <v>40</v>
      </c>
      <c r="W548" s="3" cm="1">
        <f t="array" ref="W548">_xlfn.IFS(
OR(F548="Selenium (Hands-on)",F548="Guest Lecture: HR Interview"),6,
OR(F548="Soft Skill",F548="Soft Skill (Examination)",F548="AWS Training",F548="AWS Session"),7,
OR(ISNUMBER(SEARCH("MAD",F548)),ISNUMBER(SEARCH("STQA",F548)),F548="CI/CD Session"),8,
OR(ISNUMBER(SEARCH("Cloud",F548)),F548="Industry Readiness Program",ISNUMBER(SEARCH("Talenlio",F548))),9,
OR(ISNUMBER(SEARCH("Innovation",F548)),F548="Mini Project"),10,
OR(ISNUMBER(SEARCH("Data Science",F548)),ISNUMBER(SEARCH("DS",F548))),11,
ISNUMBER(SEARCH("Generative AI",F548)),12
=_xlfn.IFS(
OR(F548="Selenium (Hands-on)",F548="Guest Lecture: HR Interview"),6,
OR(F548="Soft Skill",F548="Soft Skill (Examination)",F548="AWS Training",F548="AWS Session"),7,
OR(ISNUMBER(SEARCH("MAD",F548)),ISNUMBER(SEARCH("STQA",F548)),F548="CI/CD Session"),8,
OR(ISNUMBER(SEARCH("Cloud",F548)),F548="Industry Readiness Program",ISNUMBER(SEARCH("Talenlio",F548))),9,
OR(ISNUMBER(SEARCH("Innovation",F548)),F548="Mini Project"),10,
OR(ISNUMBER(SEARCH("Data Science",F548)),ISNUMBER(SEARCH("DS",F548))),11,
ISNUMBER(SEARCH("Generative AI",F548)),12
=_xlfn.IFS(
OR(F548="Selenium (Hands-on)",F548="Guest Lecture: HR Interview"),6,
OR(F548="Soft Skill",F548="Soft Skill (Examination)",F548="AWS Training",F548="AWS Session"),7,
OR(ISNUMBER(SEARCH("MAD",F548)),ISNUMBER(SEARCH("STQA",F548)),F548="CI/CD Session"),8,
OR(ISNUMBER(SEARCH("Cloud",F548)),F548="Industry Readiness Program",ISNUMBER(SEARCH("Talenlio",F548))),9,
OR(ISNUMBER(SEARCH("Innovation",F548)),F548="Mini Project"),10,
OR(ISNUMBER(SEARCH("Data Science",F548)),ISNUMBER(SEARCH("DS",F548))),11,
ISNUMBER(SEARCH("Generative AI",F548)),12
=_xlfn.IFS(
OR(F548="Selenium (Hands-on)",F548="Guest Lecture: HR Interview"),6,
OR(F548="Soft Skill",F548="Soft Skill (Examination)",F548="AWS Training",F548="AWS Session"),7,
OR(ISNUMBER(SEARCH("MAD",F548)),ISNUMBER(SEARCH("STQA",F548)),F548="CI/CD Session"),8,
OR(ISNUMBER(SEARCH("Cloud",F548)),F548="Industry Readiness Program",ISNUMBER(SEARCH("Talenlio",F548))),9,
OR(ISNUMBER(SEARCH("Innovation",F548)),F548="Mini Project"),10,
OR(ISNUMBER(SEARCH("Data Science",F548)),ISNUMBER(SEARCH("DS",F548))),11,
ISNUMBER(SEARCH("Generative AI",F548)),12
))))</f>
        <v>8</v>
      </c>
      <c r="X548" s="3">
        <v>8</v>
      </c>
      <c r="Y548" s="3">
        <v>53</v>
      </c>
      <c r="Z548" s="3" t="s">
        <v>35</v>
      </c>
    </row>
    <row r="549" spans="1:26" x14ac:dyDescent="0.3">
      <c r="A549" s="2">
        <v>46240</v>
      </c>
      <c r="B549" s="3" t="s">
        <v>45</v>
      </c>
      <c r="C549" s="3">
        <v>4</v>
      </c>
      <c r="D549" s="4">
        <v>0.5625</v>
      </c>
      <c r="E549" s="4">
        <v>0.60416666666666696</v>
      </c>
      <c r="F549" s="3" t="s">
        <v>81</v>
      </c>
      <c r="G549" s="3" t="s">
        <v>289</v>
      </c>
      <c r="H549" s="3" t="s">
        <v>29</v>
      </c>
      <c r="I549" s="3" t="s">
        <v>30</v>
      </c>
      <c r="J549" s="3" t="s">
        <v>84</v>
      </c>
      <c r="K549" s="3" t="s">
        <v>52</v>
      </c>
      <c r="L549" s="5">
        <v>102</v>
      </c>
      <c r="M549" s="5">
        <f t="shared" ca="1" si="40"/>
        <v>68</v>
      </c>
      <c r="N549" s="6">
        <f t="shared" ca="1" si="41"/>
        <v>66.666666666666657</v>
      </c>
      <c r="O549" s="3">
        <v>34.0211556</v>
      </c>
      <c r="P549" s="3">
        <f t="shared" si="44"/>
        <v>1.25</v>
      </c>
      <c r="Q549" s="3" t="s">
        <v>43</v>
      </c>
      <c r="R549" s="3" t="s">
        <v>40</v>
      </c>
      <c r="S549" s="3" t="str">
        <f t="shared" si="42"/>
        <v>No</v>
      </c>
      <c r="T549" s="3" t="s">
        <v>40</v>
      </c>
      <c r="U549" s="3" t="str">
        <f t="shared" si="43"/>
        <v>Rainy</v>
      </c>
      <c r="V549" s="3" t="s">
        <v>40</v>
      </c>
      <c r="W549" s="3" cm="1">
        <f t="array" ref="W549">_xlfn.IFS(
OR(F549="Selenium (Hands-on)",F549="Guest Lecture: HR Interview"),6,
OR(F549="Soft Skill",F549="Soft Skill (Examination)",F549="AWS Training",F549="AWS Session"),7,
OR(ISNUMBER(SEARCH("MAD",F549)),ISNUMBER(SEARCH("STQA",F549)),F549="CI/CD Session"),8,
OR(ISNUMBER(SEARCH("Cloud",F549)),F549="Industry Readiness Program",ISNUMBER(SEARCH("Talenlio",F549))),9,
OR(ISNUMBER(SEARCH("Innovation",F549)),F549="Mini Project"),10,
OR(ISNUMBER(SEARCH("Data Science",F549)),ISNUMBER(SEARCH("DS",F549))),11,
ISNUMBER(SEARCH("Generative AI",F549)),12
=_xlfn.IFS(
OR(F549="Selenium (Hands-on)",F549="Guest Lecture: HR Interview"),6,
OR(F549="Soft Skill",F549="Soft Skill (Examination)",F549="AWS Training",F549="AWS Session"),7,
OR(ISNUMBER(SEARCH("MAD",F549)),ISNUMBER(SEARCH("STQA",F549)),F549="CI/CD Session"),8,
OR(ISNUMBER(SEARCH("Cloud",F549)),F549="Industry Readiness Program",ISNUMBER(SEARCH("Talenlio",F549))),9,
OR(ISNUMBER(SEARCH("Innovation",F549)),F549="Mini Project"),10,
OR(ISNUMBER(SEARCH("Data Science",F549)),ISNUMBER(SEARCH("DS",F549))),11,
ISNUMBER(SEARCH("Generative AI",F549)),12
=_xlfn.IFS(
OR(F549="Selenium (Hands-on)",F549="Guest Lecture: HR Interview"),6,
OR(F549="Soft Skill",F549="Soft Skill (Examination)",F549="AWS Training",F549="AWS Session"),7,
OR(ISNUMBER(SEARCH("MAD",F549)),ISNUMBER(SEARCH("STQA",F549)),F549="CI/CD Session"),8,
OR(ISNUMBER(SEARCH("Cloud",F549)),F549="Industry Readiness Program",ISNUMBER(SEARCH("Talenlio",F549))),9,
OR(ISNUMBER(SEARCH("Innovation",F549)),F549="Mini Project"),10,
OR(ISNUMBER(SEARCH("Data Science",F549)),ISNUMBER(SEARCH("DS",F549))),11,
ISNUMBER(SEARCH("Generative AI",F549)),12
=_xlfn.IFS(
OR(F549="Selenium (Hands-on)",F549="Guest Lecture: HR Interview"),6,
OR(F549="Soft Skill",F549="Soft Skill (Examination)",F549="AWS Training",F549="AWS Session"),7,
OR(ISNUMBER(SEARCH("MAD",F549)),ISNUMBER(SEARCH("STQA",F549)),F549="CI/CD Session"),8,
OR(ISNUMBER(SEARCH("Cloud",F549)),F549="Industry Readiness Program",ISNUMBER(SEARCH("Talenlio",F549))),9,
OR(ISNUMBER(SEARCH("Innovation",F549)),F549="Mini Project"),10,
OR(ISNUMBER(SEARCH("Data Science",F549)),ISNUMBER(SEARCH("DS",F549))),11,
ISNUMBER(SEARCH("Generative AI",F549)),12
))))</f>
        <v>7</v>
      </c>
      <c r="X549" s="3">
        <v>8</v>
      </c>
      <c r="Y549" s="3">
        <v>53</v>
      </c>
      <c r="Z549" s="3" t="s">
        <v>38</v>
      </c>
    </row>
    <row r="550" spans="1:26" x14ac:dyDescent="0.3">
      <c r="A550" s="2">
        <v>46240</v>
      </c>
      <c r="B550" s="3" t="s">
        <v>45</v>
      </c>
      <c r="C550" s="3">
        <v>5</v>
      </c>
      <c r="D550" s="4">
        <v>0.60416666666666696</v>
      </c>
      <c r="E550" s="4">
        <v>0.64583333333333304</v>
      </c>
      <c r="F550" s="3" t="s">
        <v>81</v>
      </c>
      <c r="G550" s="3" t="s">
        <v>289</v>
      </c>
      <c r="H550" s="3" t="s">
        <v>29</v>
      </c>
      <c r="I550" s="3" t="s">
        <v>30</v>
      </c>
      <c r="J550" s="3" t="s">
        <v>84</v>
      </c>
      <c r="K550" s="3" t="s">
        <v>52</v>
      </c>
      <c r="L550" s="5">
        <v>102</v>
      </c>
      <c r="M550" s="5">
        <f t="shared" ca="1" si="40"/>
        <v>92</v>
      </c>
      <c r="N550" s="6">
        <f t="shared" ca="1" si="41"/>
        <v>90.196078431372555</v>
      </c>
      <c r="O550" s="3" cm="1">
        <f t="array" aca="1" ref="O550" ca="1">IFERROR(LOOKUP(2, 1/((F$1:F549=F550)*(J$1:J549=J550)*(ROW(F$1:F549)&lt;ROW(F550))), N$1:N549), "")</f>
        <v>66.666666666666657</v>
      </c>
      <c r="P550" s="3">
        <f t="shared" si="44"/>
        <v>0</v>
      </c>
      <c r="Q550" s="3" t="s">
        <v>43</v>
      </c>
      <c r="R550" s="3" t="s">
        <v>40</v>
      </c>
      <c r="S550" s="3" t="str">
        <f t="shared" si="42"/>
        <v>No</v>
      </c>
      <c r="T550" s="3" t="s">
        <v>40</v>
      </c>
      <c r="U550" s="3" t="str">
        <f t="shared" si="43"/>
        <v>Rainy</v>
      </c>
      <c r="V550" s="3" t="s">
        <v>40</v>
      </c>
      <c r="W550" s="3" cm="1">
        <f t="array" ref="W550">_xlfn.IFS(
OR(F550="Selenium (Hands-on)",F550="Guest Lecture: HR Interview"),6,
OR(F550="Soft Skill",F550="Soft Skill (Examination)",F550="AWS Training",F550="AWS Session"),7,
OR(ISNUMBER(SEARCH("MAD",F550)),ISNUMBER(SEARCH("STQA",F550)),F550="CI/CD Session"),8,
OR(ISNUMBER(SEARCH("Cloud",F550)),F550="Industry Readiness Program",ISNUMBER(SEARCH("Talenlio",F550))),9,
OR(ISNUMBER(SEARCH("Innovation",F550)),F550="Mini Project"),10,
OR(ISNUMBER(SEARCH("Data Science",F550)),ISNUMBER(SEARCH("DS",F550))),11,
ISNUMBER(SEARCH("Generative AI",F550)),12
=_xlfn.IFS(
OR(F550="Selenium (Hands-on)",F550="Guest Lecture: HR Interview"),6,
OR(F550="Soft Skill",F550="Soft Skill (Examination)",F550="AWS Training",F550="AWS Session"),7,
OR(ISNUMBER(SEARCH("MAD",F550)),ISNUMBER(SEARCH("STQA",F550)),F550="CI/CD Session"),8,
OR(ISNUMBER(SEARCH("Cloud",F550)),F550="Industry Readiness Program",ISNUMBER(SEARCH("Talenlio",F550))),9,
OR(ISNUMBER(SEARCH("Innovation",F550)),F550="Mini Project"),10,
OR(ISNUMBER(SEARCH("Data Science",F550)),ISNUMBER(SEARCH("DS",F550))),11,
ISNUMBER(SEARCH("Generative AI",F550)),12
=_xlfn.IFS(
OR(F550="Selenium (Hands-on)",F550="Guest Lecture: HR Interview"),6,
OR(F550="Soft Skill",F550="Soft Skill (Examination)",F550="AWS Training",F550="AWS Session"),7,
OR(ISNUMBER(SEARCH("MAD",F550)),ISNUMBER(SEARCH("STQA",F550)),F550="CI/CD Session"),8,
OR(ISNUMBER(SEARCH("Cloud",F550)),F550="Industry Readiness Program",ISNUMBER(SEARCH("Talenlio",F550))),9,
OR(ISNUMBER(SEARCH("Innovation",F550)),F550="Mini Project"),10,
OR(ISNUMBER(SEARCH("Data Science",F550)),ISNUMBER(SEARCH("DS",F550))),11,
ISNUMBER(SEARCH("Generative AI",F550)),12
=_xlfn.IFS(
OR(F550="Selenium (Hands-on)",F550="Guest Lecture: HR Interview"),6,
OR(F550="Soft Skill",F550="Soft Skill (Examination)",F550="AWS Training",F550="AWS Session"),7,
OR(ISNUMBER(SEARCH("MAD",F550)),ISNUMBER(SEARCH("STQA",F550)),F550="CI/CD Session"),8,
OR(ISNUMBER(SEARCH("Cloud",F550)),F550="Industry Readiness Program",ISNUMBER(SEARCH("Talenlio",F550))),9,
OR(ISNUMBER(SEARCH("Innovation",F550)),F550="Mini Project"),10,
OR(ISNUMBER(SEARCH("Data Science",F550)),ISNUMBER(SEARCH("DS",F550))),11,
ISNUMBER(SEARCH("Generative AI",F550)),12
))))</f>
        <v>7</v>
      </c>
      <c r="X550" s="3">
        <v>8</v>
      </c>
      <c r="Y550" s="3">
        <v>53</v>
      </c>
      <c r="Z550" s="3" t="s">
        <v>38</v>
      </c>
    </row>
    <row r="551" spans="1:26" x14ac:dyDescent="0.3">
      <c r="A551" s="2">
        <v>46240</v>
      </c>
      <c r="B551" s="3" t="s">
        <v>45</v>
      </c>
      <c r="C551" s="3">
        <v>6</v>
      </c>
      <c r="D551" s="4">
        <v>0.64583333333333304</v>
      </c>
      <c r="E551" s="4">
        <v>0.6875</v>
      </c>
      <c r="F551" s="3" t="s">
        <v>81</v>
      </c>
      <c r="G551" s="3" t="s">
        <v>289</v>
      </c>
      <c r="H551" s="3" t="s">
        <v>29</v>
      </c>
      <c r="I551" s="3" t="s">
        <v>30</v>
      </c>
      <c r="J551" s="3" t="s">
        <v>84</v>
      </c>
      <c r="K551" s="3" t="s">
        <v>52</v>
      </c>
      <c r="L551" s="5">
        <v>102</v>
      </c>
      <c r="M551" s="5">
        <f t="shared" ca="1" si="40"/>
        <v>58</v>
      </c>
      <c r="N551" s="6">
        <f t="shared" ca="1" si="41"/>
        <v>56.862745098039213</v>
      </c>
      <c r="O551" s="3" cm="1">
        <f t="array" aca="1" ref="O551" ca="1">IFERROR(LOOKUP(2, 1/((F$1:F550=F551)*(J$1:J550=J551)*(ROW(F$1:F550)&lt;ROW(F551))), N$1:N550), "")</f>
        <v>90.196078431372555</v>
      </c>
      <c r="P551" s="3">
        <f t="shared" si="44"/>
        <v>0</v>
      </c>
      <c r="Q551" s="3" t="s">
        <v>43</v>
      </c>
      <c r="R551" s="3" t="s">
        <v>40</v>
      </c>
      <c r="S551" s="3" t="str">
        <f t="shared" si="42"/>
        <v>No</v>
      </c>
      <c r="T551" s="3" t="s">
        <v>40</v>
      </c>
      <c r="U551" s="3" t="str">
        <f t="shared" si="43"/>
        <v>Rainy</v>
      </c>
      <c r="V551" s="3" t="s">
        <v>40</v>
      </c>
      <c r="W551" s="3" cm="1">
        <f t="array" ref="W551">_xlfn.IFS(
OR(F551="Selenium (Hands-on)",F551="Guest Lecture: HR Interview"),6,
OR(F551="Soft Skill",F551="Soft Skill (Examination)",F551="AWS Training",F551="AWS Session"),7,
OR(ISNUMBER(SEARCH("MAD",F551)),ISNUMBER(SEARCH("STQA",F551)),F551="CI/CD Session"),8,
OR(ISNUMBER(SEARCH("Cloud",F551)),F551="Industry Readiness Program",ISNUMBER(SEARCH("Talenlio",F551))),9,
OR(ISNUMBER(SEARCH("Innovation",F551)),F551="Mini Project"),10,
OR(ISNUMBER(SEARCH("Data Science",F551)),ISNUMBER(SEARCH("DS",F551))),11,
ISNUMBER(SEARCH("Generative AI",F551)),12
=_xlfn.IFS(
OR(F551="Selenium (Hands-on)",F551="Guest Lecture: HR Interview"),6,
OR(F551="Soft Skill",F551="Soft Skill (Examination)",F551="AWS Training",F551="AWS Session"),7,
OR(ISNUMBER(SEARCH("MAD",F551)),ISNUMBER(SEARCH("STQA",F551)),F551="CI/CD Session"),8,
OR(ISNUMBER(SEARCH("Cloud",F551)),F551="Industry Readiness Program",ISNUMBER(SEARCH("Talenlio",F551))),9,
OR(ISNUMBER(SEARCH("Innovation",F551)),F551="Mini Project"),10,
OR(ISNUMBER(SEARCH("Data Science",F551)),ISNUMBER(SEARCH("DS",F551))),11,
ISNUMBER(SEARCH("Generative AI",F551)),12
=_xlfn.IFS(
OR(F551="Selenium (Hands-on)",F551="Guest Lecture: HR Interview"),6,
OR(F551="Soft Skill",F551="Soft Skill (Examination)",F551="AWS Training",F551="AWS Session"),7,
OR(ISNUMBER(SEARCH("MAD",F551)),ISNUMBER(SEARCH("STQA",F551)),F551="CI/CD Session"),8,
OR(ISNUMBER(SEARCH("Cloud",F551)),F551="Industry Readiness Program",ISNUMBER(SEARCH("Talenlio",F551))),9,
OR(ISNUMBER(SEARCH("Innovation",F551)),F551="Mini Project"),10,
OR(ISNUMBER(SEARCH("Data Science",F551)),ISNUMBER(SEARCH("DS",F551))),11,
ISNUMBER(SEARCH("Generative AI",F551)),12
=_xlfn.IFS(
OR(F551="Selenium (Hands-on)",F551="Guest Lecture: HR Interview"),6,
OR(F551="Soft Skill",F551="Soft Skill (Examination)",F551="AWS Training",F551="AWS Session"),7,
OR(ISNUMBER(SEARCH("MAD",F551)),ISNUMBER(SEARCH("STQA",F551)),F551="CI/CD Session"),8,
OR(ISNUMBER(SEARCH("Cloud",F551)),F551="Industry Readiness Program",ISNUMBER(SEARCH("Talenlio",F551))),9,
OR(ISNUMBER(SEARCH("Innovation",F551)),F551="Mini Project"),10,
OR(ISNUMBER(SEARCH("Data Science",F551)),ISNUMBER(SEARCH("DS",F551))),11,
ISNUMBER(SEARCH("Generative AI",F551)),12
))))</f>
        <v>7</v>
      </c>
      <c r="X551" s="3">
        <v>8</v>
      </c>
      <c r="Y551" s="3">
        <v>53</v>
      </c>
      <c r="Z551" s="3" t="s">
        <v>38</v>
      </c>
    </row>
    <row r="552" spans="1:26" x14ac:dyDescent="0.3">
      <c r="A552" s="2">
        <v>46241</v>
      </c>
      <c r="B552" s="3" t="s">
        <v>46</v>
      </c>
      <c r="C552" s="3">
        <v>1</v>
      </c>
      <c r="D552" s="4">
        <v>0.38541666666666702</v>
      </c>
      <c r="E552" s="4">
        <v>0.42708333333333298</v>
      </c>
      <c r="F552" s="3" t="s">
        <v>80</v>
      </c>
      <c r="G552" s="3" t="s">
        <v>289</v>
      </c>
      <c r="H552" s="3" t="s">
        <v>29</v>
      </c>
      <c r="I552" s="3" t="s">
        <v>30</v>
      </c>
      <c r="J552" s="3" t="s">
        <v>84</v>
      </c>
      <c r="K552" s="3" t="s">
        <v>52</v>
      </c>
      <c r="L552" s="5">
        <v>102</v>
      </c>
      <c r="M552" s="5">
        <f t="shared" ca="1" si="40"/>
        <v>45</v>
      </c>
      <c r="N552" s="6">
        <f t="shared" ca="1" si="41"/>
        <v>44.117647058823529</v>
      </c>
      <c r="O552" s="3" cm="1">
        <f t="array" aca="1" ref="O552" ca="1">IFERROR(LOOKUP(2, 1/((F$1:F551=F552)*(J$1:J551=J552)*(ROW(F$1:F551)&lt;ROW(F552))), N$1:N551), "")</f>
        <v>100</v>
      </c>
      <c r="P552" s="3">
        <f t="shared" si="44"/>
        <v>0</v>
      </c>
      <c r="Q552" s="3" t="s">
        <v>43</v>
      </c>
      <c r="R552" s="3" t="s">
        <v>40</v>
      </c>
      <c r="S552" s="3" t="str">
        <f t="shared" si="42"/>
        <v>Yes</v>
      </c>
      <c r="T552" s="3" t="s">
        <v>40</v>
      </c>
      <c r="U552" s="3" t="str">
        <f t="shared" si="43"/>
        <v>Rainy</v>
      </c>
      <c r="V552" s="3" t="s">
        <v>40</v>
      </c>
      <c r="W552" s="3" cm="1">
        <f t="array" ref="W552">_xlfn.IFS(
OR(F552="Selenium (Hands-on)",F552="Guest Lecture: HR Interview"),6,
OR(F552="Soft Skill",F552="Soft Skill (Examination)",F552="AWS Training",F552="AWS Session"),7,
OR(ISNUMBER(SEARCH("MAD",F552)),ISNUMBER(SEARCH("STQA",F552)),F552="CI/CD Session"),8,
OR(ISNUMBER(SEARCH("Cloud",F552)),F552="Industry Readiness Program",ISNUMBER(SEARCH("Talenlio",F552))),9,
OR(ISNUMBER(SEARCH("Innovation",F552)),F552="Mini Project"),10,
OR(ISNUMBER(SEARCH("Data Science",F552)),ISNUMBER(SEARCH("DS",F552))),11,
ISNUMBER(SEARCH("Generative AI",F552)),12
=_xlfn.IFS(
OR(F552="Selenium (Hands-on)",F552="Guest Lecture: HR Interview"),6,
OR(F552="Soft Skill",F552="Soft Skill (Examination)",F552="AWS Training",F552="AWS Session"),7,
OR(ISNUMBER(SEARCH("MAD",F552)),ISNUMBER(SEARCH("STQA",F552)),F552="CI/CD Session"),8,
OR(ISNUMBER(SEARCH("Cloud",F552)),F552="Industry Readiness Program",ISNUMBER(SEARCH("Talenlio",F552))),9,
OR(ISNUMBER(SEARCH("Innovation",F552)),F552="Mini Project"),10,
OR(ISNUMBER(SEARCH("Data Science",F552)),ISNUMBER(SEARCH("DS",F552))),11,
ISNUMBER(SEARCH("Generative AI",F552)),12
=_xlfn.IFS(
OR(F552="Selenium (Hands-on)",F552="Guest Lecture: HR Interview"),6,
OR(F552="Soft Skill",F552="Soft Skill (Examination)",F552="AWS Training",F552="AWS Session"),7,
OR(ISNUMBER(SEARCH("MAD",F552)),ISNUMBER(SEARCH("STQA",F552)),F552="CI/CD Session"),8,
OR(ISNUMBER(SEARCH("Cloud",F552)),F552="Industry Readiness Program",ISNUMBER(SEARCH("Talenlio",F552))),9,
OR(ISNUMBER(SEARCH("Innovation",F552)),F552="Mini Project"),10,
OR(ISNUMBER(SEARCH("Data Science",F552)),ISNUMBER(SEARCH("DS",F552))),11,
ISNUMBER(SEARCH("Generative AI",F552)),12
=_xlfn.IFS(
OR(F552="Selenium (Hands-on)",F552="Guest Lecture: HR Interview"),6,
OR(F552="Soft Skill",F552="Soft Skill (Examination)",F552="AWS Training",F552="AWS Session"),7,
OR(ISNUMBER(SEARCH("MAD",F552)),ISNUMBER(SEARCH("STQA",F552)),F552="CI/CD Session"),8,
OR(ISNUMBER(SEARCH("Cloud",F552)),F552="Industry Readiness Program",ISNUMBER(SEARCH("Talenlio",F552))),9,
OR(ISNUMBER(SEARCH("Innovation",F552)),F552="Mini Project"),10,
OR(ISNUMBER(SEARCH("Data Science",F552)),ISNUMBER(SEARCH("DS",F552))),11,
ISNUMBER(SEARCH("Generative AI",F552)),12
))))</f>
        <v>8</v>
      </c>
      <c r="X552" s="3">
        <v>8</v>
      </c>
      <c r="Y552" s="3">
        <v>54</v>
      </c>
      <c r="Z552" s="3" t="s">
        <v>35</v>
      </c>
    </row>
    <row r="553" spans="1:26" x14ac:dyDescent="0.3">
      <c r="A553" s="2">
        <v>46241</v>
      </c>
      <c r="B553" s="3" t="s">
        <v>46</v>
      </c>
      <c r="C553" s="3">
        <v>2</v>
      </c>
      <c r="D553" s="4">
        <v>0.42708333333333298</v>
      </c>
      <c r="E553" s="4">
        <v>0.46875</v>
      </c>
      <c r="F553" s="3" t="s">
        <v>80</v>
      </c>
      <c r="G553" s="3" t="s">
        <v>289</v>
      </c>
      <c r="H553" s="3" t="s">
        <v>29</v>
      </c>
      <c r="I553" s="3" t="s">
        <v>30</v>
      </c>
      <c r="J553" s="3" t="s">
        <v>84</v>
      </c>
      <c r="K553" s="3" t="s">
        <v>52</v>
      </c>
      <c r="L553" s="5">
        <v>102</v>
      </c>
      <c r="M553" s="5">
        <f t="shared" ca="1" si="40"/>
        <v>81</v>
      </c>
      <c r="N553" s="6">
        <f t="shared" ca="1" si="41"/>
        <v>79.411764705882348</v>
      </c>
      <c r="O553" s="3" cm="1">
        <f t="array" aca="1" ref="O553" ca="1">IFERROR(LOOKUP(2, 1/((F$1:F552=F553)*(J$1:J552=J553)*(ROW(F$1:F552)&lt;ROW(F553))), N$1:N552), "")</f>
        <v>44.117647058823529</v>
      </c>
      <c r="P553" s="3">
        <f t="shared" si="44"/>
        <v>0</v>
      </c>
      <c r="Q553" s="3" t="s">
        <v>43</v>
      </c>
      <c r="R553" s="3" t="s">
        <v>40</v>
      </c>
      <c r="S553" s="3" t="str">
        <f t="shared" si="42"/>
        <v>Yes</v>
      </c>
      <c r="T553" s="3" t="s">
        <v>40</v>
      </c>
      <c r="U553" s="3" t="str">
        <f t="shared" si="43"/>
        <v>Rainy</v>
      </c>
      <c r="V553" s="3" t="s">
        <v>40</v>
      </c>
      <c r="W553" s="3" cm="1">
        <f t="array" ref="W553">_xlfn.IFS(
OR(F553="Selenium (Hands-on)",F553="Guest Lecture: HR Interview"),6,
OR(F553="Soft Skill",F553="Soft Skill (Examination)",F553="AWS Training",F553="AWS Session"),7,
OR(ISNUMBER(SEARCH("MAD",F553)),ISNUMBER(SEARCH("STQA",F553)),F553="CI/CD Session"),8,
OR(ISNUMBER(SEARCH("Cloud",F553)),F553="Industry Readiness Program",ISNUMBER(SEARCH("Talenlio",F553))),9,
OR(ISNUMBER(SEARCH("Innovation",F553)),F553="Mini Project"),10,
OR(ISNUMBER(SEARCH("Data Science",F553)),ISNUMBER(SEARCH("DS",F553))),11,
ISNUMBER(SEARCH("Generative AI",F553)),12
=_xlfn.IFS(
OR(F553="Selenium (Hands-on)",F553="Guest Lecture: HR Interview"),6,
OR(F553="Soft Skill",F553="Soft Skill (Examination)",F553="AWS Training",F553="AWS Session"),7,
OR(ISNUMBER(SEARCH("MAD",F553)),ISNUMBER(SEARCH("STQA",F553)),F553="CI/CD Session"),8,
OR(ISNUMBER(SEARCH("Cloud",F553)),F553="Industry Readiness Program",ISNUMBER(SEARCH("Talenlio",F553))),9,
OR(ISNUMBER(SEARCH("Innovation",F553)),F553="Mini Project"),10,
OR(ISNUMBER(SEARCH("Data Science",F553)),ISNUMBER(SEARCH("DS",F553))),11,
ISNUMBER(SEARCH("Generative AI",F553)),12
=_xlfn.IFS(
OR(F553="Selenium (Hands-on)",F553="Guest Lecture: HR Interview"),6,
OR(F553="Soft Skill",F553="Soft Skill (Examination)",F553="AWS Training",F553="AWS Session"),7,
OR(ISNUMBER(SEARCH("MAD",F553)),ISNUMBER(SEARCH("STQA",F553)),F553="CI/CD Session"),8,
OR(ISNUMBER(SEARCH("Cloud",F553)),F553="Industry Readiness Program",ISNUMBER(SEARCH("Talenlio",F553))),9,
OR(ISNUMBER(SEARCH("Innovation",F553)),F553="Mini Project"),10,
OR(ISNUMBER(SEARCH("Data Science",F553)),ISNUMBER(SEARCH("DS",F553))),11,
ISNUMBER(SEARCH("Generative AI",F553)),12
=_xlfn.IFS(
OR(F553="Selenium (Hands-on)",F553="Guest Lecture: HR Interview"),6,
OR(F553="Soft Skill",F553="Soft Skill (Examination)",F553="AWS Training",F553="AWS Session"),7,
OR(ISNUMBER(SEARCH("MAD",F553)),ISNUMBER(SEARCH("STQA",F553)),F553="CI/CD Session"),8,
OR(ISNUMBER(SEARCH("Cloud",F553)),F553="Industry Readiness Program",ISNUMBER(SEARCH("Talenlio",F553))),9,
OR(ISNUMBER(SEARCH("Innovation",F553)),F553="Mini Project"),10,
OR(ISNUMBER(SEARCH("Data Science",F553)),ISNUMBER(SEARCH("DS",F553))),11,
ISNUMBER(SEARCH("Generative AI",F553)),12
))))</f>
        <v>8</v>
      </c>
      <c r="X553" s="3">
        <v>8</v>
      </c>
      <c r="Y553" s="3">
        <v>54</v>
      </c>
      <c r="Z553" s="3" t="s">
        <v>35</v>
      </c>
    </row>
    <row r="554" spans="1:26" x14ac:dyDescent="0.3">
      <c r="A554" s="2">
        <v>46241</v>
      </c>
      <c r="B554" s="3" t="s">
        <v>46</v>
      </c>
      <c r="C554" s="3">
        <v>3</v>
      </c>
      <c r="D554" s="4">
        <v>0.46875</v>
      </c>
      <c r="E554" s="4">
        <v>0.51041666666666696</v>
      </c>
      <c r="F554" s="3" t="s">
        <v>80</v>
      </c>
      <c r="G554" s="3" t="s">
        <v>289</v>
      </c>
      <c r="H554" s="3" t="s">
        <v>29</v>
      </c>
      <c r="I554" s="3" t="s">
        <v>30</v>
      </c>
      <c r="J554" s="3" t="s">
        <v>84</v>
      </c>
      <c r="K554" s="3" t="s">
        <v>52</v>
      </c>
      <c r="L554" s="5">
        <v>102</v>
      </c>
      <c r="M554" s="5">
        <f t="shared" ca="1" si="40"/>
        <v>97</v>
      </c>
      <c r="N554" s="6">
        <f t="shared" ca="1" si="41"/>
        <v>95.098039215686271</v>
      </c>
      <c r="O554" s="3" cm="1">
        <f t="array" aca="1" ref="O554" ca="1">IFERROR(LOOKUP(2, 1/((F$1:F553=F554)*(J$1:J553=J554)*(ROW(F$1:F553)&lt;ROW(F554))), N$1:N553), "")</f>
        <v>79.411764705882348</v>
      </c>
      <c r="P554" s="3">
        <f t="shared" si="44"/>
        <v>0</v>
      </c>
      <c r="Q554" s="3" t="s">
        <v>43</v>
      </c>
      <c r="R554" s="3" t="s">
        <v>40</v>
      </c>
      <c r="S554" s="3" t="str">
        <f t="shared" si="42"/>
        <v>Yes</v>
      </c>
      <c r="T554" s="3" t="s">
        <v>40</v>
      </c>
      <c r="U554" s="3" t="str">
        <f t="shared" si="43"/>
        <v>Rainy</v>
      </c>
      <c r="V554" s="3" t="s">
        <v>40</v>
      </c>
      <c r="W554" s="3" cm="1">
        <f t="array" ref="W554">_xlfn.IFS(
OR(F554="Selenium (Hands-on)",F554="Guest Lecture: HR Interview"),6,
OR(F554="Soft Skill",F554="Soft Skill (Examination)",F554="AWS Training",F554="AWS Session"),7,
OR(ISNUMBER(SEARCH("MAD",F554)),ISNUMBER(SEARCH("STQA",F554)),F554="CI/CD Session"),8,
OR(ISNUMBER(SEARCH("Cloud",F554)),F554="Industry Readiness Program",ISNUMBER(SEARCH("Talenlio",F554))),9,
OR(ISNUMBER(SEARCH("Innovation",F554)),F554="Mini Project"),10,
OR(ISNUMBER(SEARCH("Data Science",F554)),ISNUMBER(SEARCH("DS",F554))),11,
ISNUMBER(SEARCH("Generative AI",F554)),12
=_xlfn.IFS(
OR(F554="Selenium (Hands-on)",F554="Guest Lecture: HR Interview"),6,
OR(F554="Soft Skill",F554="Soft Skill (Examination)",F554="AWS Training",F554="AWS Session"),7,
OR(ISNUMBER(SEARCH("MAD",F554)),ISNUMBER(SEARCH("STQA",F554)),F554="CI/CD Session"),8,
OR(ISNUMBER(SEARCH("Cloud",F554)),F554="Industry Readiness Program",ISNUMBER(SEARCH("Talenlio",F554))),9,
OR(ISNUMBER(SEARCH("Innovation",F554)),F554="Mini Project"),10,
OR(ISNUMBER(SEARCH("Data Science",F554)),ISNUMBER(SEARCH("DS",F554))),11,
ISNUMBER(SEARCH("Generative AI",F554)),12
=_xlfn.IFS(
OR(F554="Selenium (Hands-on)",F554="Guest Lecture: HR Interview"),6,
OR(F554="Soft Skill",F554="Soft Skill (Examination)",F554="AWS Training",F554="AWS Session"),7,
OR(ISNUMBER(SEARCH("MAD",F554)),ISNUMBER(SEARCH("STQA",F554)),F554="CI/CD Session"),8,
OR(ISNUMBER(SEARCH("Cloud",F554)),F554="Industry Readiness Program",ISNUMBER(SEARCH("Talenlio",F554))),9,
OR(ISNUMBER(SEARCH("Innovation",F554)),F554="Mini Project"),10,
OR(ISNUMBER(SEARCH("Data Science",F554)),ISNUMBER(SEARCH("DS",F554))),11,
ISNUMBER(SEARCH("Generative AI",F554)),12
=_xlfn.IFS(
OR(F554="Selenium (Hands-on)",F554="Guest Lecture: HR Interview"),6,
OR(F554="Soft Skill",F554="Soft Skill (Examination)",F554="AWS Training",F554="AWS Session"),7,
OR(ISNUMBER(SEARCH("MAD",F554)),ISNUMBER(SEARCH("STQA",F554)),F554="CI/CD Session"),8,
OR(ISNUMBER(SEARCH("Cloud",F554)),F554="Industry Readiness Program",ISNUMBER(SEARCH("Talenlio",F554))),9,
OR(ISNUMBER(SEARCH("Innovation",F554)),F554="Mini Project"),10,
OR(ISNUMBER(SEARCH("Data Science",F554)),ISNUMBER(SEARCH("DS",F554))),11,
ISNUMBER(SEARCH("Generative AI",F554)),12
))))</f>
        <v>8</v>
      </c>
      <c r="X554" s="3">
        <v>8</v>
      </c>
      <c r="Y554" s="3">
        <v>54</v>
      </c>
      <c r="Z554" s="3" t="s">
        <v>35</v>
      </c>
    </row>
    <row r="555" spans="1:26" x14ac:dyDescent="0.3">
      <c r="A555" s="2">
        <v>46241</v>
      </c>
      <c r="B555" s="3" t="s">
        <v>46</v>
      </c>
      <c r="C555" s="3">
        <v>4</v>
      </c>
      <c r="D555" s="4">
        <v>0.5625</v>
      </c>
      <c r="E555" s="4">
        <v>0.60416666666666696</v>
      </c>
      <c r="F555" s="3" t="s">
        <v>81</v>
      </c>
      <c r="G555" s="3" t="s">
        <v>289</v>
      </c>
      <c r="H555" s="3" t="s">
        <v>29</v>
      </c>
      <c r="I555" s="3" t="s">
        <v>30</v>
      </c>
      <c r="J555" s="3" t="s">
        <v>84</v>
      </c>
      <c r="K555" s="3" t="s">
        <v>52</v>
      </c>
      <c r="L555" s="5">
        <v>102</v>
      </c>
      <c r="M555" s="5">
        <f t="shared" ca="1" si="40"/>
        <v>63</v>
      </c>
      <c r="N555" s="6">
        <f t="shared" ca="1" si="41"/>
        <v>61.764705882352942</v>
      </c>
      <c r="O555" s="3" cm="1">
        <f t="array" aca="1" ref="O555" ca="1">IFERROR(LOOKUP(2, 1/((F$1:F554=F555)*(J$1:J554=J555)*(ROW(F$1:F554)&lt;ROW(F555))), N$1:N554), "")</f>
        <v>56.862745098039213</v>
      </c>
      <c r="P555" s="3">
        <f t="shared" si="44"/>
        <v>1.25</v>
      </c>
      <c r="Q555" s="3" t="s">
        <v>43</v>
      </c>
      <c r="R555" s="3" t="s">
        <v>40</v>
      </c>
      <c r="S555" s="3" t="str">
        <f t="shared" si="42"/>
        <v>Yes</v>
      </c>
      <c r="T555" s="3" t="s">
        <v>40</v>
      </c>
      <c r="U555" s="3" t="str">
        <f t="shared" si="43"/>
        <v>Rainy</v>
      </c>
      <c r="V555" s="3" t="s">
        <v>40</v>
      </c>
      <c r="W555" s="3" cm="1">
        <f t="array" ref="W555">_xlfn.IFS(
OR(F555="Selenium (Hands-on)",F555="Guest Lecture: HR Interview"),6,
OR(F555="Soft Skill",F555="Soft Skill (Examination)",F555="AWS Training",F555="AWS Session"),7,
OR(ISNUMBER(SEARCH("MAD",F555)),ISNUMBER(SEARCH("STQA",F555)),F555="CI/CD Session"),8,
OR(ISNUMBER(SEARCH("Cloud",F555)),F555="Industry Readiness Program",ISNUMBER(SEARCH("Talenlio",F555))),9,
OR(ISNUMBER(SEARCH("Innovation",F555)),F555="Mini Project"),10,
OR(ISNUMBER(SEARCH("Data Science",F555)),ISNUMBER(SEARCH("DS",F555))),11,
ISNUMBER(SEARCH("Generative AI",F555)),12
=_xlfn.IFS(
OR(F555="Selenium (Hands-on)",F555="Guest Lecture: HR Interview"),6,
OR(F555="Soft Skill",F555="Soft Skill (Examination)",F555="AWS Training",F555="AWS Session"),7,
OR(ISNUMBER(SEARCH("MAD",F555)),ISNUMBER(SEARCH("STQA",F555)),F555="CI/CD Session"),8,
OR(ISNUMBER(SEARCH("Cloud",F555)),F555="Industry Readiness Program",ISNUMBER(SEARCH("Talenlio",F555))),9,
OR(ISNUMBER(SEARCH("Innovation",F555)),F555="Mini Project"),10,
OR(ISNUMBER(SEARCH("Data Science",F555)),ISNUMBER(SEARCH("DS",F555))),11,
ISNUMBER(SEARCH("Generative AI",F555)),12
=_xlfn.IFS(
OR(F555="Selenium (Hands-on)",F555="Guest Lecture: HR Interview"),6,
OR(F555="Soft Skill",F555="Soft Skill (Examination)",F555="AWS Training",F555="AWS Session"),7,
OR(ISNUMBER(SEARCH("MAD",F555)),ISNUMBER(SEARCH("STQA",F555)),F555="CI/CD Session"),8,
OR(ISNUMBER(SEARCH("Cloud",F555)),F555="Industry Readiness Program",ISNUMBER(SEARCH("Talenlio",F555))),9,
OR(ISNUMBER(SEARCH("Innovation",F555)),F555="Mini Project"),10,
OR(ISNUMBER(SEARCH("Data Science",F555)),ISNUMBER(SEARCH("DS",F555))),11,
ISNUMBER(SEARCH("Generative AI",F555)),12
=_xlfn.IFS(
OR(F555="Selenium (Hands-on)",F555="Guest Lecture: HR Interview"),6,
OR(F555="Soft Skill",F555="Soft Skill (Examination)",F555="AWS Training",F555="AWS Session"),7,
OR(ISNUMBER(SEARCH("MAD",F555)),ISNUMBER(SEARCH("STQA",F555)),F555="CI/CD Session"),8,
OR(ISNUMBER(SEARCH("Cloud",F555)),F555="Industry Readiness Program",ISNUMBER(SEARCH("Talenlio",F555))),9,
OR(ISNUMBER(SEARCH("Innovation",F555)),F555="Mini Project"),10,
OR(ISNUMBER(SEARCH("Data Science",F555)),ISNUMBER(SEARCH("DS",F555))),11,
ISNUMBER(SEARCH("Generative AI",F555)),12
))))</f>
        <v>7</v>
      </c>
      <c r="X555" s="3">
        <v>8</v>
      </c>
      <c r="Y555" s="3">
        <v>54</v>
      </c>
      <c r="Z555" s="3" t="s">
        <v>38</v>
      </c>
    </row>
    <row r="556" spans="1:26" x14ac:dyDescent="0.3">
      <c r="A556" s="2">
        <v>46241</v>
      </c>
      <c r="B556" s="3" t="s">
        <v>46</v>
      </c>
      <c r="C556" s="3">
        <v>5</v>
      </c>
      <c r="D556" s="4">
        <v>0.60416666666666696</v>
      </c>
      <c r="E556" s="4">
        <v>0.64583333333333304</v>
      </c>
      <c r="F556" s="3" t="s">
        <v>81</v>
      </c>
      <c r="G556" s="3" t="s">
        <v>289</v>
      </c>
      <c r="H556" s="3" t="s">
        <v>29</v>
      </c>
      <c r="I556" s="3" t="s">
        <v>30</v>
      </c>
      <c r="J556" s="3" t="s">
        <v>84</v>
      </c>
      <c r="K556" s="3" t="s">
        <v>52</v>
      </c>
      <c r="L556" s="5">
        <v>102</v>
      </c>
      <c r="M556" s="5">
        <f t="shared" ca="1" si="40"/>
        <v>73</v>
      </c>
      <c r="N556" s="6">
        <f t="shared" ca="1" si="41"/>
        <v>71.568627450980387</v>
      </c>
      <c r="O556" s="3" cm="1">
        <f t="array" aca="1" ref="O556" ca="1">IFERROR(LOOKUP(2, 1/((F$1:F555=F556)*(J$1:J555=J556)*(ROW(F$1:F555)&lt;ROW(F556))), N$1:N555), "")</f>
        <v>61.764705882352942</v>
      </c>
      <c r="P556" s="3">
        <f t="shared" si="44"/>
        <v>0</v>
      </c>
      <c r="Q556" s="3" t="s">
        <v>43</v>
      </c>
      <c r="R556" s="3" t="s">
        <v>40</v>
      </c>
      <c r="S556" s="3" t="str">
        <f t="shared" si="42"/>
        <v>Yes</v>
      </c>
      <c r="T556" s="3" t="s">
        <v>40</v>
      </c>
      <c r="U556" s="3" t="str">
        <f t="shared" si="43"/>
        <v>Rainy</v>
      </c>
      <c r="V556" s="3" t="s">
        <v>40</v>
      </c>
      <c r="W556" s="3" cm="1">
        <f t="array" ref="W556">_xlfn.IFS(
OR(F556="Selenium (Hands-on)",F556="Guest Lecture: HR Interview"),6,
OR(F556="Soft Skill",F556="Soft Skill (Examination)",F556="AWS Training",F556="AWS Session"),7,
OR(ISNUMBER(SEARCH("MAD",F556)),ISNUMBER(SEARCH("STQA",F556)),F556="CI/CD Session"),8,
OR(ISNUMBER(SEARCH("Cloud",F556)),F556="Industry Readiness Program",ISNUMBER(SEARCH("Talenlio",F556))),9,
OR(ISNUMBER(SEARCH("Innovation",F556)),F556="Mini Project"),10,
OR(ISNUMBER(SEARCH("Data Science",F556)),ISNUMBER(SEARCH("DS",F556))),11,
ISNUMBER(SEARCH("Generative AI",F556)),12
=_xlfn.IFS(
OR(F556="Selenium (Hands-on)",F556="Guest Lecture: HR Interview"),6,
OR(F556="Soft Skill",F556="Soft Skill (Examination)",F556="AWS Training",F556="AWS Session"),7,
OR(ISNUMBER(SEARCH("MAD",F556)),ISNUMBER(SEARCH("STQA",F556)),F556="CI/CD Session"),8,
OR(ISNUMBER(SEARCH("Cloud",F556)),F556="Industry Readiness Program",ISNUMBER(SEARCH("Talenlio",F556))),9,
OR(ISNUMBER(SEARCH("Innovation",F556)),F556="Mini Project"),10,
OR(ISNUMBER(SEARCH("Data Science",F556)),ISNUMBER(SEARCH("DS",F556))),11,
ISNUMBER(SEARCH("Generative AI",F556)),12
=_xlfn.IFS(
OR(F556="Selenium (Hands-on)",F556="Guest Lecture: HR Interview"),6,
OR(F556="Soft Skill",F556="Soft Skill (Examination)",F556="AWS Training",F556="AWS Session"),7,
OR(ISNUMBER(SEARCH("MAD",F556)),ISNUMBER(SEARCH("STQA",F556)),F556="CI/CD Session"),8,
OR(ISNUMBER(SEARCH("Cloud",F556)),F556="Industry Readiness Program",ISNUMBER(SEARCH("Talenlio",F556))),9,
OR(ISNUMBER(SEARCH("Innovation",F556)),F556="Mini Project"),10,
OR(ISNUMBER(SEARCH("Data Science",F556)),ISNUMBER(SEARCH("DS",F556))),11,
ISNUMBER(SEARCH("Generative AI",F556)),12
=_xlfn.IFS(
OR(F556="Selenium (Hands-on)",F556="Guest Lecture: HR Interview"),6,
OR(F556="Soft Skill",F556="Soft Skill (Examination)",F556="AWS Training",F556="AWS Session"),7,
OR(ISNUMBER(SEARCH("MAD",F556)),ISNUMBER(SEARCH("STQA",F556)),F556="CI/CD Session"),8,
OR(ISNUMBER(SEARCH("Cloud",F556)),F556="Industry Readiness Program",ISNUMBER(SEARCH("Talenlio",F556))),9,
OR(ISNUMBER(SEARCH("Innovation",F556)),F556="Mini Project"),10,
OR(ISNUMBER(SEARCH("Data Science",F556)),ISNUMBER(SEARCH("DS",F556))),11,
ISNUMBER(SEARCH("Generative AI",F556)),12
))))</f>
        <v>7</v>
      </c>
      <c r="X556" s="3">
        <v>8</v>
      </c>
      <c r="Y556" s="3">
        <v>54</v>
      </c>
      <c r="Z556" s="3" t="s">
        <v>38</v>
      </c>
    </row>
    <row r="557" spans="1:26" x14ac:dyDescent="0.3">
      <c r="A557" s="2">
        <v>46241</v>
      </c>
      <c r="B557" s="3" t="s">
        <v>46</v>
      </c>
      <c r="C557" s="3">
        <v>6</v>
      </c>
      <c r="D557" s="4">
        <v>0.64583333333333304</v>
      </c>
      <c r="E557" s="4">
        <v>0.6875</v>
      </c>
      <c r="F557" s="3" t="s">
        <v>81</v>
      </c>
      <c r="G557" s="3" t="s">
        <v>289</v>
      </c>
      <c r="H557" s="3" t="s">
        <v>29</v>
      </c>
      <c r="I557" s="3" t="s">
        <v>30</v>
      </c>
      <c r="J557" s="3" t="s">
        <v>84</v>
      </c>
      <c r="K557" s="3" t="s">
        <v>52</v>
      </c>
      <c r="L557" s="5">
        <v>102</v>
      </c>
      <c r="M557" s="5">
        <f t="shared" ca="1" si="40"/>
        <v>66</v>
      </c>
      <c r="N557" s="6">
        <f t="shared" ca="1" si="41"/>
        <v>64.705882352941174</v>
      </c>
      <c r="O557" s="3" cm="1">
        <f t="array" aca="1" ref="O557" ca="1">IFERROR(LOOKUP(2, 1/((F$1:F556=F557)*(J$1:J556=J557)*(ROW(F$1:F556)&lt;ROW(F557))), N$1:N556), "")</f>
        <v>71.568627450980387</v>
      </c>
      <c r="P557" s="3">
        <f t="shared" si="44"/>
        <v>0</v>
      </c>
      <c r="Q557" s="3" t="s">
        <v>43</v>
      </c>
      <c r="R557" s="3" t="s">
        <v>40</v>
      </c>
      <c r="S557" s="3" t="str">
        <f t="shared" si="42"/>
        <v>Yes</v>
      </c>
      <c r="T557" s="3" t="s">
        <v>40</v>
      </c>
      <c r="U557" s="3" t="str">
        <f t="shared" si="43"/>
        <v>Rainy</v>
      </c>
      <c r="V557" s="3" t="s">
        <v>40</v>
      </c>
      <c r="W557" s="3" cm="1">
        <f t="array" ref="W557">_xlfn.IFS(
OR(F557="Selenium (Hands-on)",F557="Guest Lecture: HR Interview"),6,
OR(F557="Soft Skill",F557="Soft Skill (Examination)",F557="AWS Training",F557="AWS Session"),7,
OR(ISNUMBER(SEARCH("MAD",F557)),ISNUMBER(SEARCH("STQA",F557)),F557="CI/CD Session"),8,
OR(ISNUMBER(SEARCH("Cloud",F557)),F557="Industry Readiness Program",ISNUMBER(SEARCH("Talenlio",F557))),9,
OR(ISNUMBER(SEARCH("Innovation",F557)),F557="Mini Project"),10,
OR(ISNUMBER(SEARCH("Data Science",F557)),ISNUMBER(SEARCH("DS",F557))),11,
ISNUMBER(SEARCH("Generative AI",F557)),12
=_xlfn.IFS(
OR(F557="Selenium (Hands-on)",F557="Guest Lecture: HR Interview"),6,
OR(F557="Soft Skill",F557="Soft Skill (Examination)",F557="AWS Training",F557="AWS Session"),7,
OR(ISNUMBER(SEARCH("MAD",F557)),ISNUMBER(SEARCH("STQA",F557)),F557="CI/CD Session"),8,
OR(ISNUMBER(SEARCH("Cloud",F557)),F557="Industry Readiness Program",ISNUMBER(SEARCH("Talenlio",F557))),9,
OR(ISNUMBER(SEARCH("Innovation",F557)),F557="Mini Project"),10,
OR(ISNUMBER(SEARCH("Data Science",F557)),ISNUMBER(SEARCH("DS",F557))),11,
ISNUMBER(SEARCH("Generative AI",F557)),12
=_xlfn.IFS(
OR(F557="Selenium (Hands-on)",F557="Guest Lecture: HR Interview"),6,
OR(F557="Soft Skill",F557="Soft Skill (Examination)",F557="AWS Training",F557="AWS Session"),7,
OR(ISNUMBER(SEARCH("MAD",F557)),ISNUMBER(SEARCH("STQA",F557)),F557="CI/CD Session"),8,
OR(ISNUMBER(SEARCH("Cloud",F557)),F557="Industry Readiness Program",ISNUMBER(SEARCH("Talenlio",F557))),9,
OR(ISNUMBER(SEARCH("Innovation",F557)),F557="Mini Project"),10,
OR(ISNUMBER(SEARCH("Data Science",F557)),ISNUMBER(SEARCH("DS",F557))),11,
ISNUMBER(SEARCH("Generative AI",F557)),12
=_xlfn.IFS(
OR(F557="Selenium (Hands-on)",F557="Guest Lecture: HR Interview"),6,
OR(F557="Soft Skill",F557="Soft Skill (Examination)",F557="AWS Training",F557="AWS Session"),7,
OR(ISNUMBER(SEARCH("MAD",F557)),ISNUMBER(SEARCH("STQA",F557)),F557="CI/CD Session"),8,
OR(ISNUMBER(SEARCH("Cloud",F557)),F557="Industry Readiness Program",ISNUMBER(SEARCH("Talenlio",F557))),9,
OR(ISNUMBER(SEARCH("Innovation",F557)),F557="Mini Project"),10,
OR(ISNUMBER(SEARCH("Data Science",F557)),ISNUMBER(SEARCH("DS",F557))),11,
ISNUMBER(SEARCH("Generative AI",F557)),12
))))</f>
        <v>7</v>
      </c>
      <c r="X557" s="3">
        <v>8</v>
      </c>
      <c r="Y557" s="3">
        <v>54</v>
      </c>
      <c r="Z557" s="3" t="s">
        <v>38</v>
      </c>
    </row>
    <row r="558" spans="1:26" x14ac:dyDescent="0.3">
      <c r="A558" s="2">
        <v>46242</v>
      </c>
      <c r="B558" s="3" t="s">
        <v>47</v>
      </c>
      <c r="C558" s="3">
        <v>1</v>
      </c>
      <c r="D558" s="4">
        <v>0.35416666666666702</v>
      </c>
      <c r="E558" s="4">
        <v>0.38541666666666702</v>
      </c>
      <c r="F558" s="3" t="s">
        <v>65</v>
      </c>
      <c r="G558" s="3" t="s">
        <v>51</v>
      </c>
      <c r="H558" s="3" t="s">
        <v>29</v>
      </c>
      <c r="I558" s="3" t="s">
        <v>30</v>
      </c>
      <c r="J558" s="3" t="s">
        <v>84</v>
      </c>
      <c r="K558" s="3" t="s">
        <v>52</v>
      </c>
      <c r="L558" s="5">
        <v>102</v>
      </c>
      <c r="M558" s="5">
        <f t="shared" ca="1" si="40"/>
        <v>97</v>
      </c>
      <c r="N558" s="6">
        <f t="shared" ca="1" si="41"/>
        <v>95.098039215686271</v>
      </c>
      <c r="O558" s="3" cm="1">
        <f t="array" aca="1" ref="O558" ca="1">IFERROR(LOOKUP(2, 1/((F$1:F557=F558)*(J$1:J557=J558)*(ROW(F$1:F557)&lt;ROW(F558))), N$1:N557), "")</f>
        <v>41.17647058823529</v>
      </c>
      <c r="P558" s="3">
        <f t="shared" si="44"/>
        <v>0</v>
      </c>
      <c r="Q558" s="3" t="s">
        <v>43</v>
      </c>
      <c r="R558" s="3" t="s">
        <v>40</v>
      </c>
      <c r="S558" s="3" t="str">
        <f t="shared" si="42"/>
        <v>No</v>
      </c>
      <c r="T558" s="3" t="s">
        <v>34</v>
      </c>
      <c r="U558" s="3" t="str">
        <f t="shared" si="43"/>
        <v>Rainy</v>
      </c>
      <c r="V558" s="3" t="s">
        <v>40</v>
      </c>
      <c r="W558" s="3" cm="1">
        <f t="array" ref="W558">_xlfn.IFS(
OR(F558="Selenium (Hands-on)",F558="Guest Lecture: HR Interview"),6,
OR(F558="Soft Skill",F558="Soft Skill (Examination)",F558="AWS Training",F558="AWS Session"),7,
OR(ISNUMBER(SEARCH("MAD",F558)),ISNUMBER(SEARCH("STQA",F558)),F558="CI/CD Session"),8,
OR(ISNUMBER(SEARCH("Cloud",F558)),F558="Industry Readiness Program",ISNUMBER(SEARCH("Talenlio",F558))),9,
OR(ISNUMBER(SEARCH("Innovation",F558)),F558="Mini Project"),10,
OR(ISNUMBER(SEARCH("Data Science",F558)),ISNUMBER(SEARCH("DS",F558))),11,
ISNUMBER(SEARCH("Generative AI",F558)),12
=_xlfn.IFS(
OR(F558="Selenium (Hands-on)",F558="Guest Lecture: HR Interview"),6,
OR(F558="Soft Skill",F558="Soft Skill (Examination)",F558="AWS Training",F558="AWS Session"),7,
OR(ISNUMBER(SEARCH("MAD",F558)),ISNUMBER(SEARCH("STQA",F558)),F558="CI/CD Session"),8,
OR(ISNUMBER(SEARCH("Cloud",F558)),F558="Industry Readiness Program",ISNUMBER(SEARCH("Talenlio",F558))),9,
OR(ISNUMBER(SEARCH("Innovation",F558)),F558="Mini Project"),10,
OR(ISNUMBER(SEARCH("Data Science",F558)),ISNUMBER(SEARCH("DS",F558))),11,
ISNUMBER(SEARCH("Generative AI",F558)),12
=_xlfn.IFS(
OR(F558="Selenium (Hands-on)",F558="Guest Lecture: HR Interview"),6,
OR(F558="Soft Skill",F558="Soft Skill (Examination)",F558="AWS Training",F558="AWS Session"),7,
OR(ISNUMBER(SEARCH("MAD",F558)),ISNUMBER(SEARCH("STQA",F558)),F558="CI/CD Session"),8,
OR(ISNUMBER(SEARCH("Cloud",F558)),F558="Industry Readiness Program",ISNUMBER(SEARCH("Talenlio",F558))),9,
OR(ISNUMBER(SEARCH("Innovation",F558)),F558="Mini Project"),10,
OR(ISNUMBER(SEARCH("Data Science",F558)),ISNUMBER(SEARCH("DS",F558))),11,
ISNUMBER(SEARCH("Generative AI",F558)),12
=_xlfn.IFS(
OR(F558="Selenium (Hands-on)",F558="Guest Lecture: HR Interview"),6,
OR(F558="Soft Skill",F558="Soft Skill (Examination)",F558="AWS Training",F558="AWS Session"),7,
OR(ISNUMBER(SEARCH("MAD",F558)),ISNUMBER(SEARCH("STQA",F558)),F558="CI/CD Session"),8,
OR(ISNUMBER(SEARCH("Cloud",F558)),F558="Industry Readiness Program",ISNUMBER(SEARCH("Talenlio",F558))),9,
OR(ISNUMBER(SEARCH("Innovation",F558)),F558="Mini Project"),10,
OR(ISNUMBER(SEARCH("Data Science",F558)),ISNUMBER(SEARCH("DS",F558))),11,
ISNUMBER(SEARCH("Generative AI",F558)),12
))))</f>
        <v>8</v>
      </c>
      <c r="X558" s="3">
        <v>8</v>
      </c>
      <c r="Y558" s="3">
        <v>55</v>
      </c>
      <c r="Z558" s="3" t="s">
        <v>35</v>
      </c>
    </row>
    <row r="559" spans="1:26" x14ac:dyDescent="0.3">
      <c r="A559" s="2">
        <v>46242</v>
      </c>
      <c r="B559" s="3" t="s">
        <v>47</v>
      </c>
      <c r="C559" s="3">
        <v>2</v>
      </c>
      <c r="D559" s="4">
        <v>0.38541666666666702</v>
      </c>
      <c r="E559" s="4">
        <v>0.42708333333333298</v>
      </c>
      <c r="F559" s="3" t="s">
        <v>65</v>
      </c>
      <c r="G559" s="3" t="s">
        <v>51</v>
      </c>
      <c r="H559" s="3" t="s">
        <v>29</v>
      </c>
      <c r="I559" s="3" t="s">
        <v>30</v>
      </c>
      <c r="J559" s="3" t="s">
        <v>84</v>
      </c>
      <c r="K559" s="3" t="s">
        <v>52</v>
      </c>
      <c r="L559" s="5">
        <v>102</v>
      </c>
      <c r="M559" s="5">
        <f t="shared" ca="1" si="40"/>
        <v>48</v>
      </c>
      <c r="N559" s="6">
        <f t="shared" ca="1" si="41"/>
        <v>47.058823529411761</v>
      </c>
      <c r="O559" s="3" cm="1">
        <f t="array" aca="1" ref="O559" ca="1">IFERROR(LOOKUP(2, 1/((F$1:F558=F559)*(J$1:J558=J559)*(ROW(F$1:F558)&lt;ROW(F559))), N$1:N558), "")</f>
        <v>95.098039215686271</v>
      </c>
      <c r="P559" s="3">
        <f t="shared" si="44"/>
        <v>0</v>
      </c>
      <c r="Q559" s="3" t="s">
        <v>43</v>
      </c>
      <c r="R559" s="3" t="s">
        <v>40</v>
      </c>
      <c r="S559" s="3" t="str">
        <f t="shared" si="42"/>
        <v>No</v>
      </c>
      <c r="T559" s="3" t="s">
        <v>34</v>
      </c>
      <c r="U559" s="3" t="str">
        <f t="shared" si="43"/>
        <v>Rainy</v>
      </c>
      <c r="V559" s="3" t="s">
        <v>40</v>
      </c>
      <c r="W559" s="3" cm="1">
        <f t="array" ref="W559">_xlfn.IFS(
OR(F559="Selenium (Hands-on)",F559="Guest Lecture: HR Interview"),6,
OR(F559="Soft Skill",F559="Soft Skill (Examination)",F559="AWS Training",F559="AWS Session"),7,
OR(ISNUMBER(SEARCH("MAD",F559)),ISNUMBER(SEARCH("STQA",F559)),F559="CI/CD Session"),8,
OR(ISNUMBER(SEARCH("Cloud",F559)),F559="Industry Readiness Program",ISNUMBER(SEARCH("Talenlio",F559))),9,
OR(ISNUMBER(SEARCH("Innovation",F559)),F559="Mini Project"),10,
OR(ISNUMBER(SEARCH("Data Science",F559)),ISNUMBER(SEARCH("DS",F559))),11,
ISNUMBER(SEARCH("Generative AI",F559)),12
=_xlfn.IFS(
OR(F559="Selenium (Hands-on)",F559="Guest Lecture: HR Interview"),6,
OR(F559="Soft Skill",F559="Soft Skill (Examination)",F559="AWS Training",F559="AWS Session"),7,
OR(ISNUMBER(SEARCH("MAD",F559)),ISNUMBER(SEARCH("STQA",F559)),F559="CI/CD Session"),8,
OR(ISNUMBER(SEARCH("Cloud",F559)),F559="Industry Readiness Program",ISNUMBER(SEARCH("Talenlio",F559))),9,
OR(ISNUMBER(SEARCH("Innovation",F559)),F559="Mini Project"),10,
OR(ISNUMBER(SEARCH("Data Science",F559)),ISNUMBER(SEARCH("DS",F559))),11,
ISNUMBER(SEARCH("Generative AI",F559)),12
=_xlfn.IFS(
OR(F559="Selenium (Hands-on)",F559="Guest Lecture: HR Interview"),6,
OR(F559="Soft Skill",F559="Soft Skill (Examination)",F559="AWS Training",F559="AWS Session"),7,
OR(ISNUMBER(SEARCH("MAD",F559)),ISNUMBER(SEARCH("STQA",F559)),F559="CI/CD Session"),8,
OR(ISNUMBER(SEARCH("Cloud",F559)),F559="Industry Readiness Program",ISNUMBER(SEARCH("Talenlio",F559))),9,
OR(ISNUMBER(SEARCH("Innovation",F559)),F559="Mini Project"),10,
OR(ISNUMBER(SEARCH("Data Science",F559)),ISNUMBER(SEARCH("DS",F559))),11,
ISNUMBER(SEARCH("Generative AI",F559)),12
=_xlfn.IFS(
OR(F559="Selenium (Hands-on)",F559="Guest Lecture: HR Interview"),6,
OR(F559="Soft Skill",F559="Soft Skill (Examination)",F559="AWS Training",F559="AWS Session"),7,
OR(ISNUMBER(SEARCH("MAD",F559)),ISNUMBER(SEARCH("STQA",F559)),F559="CI/CD Session"),8,
OR(ISNUMBER(SEARCH("Cloud",F559)),F559="Industry Readiness Program",ISNUMBER(SEARCH("Talenlio",F559))),9,
OR(ISNUMBER(SEARCH("Innovation",F559)),F559="Mini Project"),10,
OR(ISNUMBER(SEARCH("Data Science",F559)),ISNUMBER(SEARCH("DS",F559))),11,
ISNUMBER(SEARCH("Generative AI",F559)),12
))))</f>
        <v>8</v>
      </c>
      <c r="X559" s="3">
        <v>8</v>
      </c>
      <c r="Y559" s="3">
        <v>55</v>
      </c>
      <c r="Z559" s="3" t="s">
        <v>35</v>
      </c>
    </row>
    <row r="560" spans="1:26" x14ac:dyDescent="0.3">
      <c r="A560" s="2">
        <v>46242</v>
      </c>
      <c r="B560" s="3" t="s">
        <v>47</v>
      </c>
      <c r="C560" s="3">
        <v>3</v>
      </c>
      <c r="D560" s="4">
        <v>0.42708333333333298</v>
      </c>
      <c r="E560" s="4">
        <v>0.46875</v>
      </c>
      <c r="F560" s="3" t="s">
        <v>66</v>
      </c>
      <c r="G560" s="3" t="s">
        <v>67</v>
      </c>
      <c r="H560" s="3" t="s">
        <v>29</v>
      </c>
      <c r="I560" s="3" t="s">
        <v>30</v>
      </c>
      <c r="J560" s="3" t="s">
        <v>84</v>
      </c>
      <c r="K560" s="3" t="s">
        <v>52</v>
      </c>
      <c r="L560" s="5">
        <v>102</v>
      </c>
      <c r="M560" s="5">
        <f t="shared" ca="1" si="40"/>
        <v>67</v>
      </c>
      <c r="N560" s="6">
        <f t="shared" ca="1" si="41"/>
        <v>65.686274509803923</v>
      </c>
      <c r="O560" s="3" cm="1">
        <f t="array" aca="1" ref="O560" ca="1">IFERROR(LOOKUP(2, 1/((F$1:F559=F560)*(J$1:J559=J560)*(ROW(F$1:F559)&lt;ROW(F560))), N$1:N559), "")</f>
        <v>58.82352941176471</v>
      </c>
      <c r="P560" s="3">
        <f t="shared" si="44"/>
        <v>0</v>
      </c>
      <c r="Q560" s="3" t="s">
        <v>43</v>
      </c>
      <c r="R560" s="3" t="s">
        <v>40</v>
      </c>
      <c r="S560" s="3" t="str">
        <f t="shared" si="42"/>
        <v>Yes</v>
      </c>
      <c r="T560" s="3" t="s">
        <v>34</v>
      </c>
      <c r="U560" s="3" t="str">
        <f t="shared" si="43"/>
        <v>Rainy</v>
      </c>
      <c r="V560" s="3" t="s">
        <v>40</v>
      </c>
      <c r="W560" s="3" cm="1">
        <f t="array" ref="W560">_xlfn.IFS(
OR(F560="Selenium (Hands-on)",F560="Guest Lecture: HR Interview"),6,
OR(F560="Soft Skill",F560="Soft Skill (Examination)",F560="AWS Training",F560="AWS Session"),7,
OR(ISNUMBER(SEARCH("MAD",F560)),ISNUMBER(SEARCH("STQA",F560)),F560="CI/CD Session"),8,
OR(ISNUMBER(SEARCH("Cloud",F560)),F560="Industry Readiness Program",ISNUMBER(SEARCH("Talenlio",F560))),9,
OR(ISNUMBER(SEARCH("Innovation",F560)),F560="Mini Project"),10,
OR(ISNUMBER(SEARCH("Data Science",F560)),ISNUMBER(SEARCH("DS",F560))),11,
ISNUMBER(SEARCH("Generative AI",F560)),12
=_xlfn.IFS(
OR(F560="Selenium (Hands-on)",F560="Guest Lecture: HR Interview"),6,
OR(F560="Soft Skill",F560="Soft Skill (Examination)",F560="AWS Training",F560="AWS Session"),7,
OR(ISNUMBER(SEARCH("MAD",F560)),ISNUMBER(SEARCH("STQA",F560)),F560="CI/CD Session"),8,
OR(ISNUMBER(SEARCH("Cloud",F560)),F560="Industry Readiness Program",ISNUMBER(SEARCH("Talenlio",F560))),9,
OR(ISNUMBER(SEARCH("Innovation",F560)),F560="Mini Project"),10,
OR(ISNUMBER(SEARCH("Data Science",F560)),ISNUMBER(SEARCH("DS",F560))),11,
ISNUMBER(SEARCH("Generative AI",F560)),12
=_xlfn.IFS(
OR(F560="Selenium (Hands-on)",F560="Guest Lecture: HR Interview"),6,
OR(F560="Soft Skill",F560="Soft Skill (Examination)",F560="AWS Training",F560="AWS Session"),7,
OR(ISNUMBER(SEARCH("MAD",F560)),ISNUMBER(SEARCH("STQA",F560)),F560="CI/CD Session"),8,
OR(ISNUMBER(SEARCH("Cloud",F560)),F560="Industry Readiness Program",ISNUMBER(SEARCH("Talenlio",F560))),9,
OR(ISNUMBER(SEARCH("Innovation",F560)),F560="Mini Project"),10,
OR(ISNUMBER(SEARCH("Data Science",F560)),ISNUMBER(SEARCH("DS",F560))),11,
ISNUMBER(SEARCH("Generative AI",F560)),12
=_xlfn.IFS(
OR(F560="Selenium (Hands-on)",F560="Guest Lecture: HR Interview"),6,
OR(F560="Soft Skill",F560="Soft Skill (Examination)",F560="AWS Training",F560="AWS Session"),7,
OR(ISNUMBER(SEARCH("MAD",F560)),ISNUMBER(SEARCH("STQA",F560)),F560="CI/CD Session"),8,
OR(ISNUMBER(SEARCH("Cloud",F560)),F560="Industry Readiness Program",ISNUMBER(SEARCH("Talenlio",F560))),9,
OR(ISNUMBER(SEARCH("Innovation",F560)),F560="Mini Project"),10,
OR(ISNUMBER(SEARCH("Data Science",F560)),ISNUMBER(SEARCH("DS",F560))),11,
ISNUMBER(SEARCH("Generative AI",F560)),12
))))</f>
        <v>10</v>
      </c>
      <c r="X560" s="3">
        <v>8</v>
      </c>
      <c r="Y560" s="3">
        <v>55</v>
      </c>
      <c r="Z560" s="3" t="s">
        <v>35</v>
      </c>
    </row>
    <row r="561" spans="1:26" x14ac:dyDescent="0.3">
      <c r="A561" s="2">
        <v>46242</v>
      </c>
      <c r="B561" s="3" t="s">
        <v>47</v>
      </c>
      <c r="C561" s="3">
        <v>4</v>
      </c>
      <c r="D561" s="4">
        <v>0.46875</v>
      </c>
      <c r="E561" s="4">
        <v>0.51041666666666696</v>
      </c>
      <c r="F561" s="3" t="s">
        <v>66</v>
      </c>
      <c r="G561" s="3" t="s">
        <v>67</v>
      </c>
      <c r="H561" s="3" t="s">
        <v>29</v>
      </c>
      <c r="I561" s="3" t="s">
        <v>30</v>
      </c>
      <c r="J561" s="3" t="s">
        <v>84</v>
      </c>
      <c r="K561" s="3" t="s">
        <v>52</v>
      </c>
      <c r="L561" s="5">
        <v>102</v>
      </c>
      <c r="M561" s="5">
        <f t="shared" ca="1" si="40"/>
        <v>48</v>
      </c>
      <c r="N561" s="6">
        <f t="shared" ca="1" si="41"/>
        <v>47.058823529411761</v>
      </c>
      <c r="O561" s="3" cm="1">
        <f t="array" aca="1" ref="O561" ca="1">IFERROR(LOOKUP(2, 1/((F$1:F560=F561)*(J$1:J560=J561)*(ROW(F$1:F560)&lt;ROW(F561))), N$1:N560), "")</f>
        <v>65.686274509803923</v>
      </c>
      <c r="P561" s="3">
        <f t="shared" si="44"/>
        <v>0</v>
      </c>
      <c r="Q561" s="3" t="s">
        <v>43</v>
      </c>
      <c r="R561" s="3" t="s">
        <v>40</v>
      </c>
      <c r="S561" s="3" t="str">
        <f t="shared" si="42"/>
        <v>Yes</v>
      </c>
      <c r="T561" s="3" t="s">
        <v>34</v>
      </c>
      <c r="U561" s="3" t="str">
        <f t="shared" si="43"/>
        <v>Rainy</v>
      </c>
      <c r="V561" s="3" t="s">
        <v>40</v>
      </c>
      <c r="W561" s="3" cm="1">
        <f t="array" ref="W561">_xlfn.IFS(
OR(F561="Selenium (Hands-on)",F561="Guest Lecture: HR Interview"),6,
OR(F561="Soft Skill",F561="Soft Skill (Examination)",F561="AWS Training",F561="AWS Session"),7,
OR(ISNUMBER(SEARCH("MAD",F561)),ISNUMBER(SEARCH("STQA",F561)),F561="CI/CD Session"),8,
OR(ISNUMBER(SEARCH("Cloud",F561)),F561="Industry Readiness Program",ISNUMBER(SEARCH("Talenlio",F561))),9,
OR(ISNUMBER(SEARCH("Innovation",F561)),F561="Mini Project"),10,
OR(ISNUMBER(SEARCH("Data Science",F561)),ISNUMBER(SEARCH("DS",F561))),11,
ISNUMBER(SEARCH("Generative AI",F561)),12
=_xlfn.IFS(
OR(F561="Selenium (Hands-on)",F561="Guest Lecture: HR Interview"),6,
OR(F561="Soft Skill",F561="Soft Skill (Examination)",F561="AWS Training",F561="AWS Session"),7,
OR(ISNUMBER(SEARCH("MAD",F561)),ISNUMBER(SEARCH("STQA",F561)),F561="CI/CD Session"),8,
OR(ISNUMBER(SEARCH("Cloud",F561)),F561="Industry Readiness Program",ISNUMBER(SEARCH("Talenlio",F561))),9,
OR(ISNUMBER(SEARCH("Innovation",F561)),F561="Mini Project"),10,
OR(ISNUMBER(SEARCH("Data Science",F561)),ISNUMBER(SEARCH("DS",F561))),11,
ISNUMBER(SEARCH("Generative AI",F561)),12
=_xlfn.IFS(
OR(F561="Selenium (Hands-on)",F561="Guest Lecture: HR Interview"),6,
OR(F561="Soft Skill",F561="Soft Skill (Examination)",F561="AWS Training",F561="AWS Session"),7,
OR(ISNUMBER(SEARCH("MAD",F561)),ISNUMBER(SEARCH("STQA",F561)),F561="CI/CD Session"),8,
OR(ISNUMBER(SEARCH("Cloud",F561)),F561="Industry Readiness Program",ISNUMBER(SEARCH("Talenlio",F561))),9,
OR(ISNUMBER(SEARCH("Innovation",F561)),F561="Mini Project"),10,
OR(ISNUMBER(SEARCH("Data Science",F561)),ISNUMBER(SEARCH("DS",F561))),11,
ISNUMBER(SEARCH("Generative AI",F561)),12
=_xlfn.IFS(
OR(F561="Selenium (Hands-on)",F561="Guest Lecture: HR Interview"),6,
OR(F561="Soft Skill",F561="Soft Skill (Examination)",F561="AWS Training",F561="AWS Session"),7,
OR(ISNUMBER(SEARCH("MAD",F561)),ISNUMBER(SEARCH("STQA",F561)),F561="CI/CD Session"),8,
OR(ISNUMBER(SEARCH("Cloud",F561)),F561="Industry Readiness Program",ISNUMBER(SEARCH("Talenlio",F561))),9,
OR(ISNUMBER(SEARCH("Innovation",F561)),F561="Mini Project"),10,
OR(ISNUMBER(SEARCH("Data Science",F561)),ISNUMBER(SEARCH("DS",F561))),11,
ISNUMBER(SEARCH("Generative AI",F561)),12
))))</f>
        <v>10</v>
      </c>
      <c r="X561" s="3">
        <v>8</v>
      </c>
      <c r="Y561" s="3">
        <v>55</v>
      </c>
      <c r="Z561" s="3" t="s">
        <v>35</v>
      </c>
    </row>
    <row r="562" spans="1:26" x14ac:dyDescent="0.3">
      <c r="A562" s="2">
        <v>46242</v>
      </c>
      <c r="B562" s="3" t="s">
        <v>47</v>
      </c>
      <c r="C562" s="3">
        <v>5</v>
      </c>
      <c r="D562" s="4">
        <v>0.5625</v>
      </c>
      <c r="E562" s="4">
        <v>0.60416666666666696</v>
      </c>
      <c r="F562" s="3" t="s">
        <v>66</v>
      </c>
      <c r="G562" s="3" t="s">
        <v>67</v>
      </c>
      <c r="H562" s="3" t="s">
        <v>29</v>
      </c>
      <c r="I562" s="3" t="s">
        <v>30</v>
      </c>
      <c r="J562" s="3" t="s">
        <v>84</v>
      </c>
      <c r="K562" s="3" t="s">
        <v>52</v>
      </c>
      <c r="L562" s="5">
        <v>102</v>
      </c>
      <c r="M562" s="5">
        <f t="shared" ca="1" si="40"/>
        <v>76</v>
      </c>
      <c r="N562" s="6">
        <f t="shared" ca="1" si="41"/>
        <v>74.509803921568633</v>
      </c>
      <c r="O562" s="3" cm="1">
        <f t="array" aca="1" ref="O562" ca="1">IFERROR(LOOKUP(2, 1/((F$1:F561=F562)*(J$1:J561=J562)*(ROW(F$1:F561)&lt;ROW(F562))), N$1:N561), "")</f>
        <v>47.058823529411761</v>
      </c>
      <c r="P562" s="3">
        <f t="shared" si="44"/>
        <v>1.25</v>
      </c>
      <c r="Q562" s="3" t="s">
        <v>43</v>
      </c>
      <c r="R562" s="3" t="s">
        <v>40</v>
      </c>
      <c r="S562" s="3" t="str">
        <f t="shared" si="42"/>
        <v>Yes</v>
      </c>
      <c r="T562" s="3" t="s">
        <v>34</v>
      </c>
      <c r="U562" s="3" t="str">
        <f t="shared" si="43"/>
        <v>Rainy</v>
      </c>
      <c r="V562" s="3" t="s">
        <v>40</v>
      </c>
      <c r="W562" s="3" cm="1">
        <f t="array" ref="W562">_xlfn.IFS(
OR(F562="Selenium (Hands-on)",F562="Guest Lecture: HR Interview"),6,
OR(F562="Soft Skill",F562="Soft Skill (Examination)",F562="AWS Training",F562="AWS Session"),7,
OR(ISNUMBER(SEARCH("MAD",F562)),ISNUMBER(SEARCH("STQA",F562)),F562="CI/CD Session"),8,
OR(ISNUMBER(SEARCH("Cloud",F562)),F562="Industry Readiness Program",ISNUMBER(SEARCH("Talenlio",F562))),9,
OR(ISNUMBER(SEARCH("Innovation",F562)),F562="Mini Project"),10,
OR(ISNUMBER(SEARCH("Data Science",F562)),ISNUMBER(SEARCH("DS",F562))),11,
ISNUMBER(SEARCH("Generative AI",F562)),12
=_xlfn.IFS(
OR(F562="Selenium (Hands-on)",F562="Guest Lecture: HR Interview"),6,
OR(F562="Soft Skill",F562="Soft Skill (Examination)",F562="AWS Training",F562="AWS Session"),7,
OR(ISNUMBER(SEARCH("MAD",F562)),ISNUMBER(SEARCH("STQA",F562)),F562="CI/CD Session"),8,
OR(ISNUMBER(SEARCH("Cloud",F562)),F562="Industry Readiness Program",ISNUMBER(SEARCH("Talenlio",F562))),9,
OR(ISNUMBER(SEARCH("Innovation",F562)),F562="Mini Project"),10,
OR(ISNUMBER(SEARCH("Data Science",F562)),ISNUMBER(SEARCH("DS",F562))),11,
ISNUMBER(SEARCH("Generative AI",F562)),12
=_xlfn.IFS(
OR(F562="Selenium (Hands-on)",F562="Guest Lecture: HR Interview"),6,
OR(F562="Soft Skill",F562="Soft Skill (Examination)",F562="AWS Training",F562="AWS Session"),7,
OR(ISNUMBER(SEARCH("MAD",F562)),ISNUMBER(SEARCH("STQA",F562)),F562="CI/CD Session"),8,
OR(ISNUMBER(SEARCH("Cloud",F562)),F562="Industry Readiness Program",ISNUMBER(SEARCH("Talenlio",F562))),9,
OR(ISNUMBER(SEARCH("Innovation",F562)),F562="Mini Project"),10,
OR(ISNUMBER(SEARCH("Data Science",F562)),ISNUMBER(SEARCH("DS",F562))),11,
ISNUMBER(SEARCH("Generative AI",F562)),12
=_xlfn.IFS(
OR(F562="Selenium (Hands-on)",F562="Guest Lecture: HR Interview"),6,
OR(F562="Soft Skill",F562="Soft Skill (Examination)",F562="AWS Training",F562="AWS Session"),7,
OR(ISNUMBER(SEARCH("MAD",F562)),ISNUMBER(SEARCH("STQA",F562)),F562="CI/CD Session"),8,
OR(ISNUMBER(SEARCH("Cloud",F562)),F562="Industry Readiness Program",ISNUMBER(SEARCH("Talenlio",F562))),9,
OR(ISNUMBER(SEARCH("Innovation",F562)),F562="Mini Project"),10,
OR(ISNUMBER(SEARCH("Data Science",F562)),ISNUMBER(SEARCH("DS",F562))),11,
ISNUMBER(SEARCH("Generative AI",F562)),12
))))</f>
        <v>10</v>
      </c>
      <c r="X562" s="3">
        <v>8</v>
      </c>
      <c r="Y562" s="3">
        <v>55</v>
      </c>
      <c r="Z562" s="3" t="s">
        <v>38</v>
      </c>
    </row>
    <row r="563" spans="1:26" x14ac:dyDescent="0.3">
      <c r="A563" s="2">
        <v>46242</v>
      </c>
      <c r="B563" s="3" t="s">
        <v>47</v>
      </c>
      <c r="C563" s="3">
        <v>6</v>
      </c>
      <c r="D563" s="4">
        <v>0.60416666666666696</v>
      </c>
      <c r="E563" s="4">
        <v>0.64583333333333304</v>
      </c>
      <c r="F563" s="3" t="s">
        <v>66</v>
      </c>
      <c r="G563" s="3" t="s">
        <v>67</v>
      </c>
      <c r="H563" s="3" t="s">
        <v>29</v>
      </c>
      <c r="I563" s="3" t="s">
        <v>30</v>
      </c>
      <c r="J563" s="3" t="s">
        <v>84</v>
      </c>
      <c r="K563" s="3" t="s">
        <v>52</v>
      </c>
      <c r="L563" s="5">
        <v>102</v>
      </c>
      <c r="M563" s="5">
        <f t="shared" ca="1" si="40"/>
        <v>78</v>
      </c>
      <c r="N563" s="6">
        <f t="shared" ca="1" si="41"/>
        <v>76.470588235294116</v>
      </c>
      <c r="O563" s="3" cm="1">
        <f t="array" aca="1" ref="O563" ca="1">IFERROR(LOOKUP(2, 1/((F$1:F562=F563)*(J$1:J562=J563)*(ROW(F$1:F562)&lt;ROW(F563))), N$1:N562), "")</f>
        <v>74.509803921568633</v>
      </c>
      <c r="P563" s="3">
        <f t="shared" si="44"/>
        <v>0</v>
      </c>
      <c r="Q563" s="3" t="s">
        <v>43</v>
      </c>
      <c r="R563" s="3" t="s">
        <v>40</v>
      </c>
      <c r="S563" s="3" t="str">
        <f t="shared" si="42"/>
        <v>Yes</v>
      </c>
      <c r="T563" s="3" t="s">
        <v>34</v>
      </c>
      <c r="U563" s="3" t="str">
        <f t="shared" si="43"/>
        <v>Rainy</v>
      </c>
      <c r="V563" s="3" t="s">
        <v>40</v>
      </c>
      <c r="W563" s="3" cm="1">
        <f t="array" ref="W563">_xlfn.IFS(
OR(F563="Selenium (Hands-on)",F563="Guest Lecture: HR Interview"),6,
OR(F563="Soft Skill",F563="Soft Skill (Examination)",F563="AWS Training",F563="AWS Session"),7,
OR(ISNUMBER(SEARCH("MAD",F563)),ISNUMBER(SEARCH("STQA",F563)),F563="CI/CD Session"),8,
OR(ISNUMBER(SEARCH("Cloud",F563)),F563="Industry Readiness Program",ISNUMBER(SEARCH("Talenlio",F563))),9,
OR(ISNUMBER(SEARCH("Innovation",F563)),F563="Mini Project"),10,
OR(ISNUMBER(SEARCH("Data Science",F563)),ISNUMBER(SEARCH("DS",F563))),11,
ISNUMBER(SEARCH("Generative AI",F563)),12
=_xlfn.IFS(
OR(F563="Selenium (Hands-on)",F563="Guest Lecture: HR Interview"),6,
OR(F563="Soft Skill",F563="Soft Skill (Examination)",F563="AWS Training",F563="AWS Session"),7,
OR(ISNUMBER(SEARCH("MAD",F563)),ISNUMBER(SEARCH("STQA",F563)),F563="CI/CD Session"),8,
OR(ISNUMBER(SEARCH("Cloud",F563)),F563="Industry Readiness Program",ISNUMBER(SEARCH("Talenlio",F563))),9,
OR(ISNUMBER(SEARCH("Innovation",F563)),F563="Mini Project"),10,
OR(ISNUMBER(SEARCH("Data Science",F563)),ISNUMBER(SEARCH("DS",F563))),11,
ISNUMBER(SEARCH("Generative AI",F563)),12
=_xlfn.IFS(
OR(F563="Selenium (Hands-on)",F563="Guest Lecture: HR Interview"),6,
OR(F563="Soft Skill",F563="Soft Skill (Examination)",F563="AWS Training",F563="AWS Session"),7,
OR(ISNUMBER(SEARCH("MAD",F563)),ISNUMBER(SEARCH("STQA",F563)),F563="CI/CD Session"),8,
OR(ISNUMBER(SEARCH("Cloud",F563)),F563="Industry Readiness Program",ISNUMBER(SEARCH("Talenlio",F563))),9,
OR(ISNUMBER(SEARCH("Innovation",F563)),F563="Mini Project"),10,
OR(ISNUMBER(SEARCH("Data Science",F563)),ISNUMBER(SEARCH("DS",F563))),11,
ISNUMBER(SEARCH("Generative AI",F563)),12
=_xlfn.IFS(
OR(F563="Selenium (Hands-on)",F563="Guest Lecture: HR Interview"),6,
OR(F563="Soft Skill",F563="Soft Skill (Examination)",F563="AWS Training",F563="AWS Session"),7,
OR(ISNUMBER(SEARCH("MAD",F563)),ISNUMBER(SEARCH("STQA",F563)),F563="CI/CD Session"),8,
OR(ISNUMBER(SEARCH("Cloud",F563)),F563="Industry Readiness Program",ISNUMBER(SEARCH("Talenlio",F563))),9,
OR(ISNUMBER(SEARCH("Innovation",F563)),F563="Mini Project"),10,
OR(ISNUMBER(SEARCH("Data Science",F563)),ISNUMBER(SEARCH("DS",F563))),11,
ISNUMBER(SEARCH("Generative AI",F563)),12
))))</f>
        <v>10</v>
      </c>
      <c r="X563" s="3">
        <v>8</v>
      </c>
      <c r="Y563" s="3">
        <v>55</v>
      </c>
      <c r="Z563" s="3" t="s">
        <v>38</v>
      </c>
    </row>
    <row r="564" spans="1:26" x14ac:dyDescent="0.3">
      <c r="A564" s="2">
        <v>46244</v>
      </c>
      <c r="B564" s="3" t="s">
        <v>26</v>
      </c>
      <c r="C564" s="3">
        <v>1</v>
      </c>
      <c r="D564" s="4">
        <v>0.38541666666666702</v>
      </c>
      <c r="E564" s="4">
        <v>0.42708333333333298</v>
      </c>
      <c r="F564" s="3" t="s">
        <v>82</v>
      </c>
      <c r="G564" s="3" t="s">
        <v>289</v>
      </c>
      <c r="H564" s="3" t="s">
        <v>29</v>
      </c>
      <c r="I564" s="3" t="s">
        <v>30</v>
      </c>
      <c r="J564" s="3" t="s">
        <v>84</v>
      </c>
      <c r="K564" s="3" t="s">
        <v>52</v>
      </c>
      <c r="L564" s="5">
        <v>102</v>
      </c>
      <c r="M564" s="5">
        <f t="shared" ca="1" si="40"/>
        <v>102</v>
      </c>
      <c r="N564" s="6">
        <f t="shared" ca="1" si="41"/>
        <v>100</v>
      </c>
      <c r="O564" s="3">
        <v>56</v>
      </c>
      <c r="P564" s="3">
        <f t="shared" si="44"/>
        <v>0</v>
      </c>
      <c r="Q564" s="3" t="s">
        <v>43</v>
      </c>
      <c r="R564" s="3" t="s">
        <v>40</v>
      </c>
      <c r="S564" s="3" t="str">
        <f t="shared" si="42"/>
        <v>Yes</v>
      </c>
      <c r="T564" s="3" t="s">
        <v>34</v>
      </c>
      <c r="U564" s="3" t="str">
        <f t="shared" si="43"/>
        <v>Rainy</v>
      </c>
      <c r="V564" s="3" t="s">
        <v>40</v>
      </c>
      <c r="W564" s="3" cm="1">
        <f t="array" ref="W564">_xlfn.IFS(
OR(F564="Selenium (Hands-on)",F564="Guest Lecture: HR Interview"),6,
OR(F564="Soft Skill",F564="Soft Skill (Examination)",F564="AWS Training",F564="AWS Session"),7,
OR(ISNUMBER(SEARCH("MAD",F564)),ISNUMBER(SEARCH("STQA",F564)),F564="CI/CD Session"),8,
OR(ISNUMBER(SEARCH("Cloud",F564)),F564="Industry Readiness Program",ISNUMBER(SEARCH("Talenlio",F564))),9,
OR(ISNUMBER(SEARCH("Innovation",F564)),F564="Mini Project"),10,
OR(ISNUMBER(SEARCH("Data Science",F564)),ISNUMBER(SEARCH("DS",F564))),11,
ISNUMBER(SEARCH("Generative AI",F564)),12
=_xlfn.IFS(
OR(F564="Selenium (Hands-on)",F564="Guest Lecture: HR Interview"),6,
OR(F564="Soft Skill",F564="Soft Skill (Examination)",F564="AWS Training",F564="AWS Session"),7,
OR(ISNUMBER(SEARCH("MAD",F564)),ISNUMBER(SEARCH("STQA",F564)),F564="CI/CD Session"),8,
OR(ISNUMBER(SEARCH("Cloud",F564)),F564="Industry Readiness Program",ISNUMBER(SEARCH("Talenlio",F564))),9,
OR(ISNUMBER(SEARCH("Innovation",F564)),F564="Mini Project"),10,
OR(ISNUMBER(SEARCH("Data Science",F564)),ISNUMBER(SEARCH("DS",F564))),11,
ISNUMBER(SEARCH("Generative AI",F564)),12
=_xlfn.IFS(
OR(F564="Selenium (Hands-on)",F564="Guest Lecture: HR Interview"),6,
OR(F564="Soft Skill",F564="Soft Skill (Examination)",F564="AWS Training",F564="AWS Session"),7,
OR(ISNUMBER(SEARCH("MAD",F564)),ISNUMBER(SEARCH("STQA",F564)),F564="CI/CD Session"),8,
OR(ISNUMBER(SEARCH("Cloud",F564)),F564="Industry Readiness Program",ISNUMBER(SEARCH("Talenlio",F564))),9,
OR(ISNUMBER(SEARCH("Innovation",F564)),F564="Mini Project"),10,
OR(ISNUMBER(SEARCH("Data Science",F564)),ISNUMBER(SEARCH("DS",F564))),11,
ISNUMBER(SEARCH("Generative AI",F564)),12
=_xlfn.IFS(
OR(F564="Selenium (Hands-on)",F564="Guest Lecture: HR Interview"),6,
OR(F564="Soft Skill",F564="Soft Skill (Examination)",F564="AWS Training",F564="AWS Session"),7,
OR(ISNUMBER(SEARCH("MAD",F564)),ISNUMBER(SEARCH("STQA",F564)),F564="CI/CD Session"),8,
OR(ISNUMBER(SEARCH("Cloud",F564)),F564="Industry Readiness Program",ISNUMBER(SEARCH("Talenlio",F564))),9,
OR(ISNUMBER(SEARCH("Innovation",F564)),F564="Mini Project"),10,
OR(ISNUMBER(SEARCH("Data Science",F564)),ISNUMBER(SEARCH("DS",F564))),11,
ISNUMBER(SEARCH("Generative AI",F564)),12
))))</f>
        <v>11</v>
      </c>
      <c r="X564" s="3">
        <v>9</v>
      </c>
      <c r="Y564" s="3">
        <v>57</v>
      </c>
      <c r="Z564" s="3" t="s">
        <v>35</v>
      </c>
    </row>
    <row r="565" spans="1:26" x14ac:dyDescent="0.3">
      <c r="A565" s="2">
        <v>46244</v>
      </c>
      <c r="B565" s="3" t="s">
        <v>26</v>
      </c>
      <c r="C565" s="3">
        <v>2</v>
      </c>
      <c r="D565" s="4">
        <v>0.42708333333333298</v>
      </c>
      <c r="E565" s="4">
        <v>0.46875</v>
      </c>
      <c r="F565" s="3" t="s">
        <v>82</v>
      </c>
      <c r="G565" s="3" t="s">
        <v>289</v>
      </c>
      <c r="H565" s="3" t="s">
        <v>29</v>
      </c>
      <c r="I565" s="3" t="s">
        <v>30</v>
      </c>
      <c r="J565" s="3" t="s">
        <v>84</v>
      </c>
      <c r="K565" s="3" t="s">
        <v>52</v>
      </c>
      <c r="L565" s="5">
        <v>102</v>
      </c>
      <c r="M565" s="5">
        <f t="shared" ca="1" si="40"/>
        <v>81</v>
      </c>
      <c r="N565" s="6">
        <f t="shared" ca="1" si="41"/>
        <v>79.411764705882348</v>
      </c>
      <c r="O565" s="3" cm="1">
        <f t="array" aca="1" ref="O565" ca="1">IFERROR(LOOKUP(2, 1/((F$1:F564=F565)*(J$1:J564=J565)*(ROW(F$1:F564)&lt;ROW(F565))), N$1:N564), "")</f>
        <v>100</v>
      </c>
      <c r="P565" s="3">
        <f t="shared" si="44"/>
        <v>0</v>
      </c>
      <c r="Q565" s="3" t="s">
        <v>43</v>
      </c>
      <c r="R565" s="3" t="s">
        <v>40</v>
      </c>
      <c r="S565" s="3" t="str">
        <f t="shared" si="42"/>
        <v>Yes</v>
      </c>
      <c r="T565" s="3" t="s">
        <v>34</v>
      </c>
      <c r="U565" s="3" t="str">
        <f t="shared" si="43"/>
        <v>Rainy</v>
      </c>
      <c r="V565" s="3" t="s">
        <v>40</v>
      </c>
      <c r="W565" s="3" cm="1">
        <f t="array" ref="W565">_xlfn.IFS(
OR(F565="Selenium (Hands-on)",F565="Guest Lecture: HR Interview"),6,
OR(F565="Soft Skill",F565="Soft Skill (Examination)",F565="AWS Training",F565="AWS Session"),7,
OR(ISNUMBER(SEARCH("MAD",F565)),ISNUMBER(SEARCH("STQA",F565)),F565="CI/CD Session"),8,
OR(ISNUMBER(SEARCH("Cloud",F565)),F565="Industry Readiness Program",ISNUMBER(SEARCH("Talenlio",F565))),9,
OR(ISNUMBER(SEARCH("Innovation",F565)),F565="Mini Project"),10,
OR(ISNUMBER(SEARCH("Data Science",F565)),ISNUMBER(SEARCH("DS",F565))),11,
ISNUMBER(SEARCH("Generative AI",F565)),12
=_xlfn.IFS(
OR(F565="Selenium (Hands-on)",F565="Guest Lecture: HR Interview"),6,
OR(F565="Soft Skill",F565="Soft Skill (Examination)",F565="AWS Training",F565="AWS Session"),7,
OR(ISNUMBER(SEARCH("MAD",F565)),ISNUMBER(SEARCH("STQA",F565)),F565="CI/CD Session"),8,
OR(ISNUMBER(SEARCH("Cloud",F565)),F565="Industry Readiness Program",ISNUMBER(SEARCH("Talenlio",F565))),9,
OR(ISNUMBER(SEARCH("Innovation",F565)),F565="Mini Project"),10,
OR(ISNUMBER(SEARCH("Data Science",F565)),ISNUMBER(SEARCH("DS",F565))),11,
ISNUMBER(SEARCH("Generative AI",F565)),12
=_xlfn.IFS(
OR(F565="Selenium (Hands-on)",F565="Guest Lecture: HR Interview"),6,
OR(F565="Soft Skill",F565="Soft Skill (Examination)",F565="AWS Training",F565="AWS Session"),7,
OR(ISNUMBER(SEARCH("MAD",F565)),ISNUMBER(SEARCH("STQA",F565)),F565="CI/CD Session"),8,
OR(ISNUMBER(SEARCH("Cloud",F565)),F565="Industry Readiness Program",ISNUMBER(SEARCH("Talenlio",F565))),9,
OR(ISNUMBER(SEARCH("Innovation",F565)),F565="Mini Project"),10,
OR(ISNUMBER(SEARCH("Data Science",F565)),ISNUMBER(SEARCH("DS",F565))),11,
ISNUMBER(SEARCH("Generative AI",F565)),12
=_xlfn.IFS(
OR(F565="Selenium (Hands-on)",F565="Guest Lecture: HR Interview"),6,
OR(F565="Soft Skill",F565="Soft Skill (Examination)",F565="AWS Training",F565="AWS Session"),7,
OR(ISNUMBER(SEARCH("MAD",F565)),ISNUMBER(SEARCH("STQA",F565)),F565="CI/CD Session"),8,
OR(ISNUMBER(SEARCH("Cloud",F565)),F565="Industry Readiness Program",ISNUMBER(SEARCH("Talenlio",F565))),9,
OR(ISNUMBER(SEARCH("Innovation",F565)),F565="Mini Project"),10,
OR(ISNUMBER(SEARCH("Data Science",F565)),ISNUMBER(SEARCH("DS",F565))),11,
ISNUMBER(SEARCH("Generative AI",F565)),12
))))</f>
        <v>11</v>
      </c>
      <c r="X565" s="3">
        <v>9</v>
      </c>
      <c r="Y565" s="3">
        <v>57</v>
      </c>
      <c r="Z565" s="3" t="s">
        <v>35</v>
      </c>
    </row>
    <row r="566" spans="1:26" x14ac:dyDescent="0.3">
      <c r="A566" s="2">
        <v>46244</v>
      </c>
      <c r="B566" s="3" t="s">
        <v>26</v>
      </c>
      <c r="C566" s="3">
        <v>3</v>
      </c>
      <c r="D566" s="4">
        <v>0.46875</v>
      </c>
      <c r="E566" s="4">
        <v>0.51041666666666696</v>
      </c>
      <c r="F566" s="3" t="s">
        <v>82</v>
      </c>
      <c r="G566" s="3" t="s">
        <v>289</v>
      </c>
      <c r="H566" s="3" t="s">
        <v>29</v>
      </c>
      <c r="I566" s="3" t="s">
        <v>30</v>
      </c>
      <c r="J566" s="3" t="s">
        <v>84</v>
      </c>
      <c r="K566" s="3" t="s">
        <v>52</v>
      </c>
      <c r="L566" s="5">
        <v>102</v>
      </c>
      <c r="M566" s="5">
        <f t="shared" ca="1" si="40"/>
        <v>50</v>
      </c>
      <c r="N566" s="6">
        <f t="shared" ca="1" si="41"/>
        <v>49.019607843137251</v>
      </c>
      <c r="O566" s="3" cm="1">
        <f t="array" aca="1" ref="O566" ca="1">IFERROR(LOOKUP(2, 1/((F$1:F565=F566)*(J$1:J565=J566)*(ROW(F$1:F565)&lt;ROW(F566))), N$1:N565), "")</f>
        <v>79.411764705882348</v>
      </c>
      <c r="P566" s="3">
        <f t="shared" si="44"/>
        <v>0</v>
      </c>
      <c r="Q566" s="3" t="s">
        <v>43</v>
      </c>
      <c r="R566" s="3" t="s">
        <v>40</v>
      </c>
      <c r="S566" s="3" t="str">
        <f t="shared" si="42"/>
        <v>Yes</v>
      </c>
      <c r="T566" s="3" t="s">
        <v>34</v>
      </c>
      <c r="U566" s="3" t="str">
        <f t="shared" si="43"/>
        <v>Rainy</v>
      </c>
      <c r="V566" s="3" t="s">
        <v>40</v>
      </c>
      <c r="W566" s="3" cm="1">
        <f t="array" ref="W566">_xlfn.IFS(
OR(F566="Selenium (Hands-on)",F566="Guest Lecture: HR Interview"),6,
OR(F566="Soft Skill",F566="Soft Skill (Examination)",F566="AWS Training",F566="AWS Session"),7,
OR(ISNUMBER(SEARCH("MAD",F566)),ISNUMBER(SEARCH("STQA",F566)),F566="CI/CD Session"),8,
OR(ISNUMBER(SEARCH("Cloud",F566)),F566="Industry Readiness Program",ISNUMBER(SEARCH("Talenlio",F566))),9,
OR(ISNUMBER(SEARCH("Innovation",F566)),F566="Mini Project"),10,
OR(ISNUMBER(SEARCH("Data Science",F566)),ISNUMBER(SEARCH("DS",F566))),11,
ISNUMBER(SEARCH("Generative AI",F566)),12
=_xlfn.IFS(
OR(F566="Selenium (Hands-on)",F566="Guest Lecture: HR Interview"),6,
OR(F566="Soft Skill",F566="Soft Skill (Examination)",F566="AWS Training",F566="AWS Session"),7,
OR(ISNUMBER(SEARCH("MAD",F566)),ISNUMBER(SEARCH("STQA",F566)),F566="CI/CD Session"),8,
OR(ISNUMBER(SEARCH("Cloud",F566)),F566="Industry Readiness Program",ISNUMBER(SEARCH("Talenlio",F566))),9,
OR(ISNUMBER(SEARCH("Innovation",F566)),F566="Mini Project"),10,
OR(ISNUMBER(SEARCH("Data Science",F566)),ISNUMBER(SEARCH("DS",F566))),11,
ISNUMBER(SEARCH("Generative AI",F566)),12
=_xlfn.IFS(
OR(F566="Selenium (Hands-on)",F566="Guest Lecture: HR Interview"),6,
OR(F566="Soft Skill",F566="Soft Skill (Examination)",F566="AWS Training",F566="AWS Session"),7,
OR(ISNUMBER(SEARCH("MAD",F566)),ISNUMBER(SEARCH("STQA",F566)),F566="CI/CD Session"),8,
OR(ISNUMBER(SEARCH("Cloud",F566)),F566="Industry Readiness Program",ISNUMBER(SEARCH("Talenlio",F566))),9,
OR(ISNUMBER(SEARCH("Innovation",F566)),F566="Mini Project"),10,
OR(ISNUMBER(SEARCH("Data Science",F566)),ISNUMBER(SEARCH("DS",F566))),11,
ISNUMBER(SEARCH("Generative AI",F566)),12
=_xlfn.IFS(
OR(F566="Selenium (Hands-on)",F566="Guest Lecture: HR Interview"),6,
OR(F566="Soft Skill",F566="Soft Skill (Examination)",F566="AWS Training",F566="AWS Session"),7,
OR(ISNUMBER(SEARCH("MAD",F566)),ISNUMBER(SEARCH("STQA",F566)),F566="CI/CD Session"),8,
OR(ISNUMBER(SEARCH("Cloud",F566)),F566="Industry Readiness Program",ISNUMBER(SEARCH("Talenlio",F566))),9,
OR(ISNUMBER(SEARCH("Innovation",F566)),F566="Mini Project"),10,
OR(ISNUMBER(SEARCH("Data Science",F566)),ISNUMBER(SEARCH("DS",F566))),11,
ISNUMBER(SEARCH("Generative AI",F566)),12
))))</f>
        <v>11</v>
      </c>
      <c r="X566" s="3">
        <v>9</v>
      </c>
      <c r="Y566" s="3">
        <v>57</v>
      </c>
      <c r="Z566" s="3" t="s">
        <v>35</v>
      </c>
    </row>
    <row r="567" spans="1:26" x14ac:dyDescent="0.3">
      <c r="A567" s="2">
        <v>46245</v>
      </c>
      <c r="B567" s="3" t="s">
        <v>39</v>
      </c>
      <c r="C567" s="3">
        <v>1</v>
      </c>
      <c r="D567" s="4">
        <v>0.38541666666666702</v>
      </c>
      <c r="E567" s="4">
        <v>0.42708333333333298</v>
      </c>
      <c r="F567" s="3" t="s">
        <v>82</v>
      </c>
      <c r="G567" s="3" t="s">
        <v>289</v>
      </c>
      <c r="H567" s="3" t="s">
        <v>29</v>
      </c>
      <c r="I567" s="3" t="s">
        <v>30</v>
      </c>
      <c r="J567" s="3" t="s">
        <v>84</v>
      </c>
      <c r="K567" s="3" t="s">
        <v>52</v>
      </c>
      <c r="L567" s="5">
        <v>102</v>
      </c>
      <c r="M567" s="5">
        <f t="shared" ca="1" si="40"/>
        <v>71</v>
      </c>
      <c r="N567" s="6">
        <f t="shared" ca="1" si="41"/>
        <v>69.607843137254903</v>
      </c>
      <c r="O567" s="3" cm="1">
        <f t="array" aca="1" ref="O567" ca="1">IFERROR(LOOKUP(2, 1/((F$1:F566=F567)*(J$1:J566=J567)*(ROW(F$1:F566)&lt;ROW(F567))), N$1:N566), "")</f>
        <v>49.019607843137251</v>
      </c>
      <c r="P567" s="3">
        <f t="shared" si="44"/>
        <v>0</v>
      </c>
      <c r="Q567" s="3" t="s">
        <v>43</v>
      </c>
      <c r="R567" s="3" t="s">
        <v>40</v>
      </c>
      <c r="S567" s="3" t="str">
        <f t="shared" si="42"/>
        <v>Yes</v>
      </c>
      <c r="T567" s="3" t="s">
        <v>40</v>
      </c>
      <c r="U567" s="3" t="str">
        <f t="shared" si="43"/>
        <v>Rainy</v>
      </c>
      <c r="V567" s="3" t="s">
        <v>40</v>
      </c>
      <c r="W567" s="3" cm="1">
        <f t="array" ref="W567">_xlfn.IFS(
OR(F567="Selenium (Hands-on)",F567="Guest Lecture: HR Interview"),6,
OR(F567="Soft Skill",F567="Soft Skill (Examination)",F567="AWS Training",F567="AWS Session"),7,
OR(ISNUMBER(SEARCH("MAD",F567)),ISNUMBER(SEARCH("STQA",F567)),F567="CI/CD Session"),8,
OR(ISNUMBER(SEARCH("Cloud",F567)),F567="Industry Readiness Program",ISNUMBER(SEARCH("Talenlio",F567))),9,
OR(ISNUMBER(SEARCH("Innovation",F567)),F567="Mini Project"),10,
OR(ISNUMBER(SEARCH("Data Science",F567)),ISNUMBER(SEARCH("DS",F567))),11,
ISNUMBER(SEARCH("Generative AI",F567)),12
=_xlfn.IFS(
OR(F567="Selenium (Hands-on)",F567="Guest Lecture: HR Interview"),6,
OR(F567="Soft Skill",F567="Soft Skill (Examination)",F567="AWS Training",F567="AWS Session"),7,
OR(ISNUMBER(SEARCH("MAD",F567)),ISNUMBER(SEARCH("STQA",F567)),F567="CI/CD Session"),8,
OR(ISNUMBER(SEARCH("Cloud",F567)),F567="Industry Readiness Program",ISNUMBER(SEARCH("Talenlio",F567))),9,
OR(ISNUMBER(SEARCH("Innovation",F567)),F567="Mini Project"),10,
OR(ISNUMBER(SEARCH("Data Science",F567)),ISNUMBER(SEARCH("DS",F567))),11,
ISNUMBER(SEARCH("Generative AI",F567)),12
=_xlfn.IFS(
OR(F567="Selenium (Hands-on)",F567="Guest Lecture: HR Interview"),6,
OR(F567="Soft Skill",F567="Soft Skill (Examination)",F567="AWS Training",F567="AWS Session"),7,
OR(ISNUMBER(SEARCH("MAD",F567)),ISNUMBER(SEARCH("STQA",F567)),F567="CI/CD Session"),8,
OR(ISNUMBER(SEARCH("Cloud",F567)),F567="Industry Readiness Program",ISNUMBER(SEARCH("Talenlio",F567))),9,
OR(ISNUMBER(SEARCH("Innovation",F567)),F567="Mini Project"),10,
OR(ISNUMBER(SEARCH("Data Science",F567)),ISNUMBER(SEARCH("DS",F567))),11,
ISNUMBER(SEARCH("Generative AI",F567)),12
=_xlfn.IFS(
OR(F567="Selenium (Hands-on)",F567="Guest Lecture: HR Interview"),6,
OR(F567="Soft Skill",F567="Soft Skill (Examination)",F567="AWS Training",F567="AWS Session"),7,
OR(ISNUMBER(SEARCH("MAD",F567)),ISNUMBER(SEARCH("STQA",F567)),F567="CI/CD Session"),8,
OR(ISNUMBER(SEARCH("Cloud",F567)),F567="Industry Readiness Program",ISNUMBER(SEARCH("Talenlio",F567))),9,
OR(ISNUMBER(SEARCH("Innovation",F567)),F567="Mini Project"),10,
OR(ISNUMBER(SEARCH("Data Science",F567)),ISNUMBER(SEARCH("DS",F567))),11,
ISNUMBER(SEARCH("Generative AI",F567)),12
))))</f>
        <v>11</v>
      </c>
      <c r="X567" s="3">
        <v>9</v>
      </c>
      <c r="Y567" s="3">
        <v>58</v>
      </c>
      <c r="Z567" s="3" t="s">
        <v>35</v>
      </c>
    </row>
    <row r="568" spans="1:26" x14ac:dyDescent="0.3">
      <c r="A568" s="2">
        <v>46245</v>
      </c>
      <c r="B568" s="3" t="s">
        <v>39</v>
      </c>
      <c r="C568" s="3">
        <v>2</v>
      </c>
      <c r="D568" s="4">
        <v>0.42708333333333298</v>
      </c>
      <c r="E568" s="4">
        <v>0.46875</v>
      </c>
      <c r="F568" s="3" t="s">
        <v>82</v>
      </c>
      <c r="G568" s="3" t="s">
        <v>289</v>
      </c>
      <c r="H568" s="3" t="s">
        <v>29</v>
      </c>
      <c r="I568" s="3" t="s">
        <v>30</v>
      </c>
      <c r="J568" s="3" t="s">
        <v>84</v>
      </c>
      <c r="K568" s="3" t="s">
        <v>52</v>
      </c>
      <c r="L568" s="5">
        <v>102</v>
      </c>
      <c r="M568" s="5">
        <f t="shared" ca="1" si="40"/>
        <v>86</v>
      </c>
      <c r="N568" s="6">
        <f t="shared" ca="1" si="41"/>
        <v>84.313725490196077</v>
      </c>
      <c r="O568" s="3" cm="1">
        <f t="array" aca="1" ref="O568" ca="1">IFERROR(LOOKUP(2, 1/((F$1:F567=F568)*(J$1:J567=J568)*(ROW(F$1:F567)&lt;ROW(F568))), N$1:N567), "")</f>
        <v>69.607843137254903</v>
      </c>
      <c r="P568" s="3">
        <f t="shared" si="44"/>
        <v>0</v>
      </c>
      <c r="Q568" s="3" t="s">
        <v>43</v>
      </c>
      <c r="R568" s="3" t="s">
        <v>40</v>
      </c>
      <c r="S568" s="3" t="str">
        <f t="shared" si="42"/>
        <v>Yes</v>
      </c>
      <c r="T568" s="3" t="s">
        <v>40</v>
      </c>
      <c r="U568" s="3" t="str">
        <f t="shared" si="43"/>
        <v>Rainy</v>
      </c>
      <c r="V568" s="3" t="s">
        <v>40</v>
      </c>
      <c r="W568" s="3" cm="1">
        <f t="array" ref="W568">_xlfn.IFS(
OR(F568="Selenium (Hands-on)",F568="Guest Lecture: HR Interview"),6,
OR(F568="Soft Skill",F568="Soft Skill (Examination)",F568="AWS Training",F568="AWS Session"),7,
OR(ISNUMBER(SEARCH("MAD",F568)),ISNUMBER(SEARCH("STQA",F568)),F568="CI/CD Session"),8,
OR(ISNUMBER(SEARCH("Cloud",F568)),F568="Industry Readiness Program",ISNUMBER(SEARCH("Talenlio",F568))),9,
OR(ISNUMBER(SEARCH("Innovation",F568)),F568="Mini Project"),10,
OR(ISNUMBER(SEARCH("Data Science",F568)),ISNUMBER(SEARCH("DS",F568))),11,
ISNUMBER(SEARCH("Generative AI",F568)),12
=_xlfn.IFS(
OR(F568="Selenium (Hands-on)",F568="Guest Lecture: HR Interview"),6,
OR(F568="Soft Skill",F568="Soft Skill (Examination)",F568="AWS Training",F568="AWS Session"),7,
OR(ISNUMBER(SEARCH("MAD",F568)),ISNUMBER(SEARCH("STQA",F568)),F568="CI/CD Session"),8,
OR(ISNUMBER(SEARCH("Cloud",F568)),F568="Industry Readiness Program",ISNUMBER(SEARCH("Talenlio",F568))),9,
OR(ISNUMBER(SEARCH("Innovation",F568)),F568="Mini Project"),10,
OR(ISNUMBER(SEARCH("Data Science",F568)),ISNUMBER(SEARCH("DS",F568))),11,
ISNUMBER(SEARCH("Generative AI",F568)),12
=_xlfn.IFS(
OR(F568="Selenium (Hands-on)",F568="Guest Lecture: HR Interview"),6,
OR(F568="Soft Skill",F568="Soft Skill (Examination)",F568="AWS Training",F568="AWS Session"),7,
OR(ISNUMBER(SEARCH("MAD",F568)),ISNUMBER(SEARCH("STQA",F568)),F568="CI/CD Session"),8,
OR(ISNUMBER(SEARCH("Cloud",F568)),F568="Industry Readiness Program",ISNUMBER(SEARCH("Talenlio",F568))),9,
OR(ISNUMBER(SEARCH("Innovation",F568)),F568="Mini Project"),10,
OR(ISNUMBER(SEARCH("Data Science",F568)),ISNUMBER(SEARCH("DS",F568))),11,
ISNUMBER(SEARCH("Generative AI",F568)),12
=_xlfn.IFS(
OR(F568="Selenium (Hands-on)",F568="Guest Lecture: HR Interview"),6,
OR(F568="Soft Skill",F568="Soft Skill (Examination)",F568="AWS Training",F568="AWS Session"),7,
OR(ISNUMBER(SEARCH("MAD",F568)),ISNUMBER(SEARCH("STQA",F568)),F568="CI/CD Session"),8,
OR(ISNUMBER(SEARCH("Cloud",F568)),F568="Industry Readiness Program",ISNUMBER(SEARCH("Talenlio",F568))),9,
OR(ISNUMBER(SEARCH("Innovation",F568)),F568="Mini Project"),10,
OR(ISNUMBER(SEARCH("Data Science",F568)),ISNUMBER(SEARCH("DS",F568))),11,
ISNUMBER(SEARCH("Generative AI",F568)),12
))))</f>
        <v>11</v>
      </c>
      <c r="X568" s="3">
        <v>9</v>
      </c>
      <c r="Y568" s="3">
        <v>58</v>
      </c>
      <c r="Z568" s="3" t="s">
        <v>35</v>
      </c>
    </row>
    <row r="569" spans="1:26" x14ac:dyDescent="0.3">
      <c r="A569" s="2">
        <v>46245</v>
      </c>
      <c r="B569" s="3" t="s">
        <v>39</v>
      </c>
      <c r="C569" s="3">
        <v>3</v>
      </c>
      <c r="D569" s="4">
        <v>0.46875</v>
      </c>
      <c r="E569" s="4">
        <v>0.51041666666666696</v>
      </c>
      <c r="F569" s="3" t="s">
        <v>82</v>
      </c>
      <c r="G569" s="3" t="s">
        <v>289</v>
      </c>
      <c r="H569" s="3" t="s">
        <v>29</v>
      </c>
      <c r="I569" s="3" t="s">
        <v>30</v>
      </c>
      <c r="J569" s="3" t="s">
        <v>84</v>
      </c>
      <c r="K569" s="3" t="s">
        <v>52</v>
      </c>
      <c r="L569" s="5">
        <v>102</v>
      </c>
      <c r="M569" s="5">
        <f t="shared" ca="1" si="40"/>
        <v>81</v>
      </c>
      <c r="N569" s="6">
        <f t="shared" ca="1" si="41"/>
        <v>79.411764705882348</v>
      </c>
      <c r="O569" s="3" cm="1">
        <f t="array" aca="1" ref="O569" ca="1">IFERROR(LOOKUP(2, 1/((F$1:F568=F569)*(J$1:J568=J569)*(ROW(F$1:F568)&lt;ROW(F569))), N$1:N568), "")</f>
        <v>84.313725490196077</v>
      </c>
      <c r="P569" s="3">
        <f t="shared" si="44"/>
        <v>0</v>
      </c>
      <c r="Q569" s="3" t="s">
        <v>43</v>
      </c>
      <c r="R569" s="3" t="s">
        <v>40</v>
      </c>
      <c r="S569" s="3" t="str">
        <f t="shared" si="42"/>
        <v>Yes</v>
      </c>
      <c r="T569" s="3" t="s">
        <v>40</v>
      </c>
      <c r="U569" s="3" t="str">
        <f t="shared" si="43"/>
        <v>Rainy</v>
      </c>
      <c r="V569" s="3" t="s">
        <v>40</v>
      </c>
      <c r="W569" s="3" cm="1">
        <f t="array" ref="W569">_xlfn.IFS(
OR(F569="Selenium (Hands-on)",F569="Guest Lecture: HR Interview"),6,
OR(F569="Soft Skill",F569="Soft Skill (Examination)",F569="AWS Training",F569="AWS Session"),7,
OR(ISNUMBER(SEARCH("MAD",F569)),ISNUMBER(SEARCH("STQA",F569)),F569="CI/CD Session"),8,
OR(ISNUMBER(SEARCH("Cloud",F569)),F569="Industry Readiness Program",ISNUMBER(SEARCH("Talenlio",F569))),9,
OR(ISNUMBER(SEARCH("Innovation",F569)),F569="Mini Project"),10,
OR(ISNUMBER(SEARCH("Data Science",F569)),ISNUMBER(SEARCH("DS",F569))),11,
ISNUMBER(SEARCH("Generative AI",F569)),12
=_xlfn.IFS(
OR(F569="Selenium (Hands-on)",F569="Guest Lecture: HR Interview"),6,
OR(F569="Soft Skill",F569="Soft Skill (Examination)",F569="AWS Training",F569="AWS Session"),7,
OR(ISNUMBER(SEARCH("MAD",F569)),ISNUMBER(SEARCH("STQA",F569)),F569="CI/CD Session"),8,
OR(ISNUMBER(SEARCH("Cloud",F569)),F569="Industry Readiness Program",ISNUMBER(SEARCH("Talenlio",F569))),9,
OR(ISNUMBER(SEARCH("Innovation",F569)),F569="Mini Project"),10,
OR(ISNUMBER(SEARCH("Data Science",F569)),ISNUMBER(SEARCH("DS",F569))),11,
ISNUMBER(SEARCH("Generative AI",F569)),12
=_xlfn.IFS(
OR(F569="Selenium (Hands-on)",F569="Guest Lecture: HR Interview"),6,
OR(F569="Soft Skill",F569="Soft Skill (Examination)",F569="AWS Training",F569="AWS Session"),7,
OR(ISNUMBER(SEARCH("MAD",F569)),ISNUMBER(SEARCH("STQA",F569)),F569="CI/CD Session"),8,
OR(ISNUMBER(SEARCH("Cloud",F569)),F569="Industry Readiness Program",ISNUMBER(SEARCH("Talenlio",F569))),9,
OR(ISNUMBER(SEARCH("Innovation",F569)),F569="Mini Project"),10,
OR(ISNUMBER(SEARCH("Data Science",F569)),ISNUMBER(SEARCH("DS",F569))),11,
ISNUMBER(SEARCH("Generative AI",F569)),12
=_xlfn.IFS(
OR(F569="Selenium (Hands-on)",F569="Guest Lecture: HR Interview"),6,
OR(F569="Soft Skill",F569="Soft Skill (Examination)",F569="AWS Training",F569="AWS Session"),7,
OR(ISNUMBER(SEARCH("MAD",F569)),ISNUMBER(SEARCH("STQA",F569)),F569="CI/CD Session"),8,
OR(ISNUMBER(SEARCH("Cloud",F569)),F569="Industry Readiness Program",ISNUMBER(SEARCH("Talenlio",F569))),9,
OR(ISNUMBER(SEARCH("Innovation",F569)),F569="Mini Project"),10,
OR(ISNUMBER(SEARCH("Data Science",F569)),ISNUMBER(SEARCH("DS",F569))),11,
ISNUMBER(SEARCH("Generative AI",F569)),12
))))</f>
        <v>11</v>
      </c>
      <c r="X569" s="3">
        <v>9</v>
      </c>
      <c r="Y569" s="3">
        <v>58</v>
      </c>
      <c r="Z569" s="3" t="s">
        <v>35</v>
      </c>
    </row>
    <row r="570" spans="1:26" x14ac:dyDescent="0.3">
      <c r="A570" s="2">
        <v>46246</v>
      </c>
      <c r="B570" s="3" t="s">
        <v>44</v>
      </c>
      <c r="C570" s="3">
        <v>1</v>
      </c>
      <c r="D570" s="4">
        <v>0.38541666666666702</v>
      </c>
      <c r="E570" s="4">
        <v>0.42708333333333298</v>
      </c>
      <c r="F570" s="3" t="s">
        <v>83</v>
      </c>
      <c r="G570" s="3" t="s">
        <v>289</v>
      </c>
      <c r="H570" s="3" t="s">
        <v>29</v>
      </c>
      <c r="I570" s="3" t="s">
        <v>30</v>
      </c>
      <c r="J570" s="3" t="s">
        <v>84</v>
      </c>
      <c r="K570" s="3" t="s">
        <v>52</v>
      </c>
      <c r="L570" s="5">
        <v>102</v>
      </c>
      <c r="M570" s="5">
        <f t="shared" ca="1" si="40"/>
        <v>97</v>
      </c>
      <c r="N570" s="6">
        <f t="shared" ca="1" si="41"/>
        <v>95.098039215686271</v>
      </c>
      <c r="O570" s="3">
        <v>98.123649999999998</v>
      </c>
      <c r="P570" s="3">
        <f t="shared" si="44"/>
        <v>0</v>
      </c>
      <c r="Q570" s="3" t="s">
        <v>43</v>
      </c>
      <c r="R570" s="3" t="s">
        <v>40</v>
      </c>
      <c r="S570" s="3" t="str">
        <f t="shared" si="42"/>
        <v>Yes</v>
      </c>
      <c r="T570" s="3" t="s">
        <v>40</v>
      </c>
      <c r="U570" s="3" t="str">
        <f t="shared" si="43"/>
        <v>Rainy</v>
      </c>
      <c r="V570" s="3" t="s">
        <v>40</v>
      </c>
      <c r="W570" s="3" cm="1">
        <f t="array" ref="W570">_xlfn.IFS(
OR(F570="Selenium (Hands-on)",F570="Guest Lecture: HR Interview"),6,
OR(F570="Soft Skill",F570="Soft Skill (Examination)",F570="AWS Training",F570="AWS Session"),7,
OR(ISNUMBER(SEARCH("MAD",F570)),ISNUMBER(SEARCH("STQA",F570)),F570="CI/CD Session"),8,
OR(ISNUMBER(SEARCH("Cloud",F570)),F570="Industry Readiness Program",ISNUMBER(SEARCH("Talenlio",F570))),9,
OR(ISNUMBER(SEARCH("Innovation",F570)),F570="Mini Project"),10,
OR(ISNUMBER(SEARCH("Data Science",F570)),ISNUMBER(SEARCH("DS",F570))),11,
ISNUMBER(SEARCH("Generative AI",F570)),12
=_xlfn.IFS(
OR(F570="Selenium (Hands-on)",F570="Guest Lecture: HR Interview"),6,
OR(F570="Soft Skill",F570="Soft Skill (Examination)",F570="AWS Training",F570="AWS Session"),7,
OR(ISNUMBER(SEARCH("MAD",F570)),ISNUMBER(SEARCH("STQA",F570)),F570="CI/CD Session"),8,
OR(ISNUMBER(SEARCH("Cloud",F570)),F570="Industry Readiness Program",ISNUMBER(SEARCH("Talenlio",F570))),9,
OR(ISNUMBER(SEARCH("Innovation",F570)),F570="Mini Project"),10,
OR(ISNUMBER(SEARCH("Data Science",F570)),ISNUMBER(SEARCH("DS",F570))),11,
ISNUMBER(SEARCH("Generative AI",F570)),12
=_xlfn.IFS(
OR(F570="Selenium (Hands-on)",F570="Guest Lecture: HR Interview"),6,
OR(F570="Soft Skill",F570="Soft Skill (Examination)",F570="AWS Training",F570="AWS Session"),7,
OR(ISNUMBER(SEARCH("MAD",F570)),ISNUMBER(SEARCH("STQA",F570)),F570="CI/CD Session"),8,
OR(ISNUMBER(SEARCH("Cloud",F570)),F570="Industry Readiness Program",ISNUMBER(SEARCH("Talenlio",F570))),9,
OR(ISNUMBER(SEARCH("Innovation",F570)),F570="Mini Project"),10,
OR(ISNUMBER(SEARCH("Data Science",F570)),ISNUMBER(SEARCH("DS",F570))),11,
ISNUMBER(SEARCH("Generative AI",F570)),12
=_xlfn.IFS(
OR(F570="Selenium (Hands-on)",F570="Guest Lecture: HR Interview"),6,
OR(F570="Soft Skill",F570="Soft Skill (Examination)",F570="AWS Training",F570="AWS Session"),7,
OR(ISNUMBER(SEARCH("MAD",F570)),ISNUMBER(SEARCH("STQA",F570)),F570="CI/CD Session"),8,
OR(ISNUMBER(SEARCH("Cloud",F570)),F570="Industry Readiness Program",ISNUMBER(SEARCH("Talenlio",F570))),9,
OR(ISNUMBER(SEARCH("Innovation",F570)),F570="Mini Project"),10,
OR(ISNUMBER(SEARCH("Data Science",F570)),ISNUMBER(SEARCH("DS",F570))),11,
ISNUMBER(SEARCH("Generative AI",F570)),12
))))</f>
        <v>8</v>
      </c>
      <c r="X570" s="3">
        <v>9</v>
      </c>
      <c r="Y570" s="3">
        <v>59</v>
      </c>
      <c r="Z570" s="3" t="s">
        <v>35</v>
      </c>
    </row>
    <row r="571" spans="1:26" x14ac:dyDescent="0.3">
      <c r="A571" s="2">
        <v>46246</v>
      </c>
      <c r="B571" s="3" t="s">
        <v>44</v>
      </c>
      <c r="C571" s="3">
        <v>2</v>
      </c>
      <c r="D571" s="4">
        <v>0.42708333333333298</v>
      </c>
      <c r="E571" s="4">
        <v>0.46875</v>
      </c>
      <c r="F571" s="3" t="s">
        <v>83</v>
      </c>
      <c r="G571" s="3" t="s">
        <v>289</v>
      </c>
      <c r="H571" s="3" t="s">
        <v>29</v>
      </c>
      <c r="I571" s="3" t="s">
        <v>30</v>
      </c>
      <c r="J571" s="3" t="s">
        <v>84</v>
      </c>
      <c r="K571" s="3" t="s">
        <v>52</v>
      </c>
      <c r="L571" s="5">
        <v>102</v>
      </c>
      <c r="M571" s="5">
        <f t="shared" ca="1" si="40"/>
        <v>95</v>
      </c>
      <c r="N571" s="6">
        <f t="shared" ca="1" si="41"/>
        <v>93.137254901960787</v>
      </c>
      <c r="O571" s="3" cm="1">
        <f t="array" aca="1" ref="O571" ca="1">IFERROR(LOOKUP(2, 1/((F$1:F570=F571)*(J$1:J570=J571)*(ROW(F$1:F570)&lt;ROW(F571))), N$1:N570), "")</f>
        <v>95.098039215686271</v>
      </c>
      <c r="P571" s="3">
        <f t="shared" si="44"/>
        <v>0</v>
      </c>
      <c r="Q571" s="3" t="s">
        <v>43</v>
      </c>
      <c r="R571" s="3" t="s">
        <v>40</v>
      </c>
      <c r="S571" s="3" t="str">
        <f t="shared" si="42"/>
        <v>Yes</v>
      </c>
      <c r="T571" s="3" t="s">
        <v>40</v>
      </c>
      <c r="U571" s="3" t="str">
        <f t="shared" si="43"/>
        <v>Rainy</v>
      </c>
      <c r="V571" s="3" t="s">
        <v>40</v>
      </c>
      <c r="W571" s="3" cm="1">
        <f t="array" ref="W571">_xlfn.IFS(
OR(F571="Selenium (Hands-on)",F571="Guest Lecture: HR Interview"),6,
OR(F571="Soft Skill",F571="Soft Skill (Examination)",F571="AWS Training",F571="AWS Session"),7,
OR(ISNUMBER(SEARCH("MAD",F571)),ISNUMBER(SEARCH("STQA",F571)),F571="CI/CD Session"),8,
OR(ISNUMBER(SEARCH("Cloud",F571)),F571="Industry Readiness Program",ISNUMBER(SEARCH("Talenlio",F571))),9,
OR(ISNUMBER(SEARCH("Innovation",F571)),F571="Mini Project"),10,
OR(ISNUMBER(SEARCH("Data Science",F571)),ISNUMBER(SEARCH("DS",F571))),11,
ISNUMBER(SEARCH("Generative AI",F571)),12
=_xlfn.IFS(
OR(F571="Selenium (Hands-on)",F571="Guest Lecture: HR Interview"),6,
OR(F571="Soft Skill",F571="Soft Skill (Examination)",F571="AWS Training",F571="AWS Session"),7,
OR(ISNUMBER(SEARCH("MAD",F571)),ISNUMBER(SEARCH("STQA",F571)),F571="CI/CD Session"),8,
OR(ISNUMBER(SEARCH("Cloud",F571)),F571="Industry Readiness Program",ISNUMBER(SEARCH("Talenlio",F571))),9,
OR(ISNUMBER(SEARCH("Innovation",F571)),F571="Mini Project"),10,
OR(ISNUMBER(SEARCH("Data Science",F571)),ISNUMBER(SEARCH("DS",F571))),11,
ISNUMBER(SEARCH("Generative AI",F571)),12
=_xlfn.IFS(
OR(F571="Selenium (Hands-on)",F571="Guest Lecture: HR Interview"),6,
OR(F571="Soft Skill",F571="Soft Skill (Examination)",F571="AWS Training",F571="AWS Session"),7,
OR(ISNUMBER(SEARCH("MAD",F571)),ISNUMBER(SEARCH("STQA",F571)),F571="CI/CD Session"),8,
OR(ISNUMBER(SEARCH("Cloud",F571)),F571="Industry Readiness Program",ISNUMBER(SEARCH("Talenlio",F571))),9,
OR(ISNUMBER(SEARCH("Innovation",F571)),F571="Mini Project"),10,
OR(ISNUMBER(SEARCH("Data Science",F571)),ISNUMBER(SEARCH("DS",F571))),11,
ISNUMBER(SEARCH("Generative AI",F571)),12
=_xlfn.IFS(
OR(F571="Selenium (Hands-on)",F571="Guest Lecture: HR Interview"),6,
OR(F571="Soft Skill",F571="Soft Skill (Examination)",F571="AWS Training",F571="AWS Session"),7,
OR(ISNUMBER(SEARCH("MAD",F571)),ISNUMBER(SEARCH("STQA",F571)),F571="CI/CD Session"),8,
OR(ISNUMBER(SEARCH("Cloud",F571)),F571="Industry Readiness Program",ISNUMBER(SEARCH("Talenlio",F571))),9,
OR(ISNUMBER(SEARCH("Innovation",F571)),F571="Mini Project"),10,
OR(ISNUMBER(SEARCH("Data Science",F571)),ISNUMBER(SEARCH("DS",F571))),11,
ISNUMBER(SEARCH("Generative AI",F571)),12
))))</f>
        <v>8</v>
      </c>
      <c r="X571" s="3">
        <v>9</v>
      </c>
      <c r="Y571" s="3">
        <v>59</v>
      </c>
      <c r="Z571" s="3" t="s">
        <v>35</v>
      </c>
    </row>
    <row r="572" spans="1:26" x14ac:dyDescent="0.3">
      <c r="A572" s="2">
        <v>46246</v>
      </c>
      <c r="B572" s="3" t="s">
        <v>44</v>
      </c>
      <c r="C572" s="3">
        <v>3</v>
      </c>
      <c r="D572" s="4">
        <v>0.46875</v>
      </c>
      <c r="E572" s="4">
        <v>0.51041666666666696</v>
      </c>
      <c r="F572" s="3" t="s">
        <v>83</v>
      </c>
      <c r="G572" s="3" t="s">
        <v>289</v>
      </c>
      <c r="H572" s="3" t="s">
        <v>29</v>
      </c>
      <c r="I572" s="3" t="s">
        <v>30</v>
      </c>
      <c r="J572" s="3" t="s">
        <v>84</v>
      </c>
      <c r="K572" s="3" t="s">
        <v>52</v>
      </c>
      <c r="L572" s="5">
        <v>102</v>
      </c>
      <c r="M572" s="5">
        <f t="shared" ca="1" si="40"/>
        <v>61</v>
      </c>
      <c r="N572" s="6">
        <f t="shared" ca="1" si="41"/>
        <v>59.803921568627452</v>
      </c>
      <c r="O572" s="3" cm="1">
        <f t="array" aca="1" ref="O572" ca="1">IFERROR(LOOKUP(2, 1/((F$1:F571=F572)*(J$1:J571=J572)*(ROW(F$1:F571)&lt;ROW(F572))), N$1:N571), "")</f>
        <v>93.137254901960787</v>
      </c>
      <c r="P572" s="3">
        <f t="shared" si="44"/>
        <v>0</v>
      </c>
      <c r="Q572" s="3" t="s">
        <v>43</v>
      </c>
      <c r="R572" s="3" t="s">
        <v>40</v>
      </c>
      <c r="S572" s="3" t="str">
        <f t="shared" si="42"/>
        <v>Yes</v>
      </c>
      <c r="T572" s="3" t="s">
        <v>40</v>
      </c>
      <c r="U572" s="3" t="str">
        <f t="shared" si="43"/>
        <v>Rainy</v>
      </c>
      <c r="V572" s="3" t="s">
        <v>40</v>
      </c>
      <c r="W572" s="3" cm="1">
        <f t="array" ref="W572">_xlfn.IFS(
OR(F572="Selenium (Hands-on)",F572="Guest Lecture: HR Interview"),6,
OR(F572="Soft Skill",F572="Soft Skill (Examination)",F572="AWS Training",F572="AWS Session"),7,
OR(ISNUMBER(SEARCH("MAD",F572)),ISNUMBER(SEARCH("STQA",F572)),F572="CI/CD Session"),8,
OR(ISNUMBER(SEARCH("Cloud",F572)),F572="Industry Readiness Program",ISNUMBER(SEARCH("Talenlio",F572))),9,
OR(ISNUMBER(SEARCH("Innovation",F572)),F572="Mini Project"),10,
OR(ISNUMBER(SEARCH("Data Science",F572)),ISNUMBER(SEARCH("DS",F572))),11,
ISNUMBER(SEARCH("Generative AI",F572)),12
=_xlfn.IFS(
OR(F572="Selenium (Hands-on)",F572="Guest Lecture: HR Interview"),6,
OR(F572="Soft Skill",F572="Soft Skill (Examination)",F572="AWS Training",F572="AWS Session"),7,
OR(ISNUMBER(SEARCH("MAD",F572)),ISNUMBER(SEARCH("STQA",F572)),F572="CI/CD Session"),8,
OR(ISNUMBER(SEARCH("Cloud",F572)),F572="Industry Readiness Program",ISNUMBER(SEARCH("Talenlio",F572))),9,
OR(ISNUMBER(SEARCH("Innovation",F572)),F572="Mini Project"),10,
OR(ISNUMBER(SEARCH("Data Science",F572)),ISNUMBER(SEARCH("DS",F572))),11,
ISNUMBER(SEARCH("Generative AI",F572)),12
=_xlfn.IFS(
OR(F572="Selenium (Hands-on)",F572="Guest Lecture: HR Interview"),6,
OR(F572="Soft Skill",F572="Soft Skill (Examination)",F572="AWS Training",F572="AWS Session"),7,
OR(ISNUMBER(SEARCH("MAD",F572)),ISNUMBER(SEARCH("STQA",F572)),F572="CI/CD Session"),8,
OR(ISNUMBER(SEARCH("Cloud",F572)),F572="Industry Readiness Program",ISNUMBER(SEARCH("Talenlio",F572))),9,
OR(ISNUMBER(SEARCH("Innovation",F572)),F572="Mini Project"),10,
OR(ISNUMBER(SEARCH("Data Science",F572)),ISNUMBER(SEARCH("DS",F572))),11,
ISNUMBER(SEARCH("Generative AI",F572)),12
=_xlfn.IFS(
OR(F572="Selenium (Hands-on)",F572="Guest Lecture: HR Interview"),6,
OR(F572="Soft Skill",F572="Soft Skill (Examination)",F572="AWS Training",F572="AWS Session"),7,
OR(ISNUMBER(SEARCH("MAD",F572)),ISNUMBER(SEARCH("STQA",F572)),F572="CI/CD Session"),8,
OR(ISNUMBER(SEARCH("Cloud",F572)),F572="Industry Readiness Program",ISNUMBER(SEARCH("Talenlio",F572))),9,
OR(ISNUMBER(SEARCH("Innovation",F572)),F572="Mini Project"),10,
OR(ISNUMBER(SEARCH("Data Science",F572)),ISNUMBER(SEARCH("DS",F572))),11,
ISNUMBER(SEARCH("Generative AI",F572)),12
))))</f>
        <v>8</v>
      </c>
      <c r="X572" s="3">
        <v>9</v>
      </c>
      <c r="Y572" s="3">
        <v>59</v>
      </c>
      <c r="Z572" s="3" t="s">
        <v>35</v>
      </c>
    </row>
    <row r="573" spans="1:26" x14ac:dyDescent="0.3">
      <c r="A573" s="2">
        <v>46247</v>
      </c>
      <c r="B573" s="3" t="s">
        <v>45</v>
      </c>
      <c r="C573" s="3">
        <v>1</v>
      </c>
      <c r="D573" s="4">
        <v>0.38541666666666702</v>
      </c>
      <c r="E573" s="4">
        <v>0.42708333333333298</v>
      </c>
      <c r="F573" s="3" t="s">
        <v>83</v>
      </c>
      <c r="G573" s="3" t="s">
        <v>289</v>
      </c>
      <c r="H573" s="3" t="s">
        <v>29</v>
      </c>
      <c r="I573" s="3" t="s">
        <v>30</v>
      </c>
      <c r="J573" s="3" t="s">
        <v>84</v>
      </c>
      <c r="K573" s="3" t="s">
        <v>52</v>
      </c>
      <c r="L573" s="5">
        <v>102</v>
      </c>
      <c r="M573" s="5">
        <f t="shared" ca="1" si="40"/>
        <v>62</v>
      </c>
      <c r="N573" s="6">
        <f t="shared" ca="1" si="41"/>
        <v>60.784313725490193</v>
      </c>
      <c r="O573" s="3" cm="1">
        <f t="array" aca="1" ref="O573" ca="1">IFERROR(LOOKUP(2, 1/((F$1:F572=F573)*(J$1:J572=J573)*(ROW(F$1:F572)&lt;ROW(F573))), N$1:N572), "")</f>
        <v>59.803921568627452</v>
      </c>
      <c r="P573" s="3">
        <f t="shared" si="44"/>
        <v>0</v>
      </c>
      <c r="Q573" s="3" t="s">
        <v>43</v>
      </c>
      <c r="R573" s="3" t="s">
        <v>40</v>
      </c>
      <c r="S573" s="3" t="str">
        <f t="shared" si="42"/>
        <v>Yes</v>
      </c>
      <c r="T573" s="3" t="s">
        <v>40</v>
      </c>
      <c r="U573" s="3" t="str">
        <f t="shared" si="43"/>
        <v>Rainy</v>
      </c>
      <c r="V573" s="3" t="s">
        <v>40</v>
      </c>
      <c r="W573" s="3" cm="1">
        <f t="array" ref="W573">_xlfn.IFS(
OR(F573="Selenium (Hands-on)",F573="Guest Lecture: HR Interview"),6,
OR(F573="Soft Skill",F573="Soft Skill (Examination)",F573="AWS Training",F573="AWS Session"),7,
OR(ISNUMBER(SEARCH("MAD",F573)),ISNUMBER(SEARCH("STQA",F573)),F573="CI/CD Session"),8,
OR(ISNUMBER(SEARCH("Cloud",F573)),F573="Industry Readiness Program",ISNUMBER(SEARCH("Talenlio",F573))),9,
OR(ISNUMBER(SEARCH("Innovation",F573)),F573="Mini Project"),10,
OR(ISNUMBER(SEARCH("Data Science",F573)),ISNUMBER(SEARCH("DS",F573))),11,
ISNUMBER(SEARCH("Generative AI",F573)),12
=_xlfn.IFS(
OR(F573="Selenium (Hands-on)",F573="Guest Lecture: HR Interview"),6,
OR(F573="Soft Skill",F573="Soft Skill (Examination)",F573="AWS Training",F573="AWS Session"),7,
OR(ISNUMBER(SEARCH("MAD",F573)),ISNUMBER(SEARCH("STQA",F573)),F573="CI/CD Session"),8,
OR(ISNUMBER(SEARCH("Cloud",F573)),F573="Industry Readiness Program",ISNUMBER(SEARCH("Talenlio",F573))),9,
OR(ISNUMBER(SEARCH("Innovation",F573)),F573="Mini Project"),10,
OR(ISNUMBER(SEARCH("Data Science",F573)),ISNUMBER(SEARCH("DS",F573))),11,
ISNUMBER(SEARCH("Generative AI",F573)),12
=_xlfn.IFS(
OR(F573="Selenium (Hands-on)",F573="Guest Lecture: HR Interview"),6,
OR(F573="Soft Skill",F573="Soft Skill (Examination)",F573="AWS Training",F573="AWS Session"),7,
OR(ISNUMBER(SEARCH("MAD",F573)),ISNUMBER(SEARCH("STQA",F573)),F573="CI/CD Session"),8,
OR(ISNUMBER(SEARCH("Cloud",F573)),F573="Industry Readiness Program",ISNUMBER(SEARCH("Talenlio",F573))),9,
OR(ISNUMBER(SEARCH("Innovation",F573)),F573="Mini Project"),10,
OR(ISNUMBER(SEARCH("Data Science",F573)),ISNUMBER(SEARCH("DS",F573))),11,
ISNUMBER(SEARCH("Generative AI",F573)),12
=_xlfn.IFS(
OR(F573="Selenium (Hands-on)",F573="Guest Lecture: HR Interview"),6,
OR(F573="Soft Skill",F573="Soft Skill (Examination)",F573="AWS Training",F573="AWS Session"),7,
OR(ISNUMBER(SEARCH("MAD",F573)),ISNUMBER(SEARCH("STQA",F573)),F573="CI/CD Session"),8,
OR(ISNUMBER(SEARCH("Cloud",F573)),F573="Industry Readiness Program",ISNUMBER(SEARCH("Talenlio",F573))),9,
OR(ISNUMBER(SEARCH("Innovation",F573)),F573="Mini Project"),10,
OR(ISNUMBER(SEARCH("Data Science",F573)),ISNUMBER(SEARCH("DS",F573))),11,
ISNUMBER(SEARCH("Generative AI",F573)),12
))))</f>
        <v>8</v>
      </c>
      <c r="X573" s="3">
        <v>9</v>
      </c>
      <c r="Y573" s="3">
        <v>60</v>
      </c>
      <c r="Z573" s="3" t="s">
        <v>35</v>
      </c>
    </row>
    <row r="574" spans="1:26" x14ac:dyDescent="0.3">
      <c r="A574" s="2">
        <v>46247</v>
      </c>
      <c r="B574" s="3" t="s">
        <v>45</v>
      </c>
      <c r="C574" s="3">
        <v>2</v>
      </c>
      <c r="D574" s="4">
        <v>0.42708333333333298</v>
      </c>
      <c r="E574" s="4">
        <v>0.46875</v>
      </c>
      <c r="F574" s="3" t="s">
        <v>83</v>
      </c>
      <c r="G574" s="3" t="s">
        <v>289</v>
      </c>
      <c r="H574" s="3" t="s">
        <v>29</v>
      </c>
      <c r="I574" s="3" t="s">
        <v>30</v>
      </c>
      <c r="J574" s="3" t="s">
        <v>84</v>
      </c>
      <c r="K574" s="3" t="s">
        <v>52</v>
      </c>
      <c r="L574" s="5">
        <v>102</v>
      </c>
      <c r="M574" s="5">
        <f t="shared" ca="1" si="40"/>
        <v>67</v>
      </c>
      <c r="N574" s="6">
        <f t="shared" ca="1" si="41"/>
        <v>65.686274509803923</v>
      </c>
      <c r="O574" s="3" cm="1">
        <f t="array" aca="1" ref="O574" ca="1">IFERROR(LOOKUP(2, 1/((F$1:F573=F574)*(J$1:J573=J574)*(ROW(F$1:F573)&lt;ROW(F574))), N$1:N573), "")</f>
        <v>60.784313725490193</v>
      </c>
      <c r="P574" s="3">
        <f t="shared" si="44"/>
        <v>0</v>
      </c>
      <c r="Q574" s="3" t="s">
        <v>43</v>
      </c>
      <c r="R574" s="3" t="s">
        <v>40</v>
      </c>
      <c r="S574" s="3" t="str">
        <f t="shared" si="42"/>
        <v>Yes</v>
      </c>
      <c r="T574" s="3" t="s">
        <v>40</v>
      </c>
      <c r="U574" s="3" t="str">
        <f t="shared" si="43"/>
        <v>Rainy</v>
      </c>
      <c r="V574" s="3" t="s">
        <v>40</v>
      </c>
      <c r="W574" s="3" cm="1">
        <f t="array" ref="W574">_xlfn.IFS(
OR(F574="Selenium (Hands-on)",F574="Guest Lecture: HR Interview"),6,
OR(F574="Soft Skill",F574="Soft Skill (Examination)",F574="AWS Training",F574="AWS Session"),7,
OR(ISNUMBER(SEARCH("MAD",F574)),ISNUMBER(SEARCH("STQA",F574)),F574="CI/CD Session"),8,
OR(ISNUMBER(SEARCH("Cloud",F574)),F574="Industry Readiness Program",ISNUMBER(SEARCH("Talenlio",F574))),9,
OR(ISNUMBER(SEARCH("Innovation",F574)),F574="Mini Project"),10,
OR(ISNUMBER(SEARCH("Data Science",F574)),ISNUMBER(SEARCH("DS",F574))),11,
ISNUMBER(SEARCH("Generative AI",F574)),12
=_xlfn.IFS(
OR(F574="Selenium (Hands-on)",F574="Guest Lecture: HR Interview"),6,
OR(F574="Soft Skill",F574="Soft Skill (Examination)",F574="AWS Training",F574="AWS Session"),7,
OR(ISNUMBER(SEARCH("MAD",F574)),ISNUMBER(SEARCH("STQA",F574)),F574="CI/CD Session"),8,
OR(ISNUMBER(SEARCH("Cloud",F574)),F574="Industry Readiness Program",ISNUMBER(SEARCH("Talenlio",F574))),9,
OR(ISNUMBER(SEARCH("Innovation",F574)),F574="Mini Project"),10,
OR(ISNUMBER(SEARCH("Data Science",F574)),ISNUMBER(SEARCH("DS",F574))),11,
ISNUMBER(SEARCH("Generative AI",F574)),12
=_xlfn.IFS(
OR(F574="Selenium (Hands-on)",F574="Guest Lecture: HR Interview"),6,
OR(F574="Soft Skill",F574="Soft Skill (Examination)",F574="AWS Training",F574="AWS Session"),7,
OR(ISNUMBER(SEARCH("MAD",F574)),ISNUMBER(SEARCH("STQA",F574)),F574="CI/CD Session"),8,
OR(ISNUMBER(SEARCH("Cloud",F574)),F574="Industry Readiness Program",ISNUMBER(SEARCH("Talenlio",F574))),9,
OR(ISNUMBER(SEARCH("Innovation",F574)),F574="Mini Project"),10,
OR(ISNUMBER(SEARCH("Data Science",F574)),ISNUMBER(SEARCH("DS",F574))),11,
ISNUMBER(SEARCH("Generative AI",F574)),12
=_xlfn.IFS(
OR(F574="Selenium (Hands-on)",F574="Guest Lecture: HR Interview"),6,
OR(F574="Soft Skill",F574="Soft Skill (Examination)",F574="AWS Training",F574="AWS Session"),7,
OR(ISNUMBER(SEARCH("MAD",F574)),ISNUMBER(SEARCH("STQA",F574)),F574="CI/CD Session"),8,
OR(ISNUMBER(SEARCH("Cloud",F574)),F574="Industry Readiness Program",ISNUMBER(SEARCH("Talenlio",F574))),9,
OR(ISNUMBER(SEARCH("Innovation",F574)),F574="Mini Project"),10,
OR(ISNUMBER(SEARCH("Data Science",F574)),ISNUMBER(SEARCH("DS",F574))),11,
ISNUMBER(SEARCH("Generative AI",F574)),12
))))</f>
        <v>8</v>
      </c>
      <c r="X574" s="3">
        <v>9</v>
      </c>
      <c r="Y574" s="3">
        <v>60</v>
      </c>
      <c r="Z574" s="3" t="s">
        <v>35</v>
      </c>
    </row>
    <row r="575" spans="1:26" x14ac:dyDescent="0.3">
      <c r="A575" s="2">
        <v>46247</v>
      </c>
      <c r="B575" s="3" t="s">
        <v>45</v>
      </c>
      <c r="C575" s="3">
        <v>3</v>
      </c>
      <c r="D575" s="4">
        <v>0.46875</v>
      </c>
      <c r="E575" s="4">
        <v>0.51041666666666696</v>
      </c>
      <c r="F575" s="3" t="s">
        <v>83</v>
      </c>
      <c r="G575" s="3" t="s">
        <v>289</v>
      </c>
      <c r="H575" s="3" t="s">
        <v>29</v>
      </c>
      <c r="I575" s="3" t="s">
        <v>30</v>
      </c>
      <c r="J575" s="3" t="s">
        <v>84</v>
      </c>
      <c r="K575" s="3" t="s">
        <v>52</v>
      </c>
      <c r="L575" s="5">
        <v>102</v>
      </c>
      <c r="M575" s="5">
        <f t="shared" ca="1" si="40"/>
        <v>45</v>
      </c>
      <c r="N575" s="6">
        <f t="shared" ca="1" si="41"/>
        <v>44.117647058823529</v>
      </c>
      <c r="O575" s="3" cm="1">
        <f t="array" aca="1" ref="O575" ca="1">IFERROR(LOOKUP(2, 1/((F$1:F574=F575)*(J$1:J574=J575)*(ROW(F$1:F574)&lt;ROW(F575))), N$1:N574), "")</f>
        <v>65.686274509803923</v>
      </c>
      <c r="P575" s="3">
        <f t="shared" si="44"/>
        <v>0</v>
      </c>
      <c r="Q575" s="3" t="s">
        <v>43</v>
      </c>
      <c r="R575" s="3" t="s">
        <v>40</v>
      </c>
      <c r="S575" s="3" t="str">
        <f t="shared" si="42"/>
        <v>Yes</v>
      </c>
      <c r="T575" s="3" t="s">
        <v>40</v>
      </c>
      <c r="U575" s="3" t="str">
        <f t="shared" si="43"/>
        <v>Rainy</v>
      </c>
      <c r="V575" s="3" t="s">
        <v>40</v>
      </c>
      <c r="W575" s="3" cm="1">
        <f t="array" ref="W575">_xlfn.IFS(
OR(F575="Selenium (Hands-on)",F575="Guest Lecture: HR Interview"),6,
OR(F575="Soft Skill",F575="Soft Skill (Examination)",F575="AWS Training",F575="AWS Session"),7,
OR(ISNUMBER(SEARCH("MAD",F575)),ISNUMBER(SEARCH("STQA",F575)),F575="CI/CD Session"),8,
OR(ISNUMBER(SEARCH("Cloud",F575)),F575="Industry Readiness Program",ISNUMBER(SEARCH("Talenlio",F575))),9,
OR(ISNUMBER(SEARCH("Innovation",F575)),F575="Mini Project"),10,
OR(ISNUMBER(SEARCH("Data Science",F575)),ISNUMBER(SEARCH("DS",F575))),11,
ISNUMBER(SEARCH("Generative AI",F575)),12
=_xlfn.IFS(
OR(F575="Selenium (Hands-on)",F575="Guest Lecture: HR Interview"),6,
OR(F575="Soft Skill",F575="Soft Skill (Examination)",F575="AWS Training",F575="AWS Session"),7,
OR(ISNUMBER(SEARCH("MAD",F575)),ISNUMBER(SEARCH("STQA",F575)),F575="CI/CD Session"),8,
OR(ISNUMBER(SEARCH("Cloud",F575)),F575="Industry Readiness Program",ISNUMBER(SEARCH("Talenlio",F575))),9,
OR(ISNUMBER(SEARCH("Innovation",F575)),F575="Mini Project"),10,
OR(ISNUMBER(SEARCH("Data Science",F575)),ISNUMBER(SEARCH("DS",F575))),11,
ISNUMBER(SEARCH("Generative AI",F575)),12
=_xlfn.IFS(
OR(F575="Selenium (Hands-on)",F575="Guest Lecture: HR Interview"),6,
OR(F575="Soft Skill",F575="Soft Skill (Examination)",F575="AWS Training",F575="AWS Session"),7,
OR(ISNUMBER(SEARCH("MAD",F575)),ISNUMBER(SEARCH("STQA",F575)),F575="CI/CD Session"),8,
OR(ISNUMBER(SEARCH("Cloud",F575)),F575="Industry Readiness Program",ISNUMBER(SEARCH("Talenlio",F575))),9,
OR(ISNUMBER(SEARCH("Innovation",F575)),F575="Mini Project"),10,
OR(ISNUMBER(SEARCH("Data Science",F575)),ISNUMBER(SEARCH("DS",F575))),11,
ISNUMBER(SEARCH("Generative AI",F575)),12
=_xlfn.IFS(
OR(F575="Selenium (Hands-on)",F575="Guest Lecture: HR Interview"),6,
OR(F575="Soft Skill",F575="Soft Skill (Examination)",F575="AWS Training",F575="AWS Session"),7,
OR(ISNUMBER(SEARCH("MAD",F575)),ISNUMBER(SEARCH("STQA",F575)),F575="CI/CD Session"),8,
OR(ISNUMBER(SEARCH("Cloud",F575)),F575="Industry Readiness Program",ISNUMBER(SEARCH("Talenlio",F575))),9,
OR(ISNUMBER(SEARCH("Innovation",F575)),F575="Mini Project"),10,
OR(ISNUMBER(SEARCH("Data Science",F575)),ISNUMBER(SEARCH("DS",F575))),11,
ISNUMBER(SEARCH("Generative AI",F575)),12
))))</f>
        <v>8</v>
      </c>
      <c r="X575" s="3">
        <v>9</v>
      </c>
      <c r="Y575" s="3">
        <v>60</v>
      </c>
      <c r="Z575" s="3" t="s">
        <v>35</v>
      </c>
    </row>
    <row r="576" spans="1:26" x14ac:dyDescent="0.3">
      <c r="A576" s="2">
        <v>46247</v>
      </c>
      <c r="B576" s="3" t="s">
        <v>45</v>
      </c>
      <c r="C576" s="3">
        <v>4</v>
      </c>
      <c r="D576" s="4">
        <v>0.5625</v>
      </c>
      <c r="E576" s="4">
        <v>0.60416666666666696</v>
      </c>
      <c r="F576" s="3" t="s">
        <v>81</v>
      </c>
      <c r="G576" s="3" t="s">
        <v>289</v>
      </c>
      <c r="H576" s="3" t="s">
        <v>29</v>
      </c>
      <c r="I576" s="3" t="s">
        <v>30</v>
      </c>
      <c r="J576" s="3" t="s">
        <v>84</v>
      </c>
      <c r="K576" s="3" t="s">
        <v>52</v>
      </c>
      <c r="L576" s="5">
        <v>102</v>
      </c>
      <c r="M576" s="5">
        <f t="shared" ca="1" si="40"/>
        <v>63</v>
      </c>
      <c r="N576" s="6">
        <f t="shared" ca="1" si="41"/>
        <v>61.764705882352942</v>
      </c>
      <c r="O576" s="3" cm="1">
        <f t="array" aca="1" ref="O576" ca="1">IFERROR(LOOKUP(2, 1/((F$1:F575=F576)*(J$1:J575=J576)*(ROW(F$1:F575)&lt;ROW(F576))), N$1:N575), "")</f>
        <v>64.705882352941174</v>
      </c>
      <c r="P576" s="3">
        <f t="shared" si="44"/>
        <v>1.25</v>
      </c>
      <c r="Q576" s="3" t="s">
        <v>43</v>
      </c>
      <c r="R576" s="3" t="s">
        <v>40</v>
      </c>
      <c r="S576" s="3" t="str">
        <f t="shared" si="42"/>
        <v>No</v>
      </c>
      <c r="T576" s="3" t="s">
        <v>40</v>
      </c>
      <c r="U576" s="3" t="str">
        <f t="shared" si="43"/>
        <v>Rainy</v>
      </c>
      <c r="V576" s="3" t="s">
        <v>40</v>
      </c>
      <c r="W576" s="3" cm="1">
        <f t="array" ref="W576">_xlfn.IFS(
OR(F576="Selenium (Hands-on)",F576="Guest Lecture: HR Interview"),6,
OR(F576="Soft Skill",F576="Soft Skill (Examination)",F576="AWS Training",F576="AWS Session"),7,
OR(ISNUMBER(SEARCH("MAD",F576)),ISNUMBER(SEARCH("STQA",F576)),F576="CI/CD Session"),8,
OR(ISNUMBER(SEARCH("Cloud",F576)),F576="Industry Readiness Program",ISNUMBER(SEARCH("Talenlio",F576))),9,
OR(ISNUMBER(SEARCH("Innovation",F576)),F576="Mini Project"),10,
OR(ISNUMBER(SEARCH("Data Science",F576)),ISNUMBER(SEARCH("DS",F576))),11,
ISNUMBER(SEARCH("Generative AI",F576)),12
=_xlfn.IFS(
OR(F576="Selenium (Hands-on)",F576="Guest Lecture: HR Interview"),6,
OR(F576="Soft Skill",F576="Soft Skill (Examination)",F576="AWS Training",F576="AWS Session"),7,
OR(ISNUMBER(SEARCH("MAD",F576)),ISNUMBER(SEARCH("STQA",F576)),F576="CI/CD Session"),8,
OR(ISNUMBER(SEARCH("Cloud",F576)),F576="Industry Readiness Program",ISNUMBER(SEARCH("Talenlio",F576))),9,
OR(ISNUMBER(SEARCH("Innovation",F576)),F576="Mini Project"),10,
OR(ISNUMBER(SEARCH("Data Science",F576)),ISNUMBER(SEARCH("DS",F576))),11,
ISNUMBER(SEARCH("Generative AI",F576)),12
=_xlfn.IFS(
OR(F576="Selenium (Hands-on)",F576="Guest Lecture: HR Interview"),6,
OR(F576="Soft Skill",F576="Soft Skill (Examination)",F576="AWS Training",F576="AWS Session"),7,
OR(ISNUMBER(SEARCH("MAD",F576)),ISNUMBER(SEARCH("STQA",F576)),F576="CI/CD Session"),8,
OR(ISNUMBER(SEARCH("Cloud",F576)),F576="Industry Readiness Program",ISNUMBER(SEARCH("Talenlio",F576))),9,
OR(ISNUMBER(SEARCH("Innovation",F576)),F576="Mini Project"),10,
OR(ISNUMBER(SEARCH("Data Science",F576)),ISNUMBER(SEARCH("DS",F576))),11,
ISNUMBER(SEARCH("Generative AI",F576)),12
=_xlfn.IFS(
OR(F576="Selenium (Hands-on)",F576="Guest Lecture: HR Interview"),6,
OR(F576="Soft Skill",F576="Soft Skill (Examination)",F576="AWS Training",F576="AWS Session"),7,
OR(ISNUMBER(SEARCH("MAD",F576)),ISNUMBER(SEARCH("STQA",F576)),F576="CI/CD Session"),8,
OR(ISNUMBER(SEARCH("Cloud",F576)),F576="Industry Readiness Program",ISNUMBER(SEARCH("Talenlio",F576))),9,
OR(ISNUMBER(SEARCH("Innovation",F576)),F576="Mini Project"),10,
OR(ISNUMBER(SEARCH("Data Science",F576)),ISNUMBER(SEARCH("DS",F576))),11,
ISNUMBER(SEARCH("Generative AI",F576)),12
))))</f>
        <v>7</v>
      </c>
      <c r="X576" s="3">
        <v>9</v>
      </c>
      <c r="Y576" s="3">
        <v>60</v>
      </c>
      <c r="Z576" s="3" t="s">
        <v>38</v>
      </c>
    </row>
    <row r="577" spans="1:26" x14ac:dyDescent="0.3">
      <c r="A577" s="2">
        <v>46247</v>
      </c>
      <c r="B577" s="3" t="s">
        <v>45</v>
      </c>
      <c r="C577" s="3">
        <v>5</v>
      </c>
      <c r="D577" s="4">
        <v>0.60416666666666696</v>
      </c>
      <c r="E577" s="4">
        <v>0.64583333333333304</v>
      </c>
      <c r="F577" s="3" t="s">
        <v>81</v>
      </c>
      <c r="G577" s="3" t="s">
        <v>289</v>
      </c>
      <c r="H577" s="3" t="s">
        <v>29</v>
      </c>
      <c r="I577" s="3" t="s">
        <v>30</v>
      </c>
      <c r="J577" s="3" t="s">
        <v>84</v>
      </c>
      <c r="K577" s="3" t="s">
        <v>52</v>
      </c>
      <c r="L577" s="5">
        <v>102</v>
      </c>
      <c r="M577" s="5">
        <f t="shared" ca="1" si="40"/>
        <v>66</v>
      </c>
      <c r="N577" s="6">
        <f t="shared" ca="1" si="41"/>
        <v>64.705882352941174</v>
      </c>
      <c r="O577" s="3" cm="1">
        <f t="array" aca="1" ref="O577" ca="1">IFERROR(LOOKUP(2, 1/((F$1:F576=F577)*(J$1:J576=J577)*(ROW(F$1:F576)&lt;ROW(F577))), N$1:N576), "")</f>
        <v>61.764705882352942</v>
      </c>
      <c r="P577" s="3">
        <f t="shared" si="44"/>
        <v>0</v>
      </c>
      <c r="Q577" s="3" t="s">
        <v>43</v>
      </c>
      <c r="R577" s="3" t="s">
        <v>40</v>
      </c>
      <c r="S577" s="3" t="str">
        <f t="shared" si="42"/>
        <v>No</v>
      </c>
      <c r="T577" s="3" t="s">
        <v>40</v>
      </c>
      <c r="U577" s="3" t="str">
        <f t="shared" si="43"/>
        <v>Rainy</v>
      </c>
      <c r="V577" s="3" t="s">
        <v>40</v>
      </c>
      <c r="W577" s="3" cm="1">
        <f t="array" ref="W577">_xlfn.IFS(
OR(F577="Selenium (Hands-on)",F577="Guest Lecture: HR Interview"),6,
OR(F577="Soft Skill",F577="Soft Skill (Examination)",F577="AWS Training",F577="AWS Session"),7,
OR(ISNUMBER(SEARCH("MAD",F577)),ISNUMBER(SEARCH("STQA",F577)),F577="CI/CD Session"),8,
OR(ISNUMBER(SEARCH("Cloud",F577)),F577="Industry Readiness Program",ISNUMBER(SEARCH("Talenlio",F577))),9,
OR(ISNUMBER(SEARCH("Innovation",F577)),F577="Mini Project"),10,
OR(ISNUMBER(SEARCH("Data Science",F577)),ISNUMBER(SEARCH("DS",F577))),11,
ISNUMBER(SEARCH("Generative AI",F577)),12
=_xlfn.IFS(
OR(F577="Selenium (Hands-on)",F577="Guest Lecture: HR Interview"),6,
OR(F577="Soft Skill",F577="Soft Skill (Examination)",F577="AWS Training",F577="AWS Session"),7,
OR(ISNUMBER(SEARCH("MAD",F577)),ISNUMBER(SEARCH("STQA",F577)),F577="CI/CD Session"),8,
OR(ISNUMBER(SEARCH("Cloud",F577)),F577="Industry Readiness Program",ISNUMBER(SEARCH("Talenlio",F577))),9,
OR(ISNUMBER(SEARCH("Innovation",F577)),F577="Mini Project"),10,
OR(ISNUMBER(SEARCH("Data Science",F577)),ISNUMBER(SEARCH("DS",F577))),11,
ISNUMBER(SEARCH("Generative AI",F577)),12
=_xlfn.IFS(
OR(F577="Selenium (Hands-on)",F577="Guest Lecture: HR Interview"),6,
OR(F577="Soft Skill",F577="Soft Skill (Examination)",F577="AWS Training",F577="AWS Session"),7,
OR(ISNUMBER(SEARCH("MAD",F577)),ISNUMBER(SEARCH("STQA",F577)),F577="CI/CD Session"),8,
OR(ISNUMBER(SEARCH("Cloud",F577)),F577="Industry Readiness Program",ISNUMBER(SEARCH("Talenlio",F577))),9,
OR(ISNUMBER(SEARCH("Innovation",F577)),F577="Mini Project"),10,
OR(ISNUMBER(SEARCH("Data Science",F577)),ISNUMBER(SEARCH("DS",F577))),11,
ISNUMBER(SEARCH("Generative AI",F577)),12
=_xlfn.IFS(
OR(F577="Selenium (Hands-on)",F577="Guest Lecture: HR Interview"),6,
OR(F577="Soft Skill",F577="Soft Skill (Examination)",F577="AWS Training",F577="AWS Session"),7,
OR(ISNUMBER(SEARCH("MAD",F577)),ISNUMBER(SEARCH("STQA",F577)),F577="CI/CD Session"),8,
OR(ISNUMBER(SEARCH("Cloud",F577)),F577="Industry Readiness Program",ISNUMBER(SEARCH("Talenlio",F577))),9,
OR(ISNUMBER(SEARCH("Innovation",F577)),F577="Mini Project"),10,
OR(ISNUMBER(SEARCH("Data Science",F577)),ISNUMBER(SEARCH("DS",F577))),11,
ISNUMBER(SEARCH("Generative AI",F577)),12
))))</f>
        <v>7</v>
      </c>
      <c r="X577" s="3">
        <v>9</v>
      </c>
      <c r="Y577" s="3">
        <v>60</v>
      </c>
      <c r="Z577" s="3" t="s">
        <v>38</v>
      </c>
    </row>
    <row r="578" spans="1:26" x14ac:dyDescent="0.3">
      <c r="A578" s="2">
        <v>46247</v>
      </c>
      <c r="B578" s="3" t="s">
        <v>45</v>
      </c>
      <c r="C578" s="3">
        <v>6</v>
      </c>
      <c r="D578" s="4">
        <v>0.64583333333333304</v>
      </c>
      <c r="E578" s="4">
        <v>0.6875</v>
      </c>
      <c r="F578" s="3" t="s">
        <v>81</v>
      </c>
      <c r="G578" s="3" t="s">
        <v>289</v>
      </c>
      <c r="H578" s="3" t="s">
        <v>29</v>
      </c>
      <c r="I578" s="3" t="s">
        <v>30</v>
      </c>
      <c r="J578" s="3" t="s">
        <v>84</v>
      </c>
      <c r="K578" s="3" t="s">
        <v>52</v>
      </c>
      <c r="L578" s="5">
        <v>102</v>
      </c>
      <c r="M578" s="5">
        <f t="shared" ref="M578:M613" ca="1" si="45">RANDBETWEEN(40,103)</f>
        <v>45</v>
      </c>
      <c r="N578" s="6">
        <f t="shared" ref="N578:N613" ca="1" si="46">IF(OR(L578="",M578=""),"",M578/L578*100)</f>
        <v>44.117647058823529</v>
      </c>
      <c r="O578" s="3" cm="1">
        <f t="array" aca="1" ref="O578" ca="1">IFERROR(LOOKUP(2, 1/((F$1:F577=F578)*(J$1:J577=J578)*(ROW(F$1:F577)&lt;ROW(F578))), N$1:N577), "")</f>
        <v>64.705882352941174</v>
      </c>
      <c r="P578" s="3">
        <f t="shared" si="44"/>
        <v>0</v>
      </c>
      <c r="Q578" s="3" t="s">
        <v>43</v>
      </c>
      <c r="R578" s="3" t="s">
        <v>40</v>
      </c>
      <c r="S578" s="3" t="str">
        <f t="shared" ref="S578:S613" si="47">IF(OR(ISNUMBER(SEARCH("Guest", F578)), ISNUMBER(SEARCH("Hands-on", F578)), ISNUMBER(SEARCH("Project", F578)), B578="Friday"), "Yes", "No")</f>
        <v>No</v>
      </c>
      <c r="T578" s="3" t="s">
        <v>40</v>
      </c>
      <c r="U578" s="3" t="str">
        <f t="shared" ref="U578:U613" si="48">IF(MONTH(A578)=6, IF(DAY(A578)&lt;20, "Sunny", "Cloudy"), IF(OR(MONTH(A578)=7, MONTH(A578)=8), "Rainy", "Sunny"))</f>
        <v>Rainy</v>
      </c>
      <c r="V578" s="3" t="s">
        <v>40</v>
      </c>
      <c r="W578" s="3" cm="1">
        <f t="array" ref="W578">_xlfn.IFS(
OR(F578="Selenium (Hands-on)",F578="Guest Lecture: HR Interview"),6,
OR(F578="Soft Skill",F578="Soft Skill (Examination)",F578="AWS Training",F578="AWS Session"),7,
OR(ISNUMBER(SEARCH("MAD",F578)),ISNUMBER(SEARCH("STQA",F578)),F578="CI/CD Session"),8,
OR(ISNUMBER(SEARCH("Cloud",F578)),F578="Industry Readiness Program",ISNUMBER(SEARCH("Talenlio",F578))),9,
OR(ISNUMBER(SEARCH("Innovation",F578)),F578="Mini Project"),10,
OR(ISNUMBER(SEARCH("Data Science",F578)),ISNUMBER(SEARCH("DS",F578))),11,
ISNUMBER(SEARCH("Generative AI",F578)),12
=_xlfn.IFS(
OR(F578="Selenium (Hands-on)",F578="Guest Lecture: HR Interview"),6,
OR(F578="Soft Skill",F578="Soft Skill (Examination)",F578="AWS Training",F578="AWS Session"),7,
OR(ISNUMBER(SEARCH("MAD",F578)),ISNUMBER(SEARCH("STQA",F578)),F578="CI/CD Session"),8,
OR(ISNUMBER(SEARCH("Cloud",F578)),F578="Industry Readiness Program",ISNUMBER(SEARCH("Talenlio",F578))),9,
OR(ISNUMBER(SEARCH("Innovation",F578)),F578="Mini Project"),10,
OR(ISNUMBER(SEARCH("Data Science",F578)),ISNUMBER(SEARCH("DS",F578))),11,
ISNUMBER(SEARCH("Generative AI",F578)),12
=_xlfn.IFS(
OR(F578="Selenium (Hands-on)",F578="Guest Lecture: HR Interview"),6,
OR(F578="Soft Skill",F578="Soft Skill (Examination)",F578="AWS Training",F578="AWS Session"),7,
OR(ISNUMBER(SEARCH("MAD",F578)),ISNUMBER(SEARCH("STQA",F578)),F578="CI/CD Session"),8,
OR(ISNUMBER(SEARCH("Cloud",F578)),F578="Industry Readiness Program",ISNUMBER(SEARCH("Talenlio",F578))),9,
OR(ISNUMBER(SEARCH("Innovation",F578)),F578="Mini Project"),10,
OR(ISNUMBER(SEARCH("Data Science",F578)),ISNUMBER(SEARCH("DS",F578))),11,
ISNUMBER(SEARCH("Generative AI",F578)),12
=_xlfn.IFS(
OR(F578="Selenium (Hands-on)",F578="Guest Lecture: HR Interview"),6,
OR(F578="Soft Skill",F578="Soft Skill (Examination)",F578="AWS Training",F578="AWS Session"),7,
OR(ISNUMBER(SEARCH("MAD",F578)),ISNUMBER(SEARCH("STQA",F578)),F578="CI/CD Session"),8,
OR(ISNUMBER(SEARCH("Cloud",F578)),F578="Industry Readiness Program",ISNUMBER(SEARCH("Talenlio",F578))),9,
OR(ISNUMBER(SEARCH("Innovation",F578)),F578="Mini Project"),10,
OR(ISNUMBER(SEARCH("Data Science",F578)),ISNUMBER(SEARCH("DS",F578))),11,
ISNUMBER(SEARCH("Generative AI",F578)),12
))))</f>
        <v>7</v>
      </c>
      <c r="X578" s="3">
        <v>9</v>
      </c>
      <c r="Y578" s="3">
        <v>60</v>
      </c>
      <c r="Z578" s="3" t="s">
        <v>38</v>
      </c>
    </row>
    <row r="579" spans="1:26" x14ac:dyDescent="0.3">
      <c r="A579" s="2">
        <v>46248</v>
      </c>
      <c r="B579" s="3" t="s">
        <v>46</v>
      </c>
      <c r="C579" s="3">
        <v>1</v>
      </c>
      <c r="D579" s="4">
        <v>0.35416666666666702</v>
      </c>
      <c r="E579" s="4">
        <v>0.38541666666666702</v>
      </c>
      <c r="F579" s="3" t="s">
        <v>50</v>
      </c>
      <c r="G579" s="3" t="s">
        <v>51</v>
      </c>
      <c r="H579" s="3" t="s">
        <v>29</v>
      </c>
      <c r="I579" s="3" t="s">
        <v>30</v>
      </c>
      <c r="J579" s="3" t="s">
        <v>84</v>
      </c>
      <c r="K579" s="3" t="s">
        <v>52</v>
      </c>
      <c r="L579" s="5">
        <v>102</v>
      </c>
      <c r="M579" s="5">
        <f t="shared" ca="1" si="45"/>
        <v>50</v>
      </c>
      <c r="N579" s="6">
        <f t="shared" ca="1" si="46"/>
        <v>49.019607843137251</v>
      </c>
      <c r="O579" s="3" cm="1">
        <f t="array" aca="1" ref="O579" ca="1">IFERROR(LOOKUP(2, 1/((F$1:F578=F579)*(J$1:J578=J579)*(ROW(F$1:F578)&lt;ROW(F579))), N$1:N578), "")</f>
        <v>60.784313725490193</v>
      </c>
      <c r="P579" s="3">
        <f t="shared" ref="P579:P613" si="49">IF(C579=1, 0, IF(AND(A579=A578, J579=J578), ROUND(MAX(0, (D579-E578)*24), 2), 0))</f>
        <v>0</v>
      </c>
      <c r="Q579" s="3" t="s">
        <v>43</v>
      </c>
      <c r="R579" s="3" t="s">
        <v>40</v>
      </c>
      <c r="S579" s="3" t="str">
        <f t="shared" si="47"/>
        <v>Yes</v>
      </c>
      <c r="T579" s="3" t="s">
        <v>34</v>
      </c>
      <c r="U579" s="3" t="str">
        <f t="shared" si="48"/>
        <v>Rainy</v>
      </c>
      <c r="V579" s="3" t="s">
        <v>40</v>
      </c>
      <c r="W579" s="3" cm="1">
        <f t="array" ref="W579">_xlfn.IFS(
OR(F579="Selenium (Hands-on)",F579="Guest Lecture: HR Interview"),6,
OR(F579="Soft Skill",F579="Soft Skill (Examination)",F579="AWS Training",F579="AWS Session"),7,
OR(ISNUMBER(SEARCH("MAD",F579)),ISNUMBER(SEARCH("STQA",F579)),F579="CI/CD Session"),8,
OR(ISNUMBER(SEARCH("Cloud",F579)),F579="Industry Readiness Program",ISNUMBER(SEARCH("Talenlio",F579))),9,
OR(ISNUMBER(SEARCH("Innovation",F579)),F579="Mini Project"),10,
OR(ISNUMBER(SEARCH("Data Science",F579)),ISNUMBER(SEARCH("DS",F579))),11,
ISNUMBER(SEARCH("Generative AI",F579)),12
=_xlfn.IFS(
OR(F579="Selenium (Hands-on)",F579="Guest Lecture: HR Interview"),6,
OR(F579="Soft Skill",F579="Soft Skill (Examination)",F579="AWS Training",F579="AWS Session"),7,
OR(ISNUMBER(SEARCH("MAD",F579)),ISNUMBER(SEARCH("STQA",F579)),F579="CI/CD Session"),8,
OR(ISNUMBER(SEARCH("Cloud",F579)),F579="Industry Readiness Program",ISNUMBER(SEARCH("Talenlio",F579))),9,
OR(ISNUMBER(SEARCH("Innovation",F579)),F579="Mini Project"),10,
OR(ISNUMBER(SEARCH("Data Science",F579)),ISNUMBER(SEARCH("DS",F579))),11,
ISNUMBER(SEARCH("Generative AI",F579)),12
=_xlfn.IFS(
OR(F579="Selenium (Hands-on)",F579="Guest Lecture: HR Interview"),6,
OR(F579="Soft Skill",F579="Soft Skill (Examination)",F579="AWS Training",F579="AWS Session"),7,
OR(ISNUMBER(SEARCH("MAD",F579)),ISNUMBER(SEARCH("STQA",F579)),F579="CI/CD Session"),8,
OR(ISNUMBER(SEARCH("Cloud",F579)),F579="Industry Readiness Program",ISNUMBER(SEARCH("Talenlio",F579))),9,
OR(ISNUMBER(SEARCH("Innovation",F579)),F579="Mini Project"),10,
OR(ISNUMBER(SEARCH("Data Science",F579)),ISNUMBER(SEARCH("DS",F579))),11,
ISNUMBER(SEARCH("Generative AI",F579)),12
=_xlfn.IFS(
OR(F579="Selenium (Hands-on)",F579="Guest Lecture: HR Interview"),6,
OR(F579="Soft Skill",F579="Soft Skill (Examination)",F579="AWS Training",F579="AWS Session"),7,
OR(ISNUMBER(SEARCH("MAD",F579)),ISNUMBER(SEARCH("STQA",F579)),F579="CI/CD Session"),8,
OR(ISNUMBER(SEARCH("Cloud",F579)),F579="Industry Readiness Program",ISNUMBER(SEARCH("Talenlio",F579))),9,
OR(ISNUMBER(SEARCH("Innovation",F579)),F579="Mini Project"),10,
OR(ISNUMBER(SEARCH("Data Science",F579)),ISNUMBER(SEARCH("DS",F579))),11,
ISNUMBER(SEARCH("Generative AI",F579)),12
))))</f>
        <v>8</v>
      </c>
      <c r="X579" s="3">
        <v>9</v>
      </c>
      <c r="Y579" s="3">
        <v>61</v>
      </c>
      <c r="Z579" s="3" t="s">
        <v>35</v>
      </c>
    </row>
    <row r="580" spans="1:26" x14ac:dyDescent="0.3">
      <c r="A580" s="2">
        <v>46248</v>
      </c>
      <c r="B580" s="3" t="s">
        <v>46</v>
      </c>
      <c r="C580" s="3">
        <v>2</v>
      </c>
      <c r="D580" s="4">
        <v>0.38541666666666702</v>
      </c>
      <c r="E580" s="4">
        <v>0.42708333333333298</v>
      </c>
      <c r="F580" s="3" t="s">
        <v>50</v>
      </c>
      <c r="G580" s="3" t="s">
        <v>51</v>
      </c>
      <c r="H580" s="3" t="s">
        <v>29</v>
      </c>
      <c r="I580" s="3" t="s">
        <v>30</v>
      </c>
      <c r="J580" s="3" t="s">
        <v>84</v>
      </c>
      <c r="K580" s="3" t="s">
        <v>52</v>
      </c>
      <c r="L580" s="5">
        <v>102</v>
      </c>
      <c r="M580" s="5">
        <f t="shared" ca="1" si="45"/>
        <v>103</v>
      </c>
      <c r="N580" s="6">
        <f t="shared" ca="1" si="46"/>
        <v>100.98039215686273</v>
      </c>
      <c r="O580" s="3" cm="1">
        <f t="array" aca="1" ref="O580" ca="1">IFERROR(LOOKUP(2, 1/((F$1:F579=F580)*(J$1:J579=J580)*(ROW(F$1:F579)&lt;ROW(F580))), N$1:N579), "")</f>
        <v>49.019607843137251</v>
      </c>
      <c r="P580" s="3">
        <f t="shared" si="49"/>
        <v>0</v>
      </c>
      <c r="Q580" s="3" t="s">
        <v>43</v>
      </c>
      <c r="R580" s="3" t="s">
        <v>40</v>
      </c>
      <c r="S580" s="3" t="str">
        <f t="shared" si="47"/>
        <v>Yes</v>
      </c>
      <c r="T580" s="3" t="s">
        <v>34</v>
      </c>
      <c r="U580" s="3" t="str">
        <f t="shared" si="48"/>
        <v>Rainy</v>
      </c>
      <c r="V580" s="3" t="s">
        <v>40</v>
      </c>
      <c r="W580" s="3" cm="1">
        <f t="array" ref="W580">_xlfn.IFS(
OR(F580="Selenium (Hands-on)",F580="Guest Lecture: HR Interview"),6,
OR(F580="Soft Skill",F580="Soft Skill (Examination)",F580="AWS Training",F580="AWS Session"),7,
OR(ISNUMBER(SEARCH("MAD",F580)),ISNUMBER(SEARCH("STQA",F580)),F580="CI/CD Session"),8,
OR(ISNUMBER(SEARCH("Cloud",F580)),F580="Industry Readiness Program",ISNUMBER(SEARCH("Talenlio",F580))),9,
OR(ISNUMBER(SEARCH("Innovation",F580)),F580="Mini Project"),10,
OR(ISNUMBER(SEARCH("Data Science",F580)),ISNUMBER(SEARCH("DS",F580))),11,
ISNUMBER(SEARCH("Generative AI",F580)),12
=_xlfn.IFS(
OR(F580="Selenium (Hands-on)",F580="Guest Lecture: HR Interview"),6,
OR(F580="Soft Skill",F580="Soft Skill (Examination)",F580="AWS Training",F580="AWS Session"),7,
OR(ISNUMBER(SEARCH("MAD",F580)),ISNUMBER(SEARCH("STQA",F580)),F580="CI/CD Session"),8,
OR(ISNUMBER(SEARCH("Cloud",F580)),F580="Industry Readiness Program",ISNUMBER(SEARCH("Talenlio",F580))),9,
OR(ISNUMBER(SEARCH("Innovation",F580)),F580="Mini Project"),10,
OR(ISNUMBER(SEARCH("Data Science",F580)),ISNUMBER(SEARCH("DS",F580))),11,
ISNUMBER(SEARCH("Generative AI",F580)),12
=_xlfn.IFS(
OR(F580="Selenium (Hands-on)",F580="Guest Lecture: HR Interview"),6,
OR(F580="Soft Skill",F580="Soft Skill (Examination)",F580="AWS Training",F580="AWS Session"),7,
OR(ISNUMBER(SEARCH("MAD",F580)),ISNUMBER(SEARCH("STQA",F580)),F580="CI/CD Session"),8,
OR(ISNUMBER(SEARCH("Cloud",F580)),F580="Industry Readiness Program",ISNUMBER(SEARCH("Talenlio",F580))),9,
OR(ISNUMBER(SEARCH("Innovation",F580)),F580="Mini Project"),10,
OR(ISNUMBER(SEARCH("Data Science",F580)),ISNUMBER(SEARCH("DS",F580))),11,
ISNUMBER(SEARCH("Generative AI",F580)),12
=_xlfn.IFS(
OR(F580="Selenium (Hands-on)",F580="Guest Lecture: HR Interview"),6,
OR(F580="Soft Skill",F580="Soft Skill (Examination)",F580="AWS Training",F580="AWS Session"),7,
OR(ISNUMBER(SEARCH("MAD",F580)),ISNUMBER(SEARCH("STQA",F580)),F580="CI/CD Session"),8,
OR(ISNUMBER(SEARCH("Cloud",F580)),F580="Industry Readiness Program",ISNUMBER(SEARCH("Talenlio",F580))),9,
OR(ISNUMBER(SEARCH("Innovation",F580)),F580="Mini Project"),10,
OR(ISNUMBER(SEARCH("Data Science",F580)),ISNUMBER(SEARCH("DS",F580))),11,
ISNUMBER(SEARCH("Generative AI",F580)),12
))))</f>
        <v>8</v>
      </c>
      <c r="X580" s="3">
        <v>9</v>
      </c>
      <c r="Y580" s="3">
        <v>61</v>
      </c>
      <c r="Z580" s="3" t="s">
        <v>35</v>
      </c>
    </row>
    <row r="581" spans="1:26" x14ac:dyDescent="0.3">
      <c r="A581" s="2">
        <v>46248</v>
      </c>
      <c r="B581" s="3" t="s">
        <v>46</v>
      </c>
      <c r="C581" s="3">
        <v>3</v>
      </c>
      <c r="D581" s="4">
        <v>0.42708333333333298</v>
      </c>
      <c r="E581" s="4">
        <v>0.46875</v>
      </c>
      <c r="F581" s="3" t="s">
        <v>59</v>
      </c>
      <c r="G581" s="3" t="s">
        <v>73</v>
      </c>
      <c r="H581" s="3" t="s">
        <v>29</v>
      </c>
      <c r="I581" s="3" t="s">
        <v>30</v>
      </c>
      <c r="J581" s="3" t="s">
        <v>84</v>
      </c>
      <c r="K581" s="3" t="s">
        <v>52</v>
      </c>
      <c r="L581" s="5">
        <v>102</v>
      </c>
      <c r="M581" s="5">
        <f t="shared" ca="1" si="45"/>
        <v>66</v>
      </c>
      <c r="N581" s="6">
        <f t="shared" ca="1" si="46"/>
        <v>64.705882352941174</v>
      </c>
      <c r="O581" s="3" cm="1">
        <f t="array" aca="1" ref="O581" ca="1">IFERROR(LOOKUP(2, 1/((F$1:F580=F581)*(J$1:J580=J581)*(ROW(F$1:F580)&lt;ROW(F581))), N$1:N580), "")</f>
        <v>95.098039215686271</v>
      </c>
      <c r="P581" s="3">
        <f t="shared" si="49"/>
        <v>0</v>
      </c>
      <c r="Q581" s="3" t="s">
        <v>33</v>
      </c>
      <c r="R581" s="3" t="s">
        <v>40</v>
      </c>
      <c r="S581" s="3" t="str">
        <f t="shared" si="47"/>
        <v>Yes</v>
      </c>
      <c r="T581" s="3" t="s">
        <v>34</v>
      </c>
      <c r="U581" s="3" t="str">
        <f t="shared" si="48"/>
        <v>Rainy</v>
      </c>
      <c r="V581" s="3" t="s">
        <v>40</v>
      </c>
      <c r="W581" s="3" cm="1">
        <f t="array" ref="W581">_xlfn.IFS(
OR(F581="Selenium (Hands-on)",F581="Guest Lecture: HR Interview"),6,
OR(F581="Soft Skill",F581="Soft Skill (Examination)",F581="AWS Training",F581="AWS Session"),7,
OR(ISNUMBER(SEARCH("MAD",F581)),ISNUMBER(SEARCH("STQA",F581)),F581="CI/CD Session"),8,
OR(ISNUMBER(SEARCH("Cloud",F581)),F581="Industry Readiness Program",ISNUMBER(SEARCH("Talenlio",F581))),9,
OR(ISNUMBER(SEARCH("Innovation",F581)),F581="Mini Project"),10,
OR(ISNUMBER(SEARCH("Data Science",F581)),ISNUMBER(SEARCH("DS",F581))),11,
ISNUMBER(SEARCH("Generative AI",F581)),12
=_xlfn.IFS(
OR(F581="Selenium (Hands-on)",F581="Guest Lecture: HR Interview"),6,
OR(F581="Soft Skill",F581="Soft Skill (Examination)",F581="AWS Training",F581="AWS Session"),7,
OR(ISNUMBER(SEARCH("MAD",F581)),ISNUMBER(SEARCH("STQA",F581)),F581="CI/CD Session"),8,
OR(ISNUMBER(SEARCH("Cloud",F581)),F581="Industry Readiness Program",ISNUMBER(SEARCH("Talenlio",F581))),9,
OR(ISNUMBER(SEARCH("Innovation",F581)),F581="Mini Project"),10,
OR(ISNUMBER(SEARCH("Data Science",F581)),ISNUMBER(SEARCH("DS",F581))),11,
ISNUMBER(SEARCH("Generative AI",F581)),12
=_xlfn.IFS(
OR(F581="Selenium (Hands-on)",F581="Guest Lecture: HR Interview"),6,
OR(F581="Soft Skill",F581="Soft Skill (Examination)",F581="AWS Training",F581="AWS Session"),7,
OR(ISNUMBER(SEARCH("MAD",F581)),ISNUMBER(SEARCH("STQA",F581)),F581="CI/CD Session"),8,
OR(ISNUMBER(SEARCH("Cloud",F581)),F581="Industry Readiness Program",ISNUMBER(SEARCH("Talenlio",F581))),9,
OR(ISNUMBER(SEARCH("Innovation",F581)),F581="Mini Project"),10,
OR(ISNUMBER(SEARCH("Data Science",F581)),ISNUMBER(SEARCH("DS",F581))),11,
ISNUMBER(SEARCH("Generative AI",F581)),12
=_xlfn.IFS(
OR(F581="Selenium (Hands-on)",F581="Guest Lecture: HR Interview"),6,
OR(F581="Soft Skill",F581="Soft Skill (Examination)",F581="AWS Training",F581="AWS Session"),7,
OR(ISNUMBER(SEARCH("MAD",F581)),ISNUMBER(SEARCH("STQA",F581)),F581="CI/CD Session"),8,
OR(ISNUMBER(SEARCH("Cloud",F581)),F581="Industry Readiness Program",ISNUMBER(SEARCH("Talenlio",F581))),9,
OR(ISNUMBER(SEARCH("Innovation",F581)),F581="Mini Project"),10,
OR(ISNUMBER(SEARCH("Data Science",F581)),ISNUMBER(SEARCH("DS",F581))),11,
ISNUMBER(SEARCH("Generative AI",F581)),12
))))</f>
        <v>11</v>
      </c>
      <c r="X581" s="3">
        <v>9</v>
      </c>
      <c r="Y581" s="3">
        <v>61</v>
      </c>
      <c r="Z581" s="3" t="s">
        <v>35</v>
      </c>
    </row>
    <row r="582" spans="1:26" x14ac:dyDescent="0.3">
      <c r="A582" s="2">
        <v>46248</v>
      </c>
      <c r="B582" s="3" t="s">
        <v>46</v>
      </c>
      <c r="C582" s="3">
        <v>4</v>
      </c>
      <c r="D582" s="4">
        <v>0.46875</v>
      </c>
      <c r="E582" s="4">
        <v>0.51041666666666696</v>
      </c>
      <c r="F582" s="3" t="s">
        <v>57</v>
      </c>
      <c r="G582" s="3" t="s">
        <v>71</v>
      </c>
      <c r="H582" s="3" t="s">
        <v>29</v>
      </c>
      <c r="I582" s="3" t="s">
        <v>30</v>
      </c>
      <c r="J582" s="3" t="s">
        <v>84</v>
      </c>
      <c r="K582" s="3" t="s">
        <v>52</v>
      </c>
      <c r="L582" s="5">
        <v>102</v>
      </c>
      <c r="M582" s="5">
        <f t="shared" ca="1" si="45"/>
        <v>68</v>
      </c>
      <c r="N582" s="6">
        <f t="shared" ca="1" si="46"/>
        <v>66.666666666666657</v>
      </c>
      <c r="O582" s="3" cm="1">
        <f t="array" aca="1" ref="O582" ca="1">IFERROR(LOOKUP(2, 1/((F$1:F581=F582)*(J$1:J581=J582)*(ROW(F$1:F581)&lt;ROW(F582))), N$1:N581), "")</f>
        <v>78.431372549019613</v>
      </c>
      <c r="P582" s="3">
        <f t="shared" si="49"/>
        <v>0</v>
      </c>
      <c r="Q582" s="3" t="s">
        <v>33</v>
      </c>
      <c r="R582" s="3" t="s">
        <v>40</v>
      </c>
      <c r="S582" s="3" t="str">
        <f t="shared" si="47"/>
        <v>Yes</v>
      </c>
      <c r="T582" s="3" t="s">
        <v>34</v>
      </c>
      <c r="U582" s="3" t="str">
        <f t="shared" si="48"/>
        <v>Rainy</v>
      </c>
      <c r="V582" s="3" t="s">
        <v>40</v>
      </c>
      <c r="W582" s="3" cm="1">
        <f t="array" ref="W582">_xlfn.IFS(
OR(F582="Selenium (Hands-on)",F582="Guest Lecture: HR Interview"),6,
OR(F582="Soft Skill",F582="Soft Skill (Examination)",F582="AWS Training",F582="AWS Session"),7,
OR(ISNUMBER(SEARCH("MAD",F582)),ISNUMBER(SEARCH("STQA",F582)),F582="CI/CD Session"),8,
OR(ISNUMBER(SEARCH("Cloud",F582)),F582="Industry Readiness Program",ISNUMBER(SEARCH("Talenlio",F582))),9,
OR(ISNUMBER(SEARCH("Innovation",F582)),F582="Mini Project"),10,
OR(ISNUMBER(SEARCH("Data Science",F582)),ISNUMBER(SEARCH("DS",F582))),11,
ISNUMBER(SEARCH("Generative AI",F582)),12
=_xlfn.IFS(
OR(F582="Selenium (Hands-on)",F582="Guest Lecture: HR Interview"),6,
OR(F582="Soft Skill",F582="Soft Skill (Examination)",F582="AWS Training",F582="AWS Session"),7,
OR(ISNUMBER(SEARCH("MAD",F582)),ISNUMBER(SEARCH("STQA",F582)),F582="CI/CD Session"),8,
OR(ISNUMBER(SEARCH("Cloud",F582)),F582="Industry Readiness Program",ISNUMBER(SEARCH("Talenlio",F582))),9,
OR(ISNUMBER(SEARCH("Innovation",F582)),F582="Mini Project"),10,
OR(ISNUMBER(SEARCH("Data Science",F582)),ISNUMBER(SEARCH("DS",F582))),11,
ISNUMBER(SEARCH("Generative AI",F582)),12
=_xlfn.IFS(
OR(F582="Selenium (Hands-on)",F582="Guest Lecture: HR Interview"),6,
OR(F582="Soft Skill",F582="Soft Skill (Examination)",F582="AWS Training",F582="AWS Session"),7,
OR(ISNUMBER(SEARCH("MAD",F582)),ISNUMBER(SEARCH("STQA",F582)),F582="CI/CD Session"),8,
OR(ISNUMBER(SEARCH("Cloud",F582)),F582="Industry Readiness Program",ISNUMBER(SEARCH("Talenlio",F582))),9,
OR(ISNUMBER(SEARCH("Innovation",F582)),F582="Mini Project"),10,
OR(ISNUMBER(SEARCH("Data Science",F582)),ISNUMBER(SEARCH("DS",F582))),11,
ISNUMBER(SEARCH("Generative AI",F582)),12
=_xlfn.IFS(
OR(F582="Selenium (Hands-on)",F582="Guest Lecture: HR Interview"),6,
OR(F582="Soft Skill",F582="Soft Skill (Examination)",F582="AWS Training",F582="AWS Session"),7,
OR(ISNUMBER(SEARCH("MAD",F582)),ISNUMBER(SEARCH("STQA",F582)),F582="CI/CD Session"),8,
OR(ISNUMBER(SEARCH("Cloud",F582)),F582="Industry Readiness Program",ISNUMBER(SEARCH("Talenlio",F582))),9,
OR(ISNUMBER(SEARCH("Innovation",F582)),F582="Mini Project"),10,
OR(ISNUMBER(SEARCH("Data Science",F582)),ISNUMBER(SEARCH("DS",F582))),11,
ISNUMBER(SEARCH("Generative AI",F582)),12
))))</f>
        <v>9</v>
      </c>
      <c r="X582" s="3">
        <v>9</v>
      </c>
      <c r="Y582" s="3">
        <v>61</v>
      </c>
      <c r="Z582" s="3" t="s">
        <v>35</v>
      </c>
    </row>
    <row r="583" spans="1:26" x14ac:dyDescent="0.3">
      <c r="A583" s="2">
        <v>46248</v>
      </c>
      <c r="B583" s="3" t="s">
        <v>46</v>
      </c>
      <c r="C583" s="3">
        <v>5</v>
      </c>
      <c r="D583" s="4">
        <v>0.5625</v>
      </c>
      <c r="E583" s="4">
        <v>0.60416666666666696</v>
      </c>
      <c r="F583" s="3" t="s">
        <v>81</v>
      </c>
      <c r="G583" s="3" t="s">
        <v>289</v>
      </c>
      <c r="H583" s="3" t="s">
        <v>29</v>
      </c>
      <c r="I583" s="3" t="s">
        <v>30</v>
      </c>
      <c r="J583" s="3" t="s">
        <v>84</v>
      </c>
      <c r="K583" s="3" t="s">
        <v>52</v>
      </c>
      <c r="L583" s="5">
        <v>102</v>
      </c>
      <c r="M583" s="5">
        <f t="shared" ca="1" si="45"/>
        <v>69</v>
      </c>
      <c r="N583" s="6">
        <f t="shared" ca="1" si="46"/>
        <v>67.64705882352942</v>
      </c>
      <c r="O583" s="3" cm="1">
        <f t="array" aca="1" ref="O583" ca="1">IFERROR(LOOKUP(2, 1/((F$1:F582=F583)*(J$1:J582=J583)*(ROW(F$1:F582)&lt;ROW(F583))), N$1:N582), "")</f>
        <v>44.117647058823529</v>
      </c>
      <c r="P583" s="3">
        <f t="shared" si="49"/>
        <v>1.25</v>
      </c>
      <c r="Q583" s="3" t="s">
        <v>43</v>
      </c>
      <c r="R583" s="3" t="s">
        <v>40</v>
      </c>
      <c r="S583" s="3" t="str">
        <f t="shared" si="47"/>
        <v>Yes</v>
      </c>
      <c r="T583" s="3" t="s">
        <v>34</v>
      </c>
      <c r="U583" s="3" t="str">
        <f t="shared" si="48"/>
        <v>Rainy</v>
      </c>
      <c r="V583" s="3" t="s">
        <v>40</v>
      </c>
      <c r="W583" s="3" cm="1">
        <f t="array" ref="W583">_xlfn.IFS(
OR(F583="Selenium (Hands-on)",F583="Guest Lecture: HR Interview"),6,
OR(F583="Soft Skill",F583="Soft Skill (Examination)",F583="AWS Training",F583="AWS Session"),7,
OR(ISNUMBER(SEARCH("MAD",F583)),ISNUMBER(SEARCH("STQA",F583)),F583="CI/CD Session"),8,
OR(ISNUMBER(SEARCH("Cloud",F583)),F583="Industry Readiness Program",ISNUMBER(SEARCH("Talenlio",F583))),9,
OR(ISNUMBER(SEARCH("Innovation",F583)),F583="Mini Project"),10,
OR(ISNUMBER(SEARCH("Data Science",F583)),ISNUMBER(SEARCH("DS",F583))),11,
ISNUMBER(SEARCH("Generative AI",F583)),12
=_xlfn.IFS(
OR(F583="Selenium (Hands-on)",F583="Guest Lecture: HR Interview"),6,
OR(F583="Soft Skill",F583="Soft Skill (Examination)",F583="AWS Training",F583="AWS Session"),7,
OR(ISNUMBER(SEARCH("MAD",F583)),ISNUMBER(SEARCH("STQA",F583)),F583="CI/CD Session"),8,
OR(ISNUMBER(SEARCH("Cloud",F583)),F583="Industry Readiness Program",ISNUMBER(SEARCH("Talenlio",F583))),9,
OR(ISNUMBER(SEARCH("Innovation",F583)),F583="Mini Project"),10,
OR(ISNUMBER(SEARCH("Data Science",F583)),ISNUMBER(SEARCH("DS",F583))),11,
ISNUMBER(SEARCH("Generative AI",F583)),12
=_xlfn.IFS(
OR(F583="Selenium (Hands-on)",F583="Guest Lecture: HR Interview"),6,
OR(F583="Soft Skill",F583="Soft Skill (Examination)",F583="AWS Training",F583="AWS Session"),7,
OR(ISNUMBER(SEARCH("MAD",F583)),ISNUMBER(SEARCH("STQA",F583)),F583="CI/CD Session"),8,
OR(ISNUMBER(SEARCH("Cloud",F583)),F583="Industry Readiness Program",ISNUMBER(SEARCH("Talenlio",F583))),9,
OR(ISNUMBER(SEARCH("Innovation",F583)),F583="Mini Project"),10,
OR(ISNUMBER(SEARCH("Data Science",F583)),ISNUMBER(SEARCH("DS",F583))),11,
ISNUMBER(SEARCH("Generative AI",F583)),12
=_xlfn.IFS(
OR(F583="Selenium (Hands-on)",F583="Guest Lecture: HR Interview"),6,
OR(F583="Soft Skill",F583="Soft Skill (Examination)",F583="AWS Training",F583="AWS Session"),7,
OR(ISNUMBER(SEARCH("MAD",F583)),ISNUMBER(SEARCH("STQA",F583)),F583="CI/CD Session"),8,
OR(ISNUMBER(SEARCH("Cloud",F583)),F583="Industry Readiness Program",ISNUMBER(SEARCH("Talenlio",F583))),9,
OR(ISNUMBER(SEARCH("Innovation",F583)),F583="Mini Project"),10,
OR(ISNUMBER(SEARCH("Data Science",F583)),ISNUMBER(SEARCH("DS",F583))),11,
ISNUMBER(SEARCH("Generative AI",F583)),12
))))</f>
        <v>7</v>
      </c>
      <c r="X583" s="3">
        <v>9</v>
      </c>
      <c r="Y583" s="3">
        <v>61</v>
      </c>
      <c r="Z583" s="3" t="s">
        <v>38</v>
      </c>
    </row>
    <row r="584" spans="1:26" x14ac:dyDescent="0.3">
      <c r="A584" s="2">
        <v>46248</v>
      </c>
      <c r="B584" s="3" t="s">
        <v>46</v>
      </c>
      <c r="C584" s="3">
        <v>6</v>
      </c>
      <c r="D584" s="4">
        <v>0.60416666666666696</v>
      </c>
      <c r="E584" s="4">
        <v>0.64583333333333304</v>
      </c>
      <c r="F584" s="3" t="s">
        <v>81</v>
      </c>
      <c r="G584" s="3" t="s">
        <v>289</v>
      </c>
      <c r="H584" s="3" t="s">
        <v>29</v>
      </c>
      <c r="I584" s="3" t="s">
        <v>30</v>
      </c>
      <c r="J584" s="3" t="s">
        <v>84</v>
      </c>
      <c r="K584" s="3" t="s">
        <v>52</v>
      </c>
      <c r="L584" s="5">
        <v>102</v>
      </c>
      <c r="M584" s="5">
        <f t="shared" ca="1" si="45"/>
        <v>76</v>
      </c>
      <c r="N584" s="6">
        <f t="shared" ca="1" si="46"/>
        <v>74.509803921568633</v>
      </c>
      <c r="O584" s="3" cm="1">
        <f t="array" aca="1" ref="O584" ca="1">IFERROR(LOOKUP(2, 1/((F$1:F583=F584)*(J$1:J583=J584)*(ROW(F$1:F583)&lt;ROW(F584))), N$1:N583), "")</f>
        <v>67.64705882352942</v>
      </c>
      <c r="P584" s="3">
        <f t="shared" si="49"/>
        <v>0</v>
      </c>
      <c r="Q584" s="3" t="s">
        <v>43</v>
      </c>
      <c r="R584" s="3" t="s">
        <v>40</v>
      </c>
      <c r="S584" s="3" t="str">
        <f t="shared" si="47"/>
        <v>Yes</v>
      </c>
      <c r="T584" s="3" t="s">
        <v>34</v>
      </c>
      <c r="U584" s="3" t="str">
        <f t="shared" si="48"/>
        <v>Rainy</v>
      </c>
      <c r="V584" s="3" t="s">
        <v>40</v>
      </c>
      <c r="W584" s="3" cm="1">
        <f t="array" ref="W584">_xlfn.IFS(
OR(F584="Selenium (Hands-on)",F584="Guest Lecture: HR Interview"),6,
OR(F584="Soft Skill",F584="Soft Skill (Examination)",F584="AWS Training",F584="AWS Session"),7,
OR(ISNUMBER(SEARCH("MAD",F584)),ISNUMBER(SEARCH("STQA",F584)),F584="CI/CD Session"),8,
OR(ISNUMBER(SEARCH("Cloud",F584)),F584="Industry Readiness Program",ISNUMBER(SEARCH("Talenlio",F584))),9,
OR(ISNUMBER(SEARCH("Innovation",F584)),F584="Mini Project"),10,
OR(ISNUMBER(SEARCH("Data Science",F584)),ISNUMBER(SEARCH("DS",F584))),11,
ISNUMBER(SEARCH("Generative AI",F584)),12
=_xlfn.IFS(
OR(F584="Selenium (Hands-on)",F584="Guest Lecture: HR Interview"),6,
OR(F584="Soft Skill",F584="Soft Skill (Examination)",F584="AWS Training",F584="AWS Session"),7,
OR(ISNUMBER(SEARCH("MAD",F584)),ISNUMBER(SEARCH("STQA",F584)),F584="CI/CD Session"),8,
OR(ISNUMBER(SEARCH("Cloud",F584)),F584="Industry Readiness Program",ISNUMBER(SEARCH("Talenlio",F584))),9,
OR(ISNUMBER(SEARCH("Innovation",F584)),F584="Mini Project"),10,
OR(ISNUMBER(SEARCH("Data Science",F584)),ISNUMBER(SEARCH("DS",F584))),11,
ISNUMBER(SEARCH("Generative AI",F584)),12
=_xlfn.IFS(
OR(F584="Selenium (Hands-on)",F584="Guest Lecture: HR Interview"),6,
OR(F584="Soft Skill",F584="Soft Skill (Examination)",F584="AWS Training",F584="AWS Session"),7,
OR(ISNUMBER(SEARCH("MAD",F584)),ISNUMBER(SEARCH("STQA",F584)),F584="CI/CD Session"),8,
OR(ISNUMBER(SEARCH("Cloud",F584)),F584="Industry Readiness Program",ISNUMBER(SEARCH("Talenlio",F584))),9,
OR(ISNUMBER(SEARCH("Innovation",F584)),F584="Mini Project"),10,
OR(ISNUMBER(SEARCH("Data Science",F584)),ISNUMBER(SEARCH("DS",F584))),11,
ISNUMBER(SEARCH("Generative AI",F584)),12
=_xlfn.IFS(
OR(F584="Selenium (Hands-on)",F584="Guest Lecture: HR Interview"),6,
OR(F584="Soft Skill",F584="Soft Skill (Examination)",F584="AWS Training",F584="AWS Session"),7,
OR(ISNUMBER(SEARCH("MAD",F584)),ISNUMBER(SEARCH("STQA",F584)),F584="CI/CD Session"),8,
OR(ISNUMBER(SEARCH("Cloud",F584)),F584="Industry Readiness Program",ISNUMBER(SEARCH("Talenlio",F584))),9,
OR(ISNUMBER(SEARCH("Innovation",F584)),F584="Mini Project"),10,
OR(ISNUMBER(SEARCH("Data Science",F584)),ISNUMBER(SEARCH("DS",F584))),11,
ISNUMBER(SEARCH("Generative AI",F584)),12
))))</f>
        <v>7</v>
      </c>
      <c r="X584" s="3">
        <v>9</v>
      </c>
      <c r="Y584" s="3">
        <v>61</v>
      </c>
      <c r="Z584" s="3" t="s">
        <v>38</v>
      </c>
    </row>
    <row r="585" spans="1:26" x14ac:dyDescent="0.3">
      <c r="A585" s="2">
        <v>46248</v>
      </c>
      <c r="B585" s="3" t="s">
        <v>46</v>
      </c>
      <c r="C585" s="3">
        <v>7</v>
      </c>
      <c r="D585" s="4">
        <v>0.64583333333333304</v>
      </c>
      <c r="E585" s="4">
        <v>0.6875</v>
      </c>
      <c r="F585" s="3" t="s">
        <v>81</v>
      </c>
      <c r="G585" s="3" t="s">
        <v>289</v>
      </c>
      <c r="H585" s="3" t="s">
        <v>29</v>
      </c>
      <c r="I585" s="3" t="s">
        <v>30</v>
      </c>
      <c r="J585" s="3" t="s">
        <v>84</v>
      </c>
      <c r="K585" s="3" t="s">
        <v>52</v>
      </c>
      <c r="L585" s="5">
        <v>102</v>
      </c>
      <c r="M585" s="5">
        <f t="shared" ca="1" si="45"/>
        <v>50</v>
      </c>
      <c r="N585" s="6">
        <f t="shared" ca="1" si="46"/>
        <v>49.019607843137251</v>
      </c>
      <c r="O585" s="3" cm="1">
        <f t="array" aca="1" ref="O585" ca="1">IFERROR(LOOKUP(2, 1/((F$1:F584=F585)*(J$1:J584=J585)*(ROW(F$1:F584)&lt;ROW(F585))), N$1:N584), "")</f>
        <v>74.509803921568633</v>
      </c>
      <c r="P585" s="3">
        <f t="shared" si="49"/>
        <v>0</v>
      </c>
      <c r="Q585" s="3" t="s">
        <v>43</v>
      </c>
      <c r="R585" s="3" t="s">
        <v>40</v>
      </c>
      <c r="S585" s="3" t="str">
        <f t="shared" si="47"/>
        <v>Yes</v>
      </c>
      <c r="T585" s="3" t="s">
        <v>34</v>
      </c>
      <c r="U585" s="3" t="str">
        <f t="shared" si="48"/>
        <v>Rainy</v>
      </c>
      <c r="V585" s="3" t="s">
        <v>40</v>
      </c>
      <c r="W585" s="3" cm="1">
        <f t="array" ref="W585">_xlfn.IFS(
OR(F585="Selenium (Hands-on)",F585="Guest Lecture: HR Interview"),6,
OR(F585="Soft Skill",F585="Soft Skill (Examination)",F585="AWS Training",F585="AWS Session"),7,
OR(ISNUMBER(SEARCH("MAD",F585)),ISNUMBER(SEARCH("STQA",F585)),F585="CI/CD Session"),8,
OR(ISNUMBER(SEARCH("Cloud",F585)),F585="Industry Readiness Program",ISNUMBER(SEARCH("Talenlio",F585))),9,
OR(ISNUMBER(SEARCH("Innovation",F585)),F585="Mini Project"),10,
OR(ISNUMBER(SEARCH("Data Science",F585)),ISNUMBER(SEARCH("DS",F585))),11,
ISNUMBER(SEARCH("Generative AI",F585)),12
=_xlfn.IFS(
OR(F585="Selenium (Hands-on)",F585="Guest Lecture: HR Interview"),6,
OR(F585="Soft Skill",F585="Soft Skill (Examination)",F585="AWS Training",F585="AWS Session"),7,
OR(ISNUMBER(SEARCH("MAD",F585)),ISNUMBER(SEARCH("STQA",F585)),F585="CI/CD Session"),8,
OR(ISNUMBER(SEARCH("Cloud",F585)),F585="Industry Readiness Program",ISNUMBER(SEARCH("Talenlio",F585))),9,
OR(ISNUMBER(SEARCH("Innovation",F585)),F585="Mini Project"),10,
OR(ISNUMBER(SEARCH("Data Science",F585)),ISNUMBER(SEARCH("DS",F585))),11,
ISNUMBER(SEARCH("Generative AI",F585)),12
=_xlfn.IFS(
OR(F585="Selenium (Hands-on)",F585="Guest Lecture: HR Interview"),6,
OR(F585="Soft Skill",F585="Soft Skill (Examination)",F585="AWS Training",F585="AWS Session"),7,
OR(ISNUMBER(SEARCH("MAD",F585)),ISNUMBER(SEARCH("STQA",F585)),F585="CI/CD Session"),8,
OR(ISNUMBER(SEARCH("Cloud",F585)),F585="Industry Readiness Program",ISNUMBER(SEARCH("Talenlio",F585))),9,
OR(ISNUMBER(SEARCH("Innovation",F585)),F585="Mini Project"),10,
OR(ISNUMBER(SEARCH("Data Science",F585)),ISNUMBER(SEARCH("DS",F585))),11,
ISNUMBER(SEARCH("Generative AI",F585)),12
=_xlfn.IFS(
OR(F585="Selenium (Hands-on)",F585="Guest Lecture: HR Interview"),6,
OR(F585="Soft Skill",F585="Soft Skill (Examination)",F585="AWS Training",F585="AWS Session"),7,
OR(ISNUMBER(SEARCH("MAD",F585)),ISNUMBER(SEARCH("STQA",F585)),F585="CI/CD Session"),8,
OR(ISNUMBER(SEARCH("Cloud",F585)),F585="Industry Readiness Program",ISNUMBER(SEARCH("Talenlio",F585))),9,
OR(ISNUMBER(SEARCH("Innovation",F585)),F585="Mini Project"),10,
OR(ISNUMBER(SEARCH("Data Science",F585)),ISNUMBER(SEARCH("DS",F585))),11,
ISNUMBER(SEARCH("Generative AI",F585)),12
))))</f>
        <v>7</v>
      </c>
      <c r="X585" s="3">
        <v>9</v>
      </c>
      <c r="Y585" s="3">
        <v>61</v>
      </c>
      <c r="Z585" s="3" t="s">
        <v>38</v>
      </c>
    </row>
    <row r="586" spans="1:26" x14ac:dyDescent="0.3">
      <c r="A586" s="2">
        <v>46251</v>
      </c>
      <c r="B586" s="3" t="s">
        <v>26</v>
      </c>
      <c r="C586" s="3">
        <v>1</v>
      </c>
      <c r="D586" s="4">
        <v>0.35416666666666702</v>
      </c>
      <c r="E586" s="4">
        <v>0.38541666666666702</v>
      </c>
      <c r="F586" s="3" t="s">
        <v>50</v>
      </c>
      <c r="G586" s="3" t="s">
        <v>51</v>
      </c>
      <c r="H586" s="3" t="s">
        <v>29</v>
      </c>
      <c r="I586" s="3" t="s">
        <v>30</v>
      </c>
      <c r="J586" s="3" t="s">
        <v>84</v>
      </c>
      <c r="K586" s="3" t="s">
        <v>52</v>
      </c>
      <c r="L586" s="5">
        <v>102</v>
      </c>
      <c r="M586" s="5">
        <f t="shared" ca="1" si="45"/>
        <v>55</v>
      </c>
      <c r="N586" s="6">
        <f t="shared" ca="1" si="46"/>
        <v>53.921568627450981</v>
      </c>
      <c r="O586" s="3" cm="1">
        <f t="array" aca="1" ref="O586" ca="1">IFERROR(LOOKUP(2, 1/((F$1:F585=F586)*(J$1:J585=J586)*(ROW(F$1:F585)&lt;ROW(F586))), N$1:N585), "")</f>
        <v>100.98039215686273</v>
      </c>
      <c r="P586" s="3">
        <f t="shared" si="49"/>
        <v>0</v>
      </c>
      <c r="Q586" s="3" t="s">
        <v>43</v>
      </c>
      <c r="R586" s="3" t="s">
        <v>40</v>
      </c>
      <c r="S586" s="3" t="str">
        <f t="shared" si="47"/>
        <v>No</v>
      </c>
      <c r="T586" s="3" t="s">
        <v>34</v>
      </c>
      <c r="U586" s="3" t="str">
        <f t="shared" si="48"/>
        <v>Rainy</v>
      </c>
      <c r="V586" s="3" t="s">
        <v>40</v>
      </c>
      <c r="W586" s="3" cm="1">
        <f t="array" ref="W586">_xlfn.IFS(
OR(F586="Selenium (Hands-on)",F586="Guest Lecture: HR Interview"),6,
OR(F586="Soft Skill",F586="Soft Skill (Examination)",F586="AWS Training",F586="AWS Session"),7,
OR(ISNUMBER(SEARCH("MAD",F586)),ISNUMBER(SEARCH("STQA",F586)),F586="CI/CD Session"),8,
OR(ISNUMBER(SEARCH("Cloud",F586)),F586="Industry Readiness Program",ISNUMBER(SEARCH("Talenlio",F586))),9,
OR(ISNUMBER(SEARCH("Innovation",F586)),F586="Mini Project"),10,
OR(ISNUMBER(SEARCH("Data Science",F586)),ISNUMBER(SEARCH("DS",F586))),11,
ISNUMBER(SEARCH("Generative AI",F586)),12
=_xlfn.IFS(
OR(F586="Selenium (Hands-on)",F586="Guest Lecture: HR Interview"),6,
OR(F586="Soft Skill",F586="Soft Skill (Examination)",F586="AWS Training",F586="AWS Session"),7,
OR(ISNUMBER(SEARCH("MAD",F586)),ISNUMBER(SEARCH("STQA",F586)),F586="CI/CD Session"),8,
OR(ISNUMBER(SEARCH("Cloud",F586)),F586="Industry Readiness Program",ISNUMBER(SEARCH("Talenlio",F586))),9,
OR(ISNUMBER(SEARCH("Innovation",F586)),F586="Mini Project"),10,
OR(ISNUMBER(SEARCH("Data Science",F586)),ISNUMBER(SEARCH("DS",F586))),11,
ISNUMBER(SEARCH("Generative AI",F586)),12
=_xlfn.IFS(
OR(F586="Selenium (Hands-on)",F586="Guest Lecture: HR Interview"),6,
OR(F586="Soft Skill",F586="Soft Skill (Examination)",F586="AWS Training",F586="AWS Session"),7,
OR(ISNUMBER(SEARCH("MAD",F586)),ISNUMBER(SEARCH("STQA",F586)),F586="CI/CD Session"),8,
OR(ISNUMBER(SEARCH("Cloud",F586)),F586="Industry Readiness Program",ISNUMBER(SEARCH("Talenlio",F586))),9,
OR(ISNUMBER(SEARCH("Innovation",F586)),F586="Mini Project"),10,
OR(ISNUMBER(SEARCH("Data Science",F586)),ISNUMBER(SEARCH("DS",F586))),11,
ISNUMBER(SEARCH("Generative AI",F586)),12
=_xlfn.IFS(
OR(F586="Selenium (Hands-on)",F586="Guest Lecture: HR Interview"),6,
OR(F586="Soft Skill",F586="Soft Skill (Examination)",F586="AWS Training",F586="AWS Session"),7,
OR(ISNUMBER(SEARCH("MAD",F586)),ISNUMBER(SEARCH("STQA",F586)),F586="CI/CD Session"),8,
OR(ISNUMBER(SEARCH("Cloud",F586)),F586="Industry Readiness Program",ISNUMBER(SEARCH("Talenlio",F586))),9,
OR(ISNUMBER(SEARCH("Innovation",F586)),F586="Mini Project"),10,
OR(ISNUMBER(SEARCH("Data Science",F586)),ISNUMBER(SEARCH("DS",F586))),11,
ISNUMBER(SEARCH("Generative AI",F586)),12
))))</f>
        <v>8</v>
      </c>
      <c r="X586" s="3">
        <v>10</v>
      </c>
      <c r="Y586" s="3">
        <v>64</v>
      </c>
      <c r="Z586" s="3" t="s">
        <v>35</v>
      </c>
    </row>
    <row r="587" spans="1:26" x14ac:dyDescent="0.3">
      <c r="A587" s="2">
        <v>46251</v>
      </c>
      <c r="B587" s="3" t="s">
        <v>26</v>
      </c>
      <c r="C587" s="3">
        <v>2</v>
      </c>
      <c r="D587" s="4">
        <v>0.38541666666666702</v>
      </c>
      <c r="E587" s="4">
        <v>0.42708333333333298</v>
      </c>
      <c r="F587" s="3" t="s">
        <v>50</v>
      </c>
      <c r="G587" s="3" t="s">
        <v>51</v>
      </c>
      <c r="H587" s="3" t="s">
        <v>29</v>
      </c>
      <c r="I587" s="3" t="s">
        <v>30</v>
      </c>
      <c r="J587" s="3" t="s">
        <v>84</v>
      </c>
      <c r="K587" s="3" t="s">
        <v>52</v>
      </c>
      <c r="L587" s="5">
        <v>102</v>
      </c>
      <c r="M587" s="5">
        <f t="shared" ca="1" si="45"/>
        <v>84</v>
      </c>
      <c r="N587" s="6">
        <f t="shared" ca="1" si="46"/>
        <v>82.35294117647058</v>
      </c>
      <c r="O587" s="3" cm="1">
        <f t="array" aca="1" ref="O587" ca="1">IFERROR(LOOKUP(2, 1/((F$1:F586=F587)*(J$1:J586=J587)*(ROW(F$1:F586)&lt;ROW(F587))), N$1:N586), "")</f>
        <v>53.921568627450981</v>
      </c>
      <c r="P587" s="3">
        <f t="shared" si="49"/>
        <v>0</v>
      </c>
      <c r="Q587" s="3" t="s">
        <v>43</v>
      </c>
      <c r="R587" s="3" t="s">
        <v>40</v>
      </c>
      <c r="S587" s="3" t="str">
        <f t="shared" si="47"/>
        <v>No</v>
      </c>
      <c r="T587" s="3" t="s">
        <v>34</v>
      </c>
      <c r="U587" s="3" t="str">
        <f t="shared" si="48"/>
        <v>Rainy</v>
      </c>
      <c r="V587" s="3" t="s">
        <v>40</v>
      </c>
      <c r="W587" s="3" cm="1">
        <f t="array" ref="W587">_xlfn.IFS(
OR(F587="Selenium (Hands-on)",F587="Guest Lecture: HR Interview"),6,
OR(F587="Soft Skill",F587="Soft Skill (Examination)",F587="AWS Training",F587="AWS Session"),7,
OR(ISNUMBER(SEARCH("MAD",F587)),ISNUMBER(SEARCH("STQA",F587)),F587="CI/CD Session"),8,
OR(ISNUMBER(SEARCH("Cloud",F587)),F587="Industry Readiness Program",ISNUMBER(SEARCH("Talenlio",F587))),9,
OR(ISNUMBER(SEARCH("Innovation",F587)),F587="Mini Project"),10,
OR(ISNUMBER(SEARCH("Data Science",F587)),ISNUMBER(SEARCH("DS",F587))),11,
ISNUMBER(SEARCH("Generative AI",F587)),12
=_xlfn.IFS(
OR(F587="Selenium (Hands-on)",F587="Guest Lecture: HR Interview"),6,
OR(F587="Soft Skill",F587="Soft Skill (Examination)",F587="AWS Training",F587="AWS Session"),7,
OR(ISNUMBER(SEARCH("MAD",F587)),ISNUMBER(SEARCH("STQA",F587)),F587="CI/CD Session"),8,
OR(ISNUMBER(SEARCH("Cloud",F587)),F587="Industry Readiness Program",ISNUMBER(SEARCH("Talenlio",F587))),9,
OR(ISNUMBER(SEARCH("Innovation",F587)),F587="Mini Project"),10,
OR(ISNUMBER(SEARCH("Data Science",F587)),ISNUMBER(SEARCH("DS",F587))),11,
ISNUMBER(SEARCH("Generative AI",F587)),12
=_xlfn.IFS(
OR(F587="Selenium (Hands-on)",F587="Guest Lecture: HR Interview"),6,
OR(F587="Soft Skill",F587="Soft Skill (Examination)",F587="AWS Training",F587="AWS Session"),7,
OR(ISNUMBER(SEARCH("MAD",F587)),ISNUMBER(SEARCH("STQA",F587)),F587="CI/CD Session"),8,
OR(ISNUMBER(SEARCH("Cloud",F587)),F587="Industry Readiness Program",ISNUMBER(SEARCH("Talenlio",F587))),9,
OR(ISNUMBER(SEARCH("Innovation",F587)),F587="Mini Project"),10,
OR(ISNUMBER(SEARCH("Data Science",F587)),ISNUMBER(SEARCH("DS",F587))),11,
ISNUMBER(SEARCH("Generative AI",F587)),12
=_xlfn.IFS(
OR(F587="Selenium (Hands-on)",F587="Guest Lecture: HR Interview"),6,
OR(F587="Soft Skill",F587="Soft Skill (Examination)",F587="AWS Training",F587="AWS Session"),7,
OR(ISNUMBER(SEARCH("MAD",F587)),ISNUMBER(SEARCH("STQA",F587)),F587="CI/CD Session"),8,
OR(ISNUMBER(SEARCH("Cloud",F587)),F587="Industry Readiness Program",ISNUMBER(SEARCH("Talenlio",F587))),9,
OR(ISNUMBER(SEARCH("Innovation",F587)),F587="Mini Project"),10,
OR(ISNUMBER(SEARCH("Data Science",F587)),ISNUMBER(SEARCH("DS",F587))),11,
ISNUMBER(SEARCH("Generative AI",F587)),12
))))</f>
        <v>8</v>
      </c>
      <c r="X587" s="3">
        <v>10</v>
      </c>
      <c r="Y587" s="3">
        <v>64</v>
      </c>
      <c r="Z587" s="3" t="s">
        <v>35</v>
      </c>
    </row>
    <row r="588" spans="1:26" x14ac:dyDescent="0.3">
      <c r="A588" s="2">
        <v>46251</v>
      </c>
      <c r="B588" s="3" t="s">
        <v>26</v>
      </c>
      <c r="C588" s="3">
        <v>3</v>
      </c>
      <c r="D588" s="4">
        <v>0.42708333333333298</v>
      </c>
      <c r="E588" s="4">
        <v>0.46875</v>
      </c>
      <c r="F588" s="3" t="s">
        <v>53</v>
      </c>
      <c r="G588" s="3" t="s">
        <v>54</v>
      </c>
      <c r="H588" s="3" t="s">
        <v>29</v>
      </c>
      <c r="I588" s="3" t="s">
        <v>30</v>
      </c>
      <c r="J588" s="3" t="s">
        <v>84</v>
      </c>
      <c r="K588" s="3" t="s">
        <v>52</v>
      </c>
      <c r="L588" s="5">
        <v>102</v>
      </c>
      <c r="M588" s="5">
        <f t="shared" ca="1" si="45"/>
        <v>74</v>
      </c>
      <c r="N588" s="6">
        <f t="shared" ca="1" si="46"/>
        <v>72.549019607843135</v>
      </c>
      <c r="O588" s="3" cm="1">
        <f t="array" aca="1" ref="O588" ca="1">IFERROR(LOOKUP(2, 1/((F$1:F587=F588)*(J$1:J587=J588)*(ROW(F$1:F587)&lt;ROW(F588))), N$1:N587), "")</f>
        <v>94.117647058823522</v>
      </c>
      <c r="P588" s="3">
        <f t="shared" si="49"/>
        <v>0</v>
      </c>
      <c r="Q588" s="3" t="s">
        <v>33</v>
      </c>
      <c r="R588" s="3" t="s">
        <v>40</v>
      </c>
      <c r="S588" s="3" t="str">
        <f t="shared" si="47"/>
        <v>No</v>
      </c>
      <c r="T588" s="3" t="s">
        <v>34</v>
      </c>
      <c r="U588" s="3" t="str">
        <f t="shared" si="48"/>
        <v>Rainy</v>
      </c>
      <c r="V588" s="3" t="s">
        <v>40</v>
      </c>
      <c r="W588" s="3" cm="1">
        <f t="array" ref="W588">_xlfn.IFS(
OR(F588="Selenium (Hands-on)",F588="Guest Lecture: HR Interview"),6,
OR(F588="Soft Skill",F588="Soft Skill (Examination)",F588="AWS Training",F588="AWS Session"),7,
OR(ISNUMBER(SEARCH("MAD",F588)),ISNUMBER(SEARCH("STQA",F588)),F588="CI/CD Session"),8,
OR(ISNUMBER(SEARCH("Cloud",F588)),F588="Industry Readiness Program",ISNUMBER(SEARCH("Talenlio",F588))),9,
OR(ISNUMBER(SEARCH("Innovation",F588)),F588="Mini Project"),10,
OR(ISNUMBER(SEARCH("Data Science",F588)),ISNUMBER(SEARCH("DS",F588))),11,
ISNUMBER(SEARCH("Generative AI",F588)),12
=_xlfn.IFS(
OR(F588="Selenium (Hands-on)",F588="Guest Lecture: HR Interview"),6,
OR(F588="Soft Skill",F588="Soft Skill (Examination)",F588="AWS Training",F588="AWS Session"),7,
OR(ISNUMBER(SEARCH("MAD",F588)),ISNUMBER(SEARCH("STQA",F588)),F588="CI/CD Session"),8,
OR(ISNUMBER(SEARCH("Cloud",F588)),F588="Industry Readiness Program",ISNUMBER(SEARCH("Talenlio",F588))),9,
OR(ISNUMBER(SEARCH("Innovation",F588)),F588="Mini Project"),10,
OR(ISNUMBER(SEARCH("Data Science",F588)),ISNUMBER(SEARCH("DS",F588))),11,
ISNUMBER(SEARCH("Generative AI",F588)),12
=_xlfn.IFS(
OR(F588="Selenium (Hands-on)",F588="Guest Lecture: HR Interview"),6,
OR(F588="Soft Skill",F588="Soft Skill (Examination)",F588="AWS Training",F588="AWS Session"),7,
OR(ISNUMBER(SEARCH("MAD",F588)),ISNUMBER(SEARCH("STQA",F588)),F588="CI/CD Session"),8,
OR(ISNUMBER(SEARCH("Cloud",F588)),F588="Industry Readiness Program",ISNUMBER(SEARCH("Talenlio",F588))),9,
OR(ISNUMBER(SEARCH("Innovation",F588)),F588="Mini Project"),10,
OR(ISNUMBER(SEARCH("Data Science",F588)),ISNUMBER(SEARCH("DS",F588))),11,
ISNUMBER(SEARCH("Generative AI",F588)),12
=_xlfn.IFS(
OR(F588="Selenium (Hands-on)",F588="Guest Lecture: HR Interview"),6,
OR(F588="Soft Skill",F588="Soft Skill (Examination)",F588="AWS Training",F588="AWS Session"),7,
OR(ISNUMBER(SEARCH("MAD",F588)),ISNUMBER(SEARCH("STQA",F588)),F588="CI/CD Session"),8,
OR(ISNUMBER(SEARCH("Cloud",F588)),F588="Industry Readiness Program",ISNUMBER(SEARCH("Talenlio",F588))),9,
OR(ISNUMBER(SEARCH("Innovation",F588)),F588="Mini Project"),10,
OR(ISNUMBER(SEARCH("Data Science",F588)),ISNUMBER(SEARCH("DS",F588))),11,
ISNUMBER(SEARCH("Generative AI",F588)),12
))))</f>
        <v>10</v>
      </c>
      <c r="X588" s="3">
        <v>10</v>
      </c>
      <c r="Y588" s="3">
        <v>64</v>
      </c>
      <c r="Z588" s="3" t="s">
        <v>35</v>
      </c>
    </row>
    <row r="589" spans="1:26" x14ac:dyDescent="0.3">
      <c r="A589" s="2">
        <v>46251</v>
      </c>
      <c r="B589" s="3" t="s">
        <v>26</v>
      </c>
      <c r="C589" s="3">
        <v>4</v>
      </c>
      <c r="D589" s="4">
        <v>0.46875</v>
      </c>
      <c r="E589" s="4">
        <v>0.51041666666666696</v>
      </c>
      <c r="F589" s="3" t="s">
        <v>53</v>
      </c>
      <c r="G589" s="3" t="s">
        <v>54</v>
      </c>
      <c r="H589" s="3" t="s">
        <v>29</v>
      </c>
      <c r="I589" s="3" t="s">
        <v>30</v>
      </c>
      <c r="J589" s="3" t="s">
        <v>84</v>
      </c>
      <c r="K589" s="3" t="s">
        <v>52</v>
      </c>
      <c r="L589" s="5">
        <v>102</v>
      </c>
      <c r="M589" s="5">
        <f t="shared" ca="1" si="45"/>
        <v>88</v>
      </c>
      <c r="N589" s="6">
        <f t="shared" ca="1" si="46"/>
        <v>86.274509803921575</v>
      </c>
      <c r="O589" s="3" cm="1">
        <f t="array" aca="1" ref="O589" ca="1">IFERROR(LOOKUP(2, 1/((F$1:F588=F589)*(J$1:J588=J589)*(ROW(F$1:F588)&lt;ROW(F589))), N$1:N588), "")</f>
        <v>72.549019607843135</v>
      </c>
      <c r="P589" s="3">
        <f t="shared" si="49"/>
        <v>0</v>
      </c>
      <c r="Q589" s="3" t="s">
        <v>33</v>
      </c>
      <c r="R589" s="3" t="s">
        <v>40</v>
      </c>
      <c r="S589" s="3" t="str">
        <f t="shared" si="47"/>
        <v>No</v>
      </c>
      <c r="T589" s="3" t="s">
        <v>34</v>
      </c>
      <c r="U589" s="3" t="str">
        <f t="shared" si="48"/>
        <v>Rainy</v>
      </c>
      <c r="V589" s="3" t="s">
        <v>40</v>
      </c>
      <c r="W589" s="3" cm="1">
        <f t="array" ref="W589">_xlfn.IFS(
OR(F589="Selenium (Hands-on)",F589="Guest Lecture: HR Interview"),6,
OR(F589="Soft Skill",F589="Soft Skill (Examination)",F589="AWS Training",F589="AWS Session"),7,
OR(ISNUMBER(SEARCH("MAD",F589)),ISNUMBER(SEARCH("STQA",F589)),F589="CI/CD Session"),8,
OR(ISNUMBER(SEARCH("Cloud",F589)),F589="Industry Readiness Program",ISNUMBER(SEARCH("Talenlio",F589))),9,
OR(ISNUMBER(SEARCH("Innovation",F589)),F589="Mini Project"),10,
OR(ISNUMBER(SEARCH("Data Science",F589)),ISNUMBER(SEARCH("DS",F589))),11,
ISNUMBER(SEARCH("Generative AI",F589)),12
=_xlfn.IFS(
OR(F589="Selenium (Hands-on)",F589="Guest Lecture: HR Interview"),6,
OR(F589="Soft Skill",F589="Soft Skill (Examination)",F589="AWS Training",F589="AWS Session"),7,
OR(ISNUMBER(SEARCH("MAD",F589)),ISNUMBER(SEARCH("STQA",F589)),F589="CI/CD Session"),8,
OR(ISNUMBER(SEARCH("Cloud",F589)),F589="Industry Readiness Program",ISNUMBER(SEARCH("Talenlio",F589))),9,
OR(ISNUMBER(SEARCH("Innovation",F589)),F589="Mini Project"),10,
OR(ISNUMBER(SEARCH("Data Science",F589)),ISNUMBER(SEARCH("DS",F589))),11,
ISNUMBER(SEARCH("Generative AI",F589)),12
=_xlfn.IFS(
OR(F589="Selenium (Hands-on)",F589="Guest Lecture: HR Interview"),6,
OR(F589="Soft Skill",F589="Soft Skill (Examination)",F589="AWS Training",F589="AWS Session"),7,
OR(ISNUMBER(SEARCH("MAD",F589)),ISNUMBER(SEARCH("STQA",F589)),F589="CI/CD Session"),8,
OR(ISNUMBER(SEARCH("Cloud",F589)),F589="Industry Readiness Program",ISNUMBER(SEARCH("Talenlio",F589))),9,
OR(ISNUMBER(SEARCH("Innovation",F589)),F589="Mini Project"),10,
OR(ISNUMBER(SEARCH("Data Science",F589)),ISNUMBER(SEARCH("DS",F589))),11,
ISNUMBER(SEARCH("Generative AI",F589)),12
=_xlfn.IFS(
OR(F589="Selenium (Hands-on)",F589="Guest Lecture: HR Interview"),6,
OR(F589="Soft Skill",F589="Soft Skill (Examination)",F589="AWS Training",F589="AWS Session"),7,
OR(ISNUMBER(SEARCH("MAD",F589)),ISNUMBER(SEARCH("STQA",F589)),F589="CI/CD Session"),8,
OR(ISNUMBER(SEARCH("Cloud",F589)),F589="Industry Readiness Program",ISNUMBER(SEARCH("Talenlio",F589))),9,
OR(ISNUMBER(SEARCH("Innovation",F589)),F589="Mini Project"),10,
OR(ISNUMBER(SEARCH("Data Science",F589)),ISNUMBER(SEARCH("DS",F589))),11,
ISNUMBER(SEARCH("Generative AI",F589)),12
))))</f>
        <v>10</v>
      </c>
      <c r="X589" s="3">
        <v>10</v>
      </c>
      <c r="Y589" s="3">
        <v>64</v>
      </c>
      <c r="Z589" s="3" t="s">
        <v>35</v>
      </c>
    </row>
    <row r="590" spans="1:26" x14ac:dyDescent="0.3">
      <c r="A590" s="2">
        <v>46251</v>
      </c>
      <c r="B590" s="3" t="s">
        <v>26</v>
      </c>
      <c r="C590" s="3">
        <v>5</v>
      </c>
      <c r="D590" s="4">
        <v>0.5625</v>
      </c>
      <c r="E590" s="4">
        <v>0.60416666666666696</v>
      </c>
      <c r="F590" s="3" t="s">
        <v>81</v>
      </c>
      <c r="G590" s="3" t="s">
        <v>289</v>
      </c>
      <c r="H590" s="3" t="s">
        <v>29</v>
      </c>
      <c r="I590" s="3" t="s">
        <v>30</v>
      </c>
      <c r="J590" s="3" t="s">
        <v>84</v>
      </c>
      <c r="K590" s="3" t="s">
        <v>52</v>
      </c>
      <c r="L590" s="5">
        <v>102</v>
      </c>
      <c r="M590" s="5">
        <f t="shared" ca="1" si="45"/>
        <v>85</v>
      </c>
      <c r="N590" s="6">
        <f t="shared" ca="1" si="46"/>
        <v>83.333333333333343</v>
      </c>
      <c r="O590" s="3" cm="1">
        <f t="array" aca="1" ref="O590" ca="1">IFERROR(LOOKUP(2, 1/((F$1:F589=F590)*(J$1:J589=J590)*(ROW(F$1:F589)&lt;ROW(F590))), N$1:N589), "")</f>
        <v>49.019607843137251</v>
      </c>
      <c r="P590" s="3">
        <f t="shared" si="49"/>
        <v>1.25</v>
      </c>
      <c r="Q590" s="3" t="s">
        <v>43</v>
      </c>
      <c r="R590" s="3" t="s">
        <v>40</v>
      </c>
      <c r="S590" s="3" t="str">
        <f t="shared" si="47"/>
        <v>No</v>
      </c>
      <c r="T590" s="3" t="s">
        <v>34</v>
      </c>
      <c r="U590" s="3" t="str">
        <f t="shared" si="48"/>
        <v>Rainy</v>
      </c>
      <c r="V590" s="3" t="s">
        <v>40</v>
      </c>
      <c r="W590" s="3" cm="1">
        <f t="array" ref="W590">_xlfn.IFS(
OR(F590="Selenium (Hands-on)",F590="Guest Lecture: HR Interview"),6,
OR(F590="Soft Skill",F590="Soft Skill (Examination)",F590="AWS Training",F590="AWS Session"),7,
OR(ISNUMBER(SEARCH("MAD",F590)),ISNUMBER(SEARCH("STQA",F590)),F590="CI/CD Session"),8,
OR(ISNUMBER(SEARCH("Cloud",F590)),F590="Industry Readiness Program",ISNUMBER(SEARCH("Talenlio",F590))),9,
OR(ISNUMBER(SEARCH("Innovation",F590)),F590="Mini Project"),10,
OR(ISNUMBER(SEARCH("Data Science",F590)),ISNUMBER(SEARCH("DS",F590))),11,
ISNUMBER(SEARCH("Generative AI",F590)),12
=_xlfn.IFS(
OR(F590="Selenium (Hands-on)",F590="Guest Lecture: HR Interview"),6,
OR(F590="Soft Skill",F590="Soft Skill (Examination)",F590="AWS Training",F590="AWS Session"),7,
OR(ISNUMBER(SEARCH("MAD",F590)),ISNUMBER(SEARCH("STQA",F590)),F590="CI/CD Session"),8,
OR(ISNUMBER(SEARCH("Cloud",F590)),F590="Industry Readiness Program",ISNUMBER(SEARCH("Talenlio",F590))),9,
OR(ISNUMBER(SEARCH("Innovation",F590)),F590="Mini Project"),10,
OR(ISNUMBER(SEARCH("Data Science",F590)),ISNUMBER(SEARCH("DS",F590))),11,
ISNUMBER(SEARCH("Generative AI",F590)),12
=_xlfn.IFS(
OR(F590="Selenium (Hands-on)",F590="Guest Lecture: HR Interview"),6,
OR(F590="Soft Skill",F590="Soft Skill (Examination)",F590="AWS Training",F590="AWS Session"),7,
OR(ISNUMBER(SEARCH("MAD",F590)),ISNUMBER(SEARCH("STQA",F590)),F590="CI/CD Session"),8,
OR(ISNUMBER(SEARCH("Cloud",F590)),F590="Industry Readiness Program",ISNUMBER(SEARCH("Talenlio",F590))),9,
OR(ISNUMBER(SEARCH("Innovation",F590)),F590="Mini Project"),10,
OR(ISNUMBER(SEARCH("Data Science",F590)),ISNUMBER(SEARCH("DS",F590))),11,
ISNUMBER(SEARCH("Generative AI",F590)),12
=_xlfn.IFS(
OR(F590="Selenium (Hands-on)",F590="Guest Lecture: HR Interview"),6,
OR(F590="Soft Skill",F590="Soft Skill (Examination)",F590="AWS Training",F590="AWS Session"),7,
OR(ISNUMBER(SEARCH("MAD",F590)),ISNUMBER(SEARCH("STQA",F590)),F590="CI/CD Session"),8,
OR(ISNUMBER(SEARCH("Cloud",F590)),F590="Industry Readiness Program",ISNUMBER(SEARCH("Talenlio",F590))),9,
OR(ISNUMBER(SEARCH("Innovation",F590)),F590="Mini Project"),10,
OR(ISNUMBER(SEARCH("Data Science",F590)),ISNUMBER(SEARCH("DS",F590))),11,
ISNUMBER(SEARCH("Generative AI",F590)),12
))))</f>
        <v>7</v>
      </c>
      <c r="X590" s="3">
        <v>10</v>
      </c>
      <c r="Y590" s="3">
        <v>64</v>
      </c>
      <c r="Z590" s="3" t="s">
        <v>38</v>
      </c>
    </row>
    <row r="591" spans="1:26" x14ac:dyDescent="0.3">
      <c r="A591" s="2">
        <v>46251</v>
      </c>
      <c r="B591" s="3" t="s">
        <v>26</v>
      </c>
      <c r="C591" s="3">
        <v>6</v>
      </c>
      <c r="D591" s="4">
        <v>0.60416666666666696</v>
      </c>
      <c r="E591" s="4">
        <v>0.64583333333333304</v>
      </c>
      <c r="F591" s="3" t="s">
        <v>81</v>
      </c>
      <c r="G591" s="3" t="s">
        <v>289</v>
      </c>
      <c r="H591" s="3" t="s">
        <v>29</v>
      </c>
      <c r="I591" s="3" t="s">
        <v>30</v>
      </c>
      <c r="J591" s="3" t="s">
        <v>84</v>
      </c>
      <c r="K591" s="3" t="s">
        <v>52</v>
      </c>
      <c r="L591" s="5">
        <v>102</v>
      </c>
      <c r="M591" s="5">
        <f t="shared" ca="1" si="45"/>
        <v>66</v>
      </c>
      <c r="N591" s="6">
        <f t="shared" ca="1" si="46"/>
        <v>64.705882352941174</v>
      </c>
      <c r="O591" s="3" cm="1">
        <f t="array" aca="1" ref="O591" ca="1">IFERROR(LOOKUP(2, 1/((F$1:F590=F591)*(J$1:J590=J591)*(ROW(F$1:F590)&lt;ROW(F591))), N$1:N590), "")</f>
        <v>83.333333333333343</v>
      </c>
      <c r="P591" s="3">
        <f t="shared" si="49"/>
        <v>0</v>
      </c>
      <c r="Q591" s="3" t="s">
        <v>43</v>
      </c>
      <c r="R591" s="3" t="s">
        <v>40</v>
      </c>
      <c r="S591" s="3" t="str">
        <f t="shared" si="47"/>
        <v>No</v>
      </c>
      <c r="T591" s="3" t="s">
        <v>34</v>
      </c>
      <c r="U591" s="3" t="str">
        <f t="shared" si="48"/>
        <v>Rainy</v>
      </c>
      <c r="V591" s="3" t="s">
        <v>40</v>
      </c>
      <c r="W591" s="3" cm="1">
        <f t="array" ref="W591">_xlfn.IFS(
OR(F591="Selenium (Hands-on)",F591="Guest Lecture: HR Interview"),6,
OR(F591="Soft Skill",F591="Soft Skill (Examination)",F591="AWS Training",F591="AWS Session"),7,
OR(ISNUMBER(SEARCH("MAD",F591)),ISNUMBER(SEARCH("STQA",F591)),F591="CI/CD Session"),8,
OR(ISNUMBER(SEARCH("Cloud",F591)),F591="Industry Readiness Program",ISNUMBER(SEARCH("Talenlio",F591))),9,
OR(ISNUMBER(SEARCH("Innovation",F591)),F591="Mini Project"),10,
OR(ISNUMBER(SEARCH("Data Science",F591)),ISNUMBER(SEARCH("DS",F591))),11,
ISNUMBER(SEARCH("Generative AI",F591)),12
=_xlfn.IFS(
OR(F591="Selenium (Hands-on)",F591="Guest Lecture: HR Interview"),6,
OR(F591="Soft Skill",F591="Soft Skill (Examination)",F591="AWS Training",F591="AWS Session"),7,
OR(ISNUMBER(SEARCH("MAD",F591)),ISNUMBER(SEARCH("STQA",F591)),F591="CI/CD Session"),8,
OR(ISNUMBER(SEARCH("Cloud",F591)),F591="Industry Readiness Program",ISNUMBER(SEARCH("Talenlio",F591))),9,
OR(ISNUMBER(SEARCH("Innovation",F591)),F591="Mini Project"),10,
OR(ISNUMBER(SEARCH("Data Science",F591)),ISNUMBER(SEARCH("DS",F591))),11,
ISNUMBER(SEARCH("Generative AI",F591)),12
=_xlfn.IFS(
OR(F591="Selenium (Hands-on)",F591="Guest Lecture: HR Interview"),6,
OR(F591="Soft Skill",F591="Soft Skill (Examination)",F591="AWS Training",F591="AWS Session"),7,
OR(ISNUMBER(SEARCH("MAD",F591)),ISNUMBER(SEARCH("STQA",F591)),F591="CI/CD Session"),8,
OR(ISNUMBER(SEARCH("Cloud",F591)),F591="Industry Readiness Program",ISNUMBER(SEARCH("Talenlio",F591))),9,
OR(ISNUMBER(SEARCH("Innovation",F591)),F591="Mini Project"),10,
OR(ISNUMBER(SEARCH("Data Science",F591)),ISNUMBER(SEARCH("DS",F591))),11,
ISNUMBER(SEARCH("Generative AI",F591)),12
=_xlfn.IFS(
OR(F591="Selenium (Hands-on)",F591="Guest Lecture: HR Interview"),6,
OR(F591="Soft Skill",F591="Soft Skill (Examination)",F591="AWS Training",F591="AWS Session"),7,
OR(ISNUMBER(SEARCH("MAD",F591)),ISNUMBER(SEARCH("STQA",F591)),F591="CI/CD Session"),8,
OR(ISNUMBER(SEARCH("Cloud",F591)),F591="Industry Readiness Program",ISNUMBER(SEARCH("Talenlio",F591))),9,
OR(ISNUMBER(SEARCH("Innovation",F591)),F591="Mini Project"),10,
OR(ISNUMBER(SEARCH("Data Science",F591)),ISNUMBER(SEARCH("DS",F591))),11,
ISNUMBER(SEARCH("Generative AI",F591)),12
))))</f>
        <v>7</v>
      </c>
      <c r="X591" s="3">
        <v>10</v>
      </c>
      <c r="Y591" s="3">
        <v>64</v>
      </c>
      <c r="Z591" s="3" t="s">
        <v>38</v>
      </c>
    </row>
    <row r="592" spans="1:26" x14ac:dyDescent="0.3">
      <c r="A592" s="2">
        <v>46251</v>
      </c>
      <c r="B592" s="3" t="s">
        <v>26</v>
      </c>
      <c r="C592" s="3">
        <v>7</v>
      </c>
      <c r="D592" s="4">
        <v>0.64583333333333304</v>
      </c>
      <c r="E592" s="4">
        <v>0.6875</v>
      </c>
      <c r="F592" s="3" t="s">
        <v>81</v>
      </c>
      <c r="G592" s="3" t="s">
        <v>289</v>
      </c>
      <c r="H592" s="3" t="s">
        <v>29</v>
      </c>
      <c r="I592" s="3" t="s">
        <v>30</v>
      </c>
      <c r="J592" s="3" t="s">
        <v>84</v>
      </c>
      <c r="K592" s="3" t="s">
        <v>52</v>
      </c>
      <c r="L592" s="5">
        <v>102</v>
      </c>
      <c r="M592" s="5">
        <f t="shared" ca="1" si="45"/>
        <v>54</v>
      </c>
      <c r="N592" s="6">
        <f t="shared" ca="1" si="46"/>
        <v>52.941176470588239</v>
      </c>
      <c r="O592" s="3" cm="1">
        <f t="array" aca="1" ref="O592" ca="1">IFERROR(LOOKUP(2, 1/((F$1:F591=F592)*(J$1:J591=J592)*(ROW(F$1:F591)&lt;ROW(F592))), N$1:N591), "")</f>
        <v>64.705882352941174</v>
      </c>
      <c r="P592" s="3">
        <f t="shared" si="49"/>
        <v>0</v>
      </c>
      <c r="Q592" s="3" t="s">
        <v>43</v>
      </c>
      <c r="R592" s="3" t="s">
        <v>40</v>
      </c>
      <c r="S592" s="3" t="str">
        <f t="shared" si="47"/>
        <v>No</v>
      </c>
      <c r="T592" s="3" t="s">
        <v>34</v>
      </c>
      <c r="U592" s="3" t="str">
        <f t="shared" si="48"/>
        <v>Rainy</v>
      </c>
      <c r="V592" s="3" t="s">
        <v>40</v>
      </c>
      <c r="W592" s="3" cm="1">
        <f t="array" ref="W592">_xlfn.IFS(
OR(F592="Selenium (Hands-on)",F592="Guest Lecture: HR Interview"),6,
OR(F592="Soft Skill",F592="Soft Skill (Examination)",F592="AWS Training",F592="AWS Session"),7,
OR(ISNUMBER(SEARCH("MAD",F592)),ISNUMBER(SEARCH("STQA",F592)),F592="CI/CD Session"),8,
OR(ISNUMBER(SEARCH("Cloud",F592)),F592="Industry Readiness Program",ISNUMBER(SEARCH("Talenlio",F592))),9,
OR(ISNUMBER(SEARCH("Innovation",F592)),F592="Mini Project"),10,
OR(ISNUMBER(SEARCH("Data Science",F592)),ISNUMBER(SEARCH("DS",F592))),11,
ISNUMBER(SEARCH("Generative AI",F592)),12
=_xlfn.IFS(
OR(F592="Selenium (Hands-on)",F592="Guest Lecture: HR Interview"),6,
OR(F592="Soft Skill",F592="Soft Skill (Examination)",F592="AWS Training",F592="AWS Session"),7,
OR(ISNUMBER(SEARCH("MAD",F592)),ISNUMBER(SEARCH("STQA",F592)),F592="CI/CD Session"),8,
OR(ISNUMBER(SEARCH("Cloud",F592)),F592="Industry Readiness Program",ISNUMBER(SEARCH("Talenlio",F592))),9,
OR(ISNUMBER(SEARCH("Innovation",F592)),F592="Mini Project"),10,
OR(ISNUMBER(SEARCH("Data Science",F592)),ISNUMBER(SEARCH("DS",F592))),11,
ISNUMBER(SEARCH("Generative AI",F592)),12
=_xlfn.IFS(
OR(F592="Selenium (Hands-on)",F592="Guest Lecture: HR Interview"),6,
OR(F592="Soft Skill",F592="Soft Skill (Examination)",F592="AWS Training",F592="AWS Session"),7,
OR(ISNUMBER(SEARCH("MAD",F592)),ISNUMBER(SEARCH("STQA",F592)),F592="CI/CD Session"),8,
OR(ISNUMBER(SEARCH("Cloud",F592)),F592="Industry Readiness Program",ISNUMBER(SEARCH("Talenlio",F592))),9,
OR(ISNUMBER(SEARCH("Innovation",F592)),F592="Mini Project"),10,
OR(ISNUMBER(SEARCH("Data Science",F592)),ISNUMBER(SEARCH("DS",F592))),11,
ISNUMBER(SEARCH("Generative AI",F592)),12
=_xlfn.IFS(
OR(F592="Selenium (Hands-on)",F592="Guest Lecture: HR Interview"),6,
OR(F592="Soft Skill",F592="Soft Skill (Examination)",F592="AWS Training",F592="AWS Session"),7,
OR(ISNUMBER(SEARCH("MAD",F592)),ISNUMBER(SEARCH("STQA",F592)),F592="CI/CD Session"),8,
OR(ISNUMBER(SEARCH("Cloud",F592)),F592="Industry Readiness Program",ISNUMBER(SEARCH("Talenlio",F592))),9,
OR(ISNUMBER(SEARCH("Innovation",F592)),F592="Mini Project"),10,
OR(ISNUMBER(SEARCH("Data Science",F592)),ISNUMBER(SEARCH("DS",F592))),11,
ISNUMBER(SEARCH("Generative AI",F592)),12
))))</f>
        <v>7</v>
      </c>
      <c r="X592" s="3">
        <v>10</v>
      </c>
      <c r="Y592" s="3">
        <v>64</v>
      </c>
      <c r="Z592" s="3" t="s">
        <v>38</v>
      </c>
    </row>
    <row r="593" spans="1:26" x14ac:dyDescent="0.3">
      <c r="A593" s="2">
        <v>46252</v>
      </c>
      <c r="B593" s="3" t="s">
        <v>39</v>
      </c>
      <c r="C593" s="3">
        <v>1</v>
      </c>
      <c r="D593" s="4">
        <v>0.35416666666666702</v>
      </c>
      <c r="E593" s="4">
        <v>0.38541666666666702</v>
      </c>
      <c r="F593" s="3" t="s">
        <v>50</v>
      </c>
      <c r="G593" s="3" t="s">
        <v>51</v>
      </c>
      <c r="H593" s="3" t="s">
        <v>29</v>
      </c>
      <c r="I593" s="3" t="s">
        <v>30</v>
      </c>
      <c r="J593" s="3" t="s">
        <v>84</v>
      </c>
      <c r="K593" s="3" t="s">
        <v>52</v>
      </c>
      <c r="L593" s="5">
        <v>102</v>
      </c>
      <c r="M593" s="5">
        <f t="shared" ca="1" si="45"/>
        <v>42</v>
      </c>
      <c r="N593" s="6">
        <f t="shared" ca="1" si="46"/>
        <v>41.17647058823529</v>
      </c>
      <c r="O593" s="3" cm="1">
        <f t="array" aca="1" ref="O593" ca="1">IFERROR(LOOKUP(2, 1/((F$1:F592=F593)*(J$1:J592=J593)*(ROW(F$1:F592)&lt;ROW(F593))), N$1:N592), "")</f>
        <v>82.35294117647058</v>
      </c>
      <c r="P593" s="3">
        <f t="shared" si="49"/>
        <v>0</v>
      </c>
      <c r="Q593" s="3" t="s">
        <v>43</v>
      </c>
      <c r="R593" s="3" t="s">
        <v>40</v>
      </c>
      <c r="S593" s="3" t="str">
        <f t="shared" si="47"/>
        <v>No</v>
      </c>
      <c r="T593" s="3" t="s">
        <v>40</v>
      </c>
      <c r="U593" s="3" t="str">
        <f t="shared" si="48"/>
        <v>Rainy</v>
      </c>
      <c r="V593" s="3" t="s">
        <v>40</v>
      </c>
      <c r="W593" s="3" cm="1">
        <f t="array" ref="W593">_xlfn.IFS(
OR(F593="Selenium (Hands-on)",F593="Guest Lecture: HR Interview"),6,
OR(F593="Soft Skill",F593="Soft Skill (Examination)",F593="AWS Training",F593="AWS Session"),7,
OR(ISNUMBER(SEARCH("MAD",F593)),ISNUMBER(SEARCH("STQA",F593)),F593="CI/CD Session"),8,
OR(ISNUMBER(SEARCH("Cloud",F593)),F593="Industry Readiness Program",ISNUMBER(SEARCH("Talenlio",F593))),9,
OR(ISNUMBER(SEARCH("Innovation",F593)),F593="Mini Project"),10,
OR(ISNUMBER(SEARCH("Data Science",F593)),ISNUMBER(SEARCH("DS",F593))),11,
ISNUMBER(SEARCH("Generative AI",F593)),12
=_xlfn.IFS(
OR(F593="Selenium (Hands-on)",F593="Guest Lecture: HR Interview"),6,
OR(F593="Soft Skill",F593="Soft Skill (Examination)",F593="AWS Training",F593="AWS Session"),7,
OR(ISNUMBER(SEARCH("MAD",F593)),ISNUMBER(SEARCH("STQA",F593)),F593="CI/CD Session"),8,
OR(ISNUMBER(SEARCH("Cloud",F593)),F593="Industry Readiness Program",ISNUMBER(SEARCH("Talenlio",F593))),9,
OR(ISNUMBER(SEARCH("Innovation",F593)),F593="Mini Project"),10,
OR(ISNUMBER(SEARCH("Data Science",F593)),ISNUMBER(SEARCH("DS",F593))),11,
ISNUMBER(SEARCH("Generative AI",F593)),12
=_xlfn.IFS(
OR(F593="Selenium (Hands-on)",F593="Guest Lecture: HR Interview"),6,
OR(F593="Soft Skill",F593="Soft Skill (Examination)",F593="AWS Training",F593="AWS Session"),7,
OR(ISNUMBER(SEARCH("MAD",F593)),ISNUMBER(SEARCH("STQA",F593)),F593="CI/CD Session"),8,
OR(ISNUMBER(SEARCH("Cloud",F593)),F593="Industry Readiness Program",ISNUMBER(SEARCH("Talenlio",F593))),9,
OR(ISNUMBER(SEARCH("Innovation",F593)),F593="Mini Project"),10,
OR(ISNUMBER(SEARCH("Data Science",F593)),ISNUMBER(SEARCH("DS",F593))),11,
ISNUMBER(SEARCH("Generative AI",F593)),12
=_xlfn.IFS(
OR(F593="Selenium (Hands-on)",F593="Guest Lecture: HR Interview"),6,
OR(F593="Soft Skill",F593="Soft Skill (Examination)",F593="AWS Training",F593="AWS Session"),7,
OR(ISNUMBER(SEARCH("MAD",F593)),ISNUMBER(SEARCH("STQA",F593)),F593="CI/CD Session"),8,
OR(ISNUMBER(SEARCH("Cloud",F593)),F593="Industry Readiness Program",ISNUMBER(SEARCH("Talenlio",F593))),9,
OR(ISNUMBER(SEARCH("Innovation",F593)),F593="Mini Project"),10,
OR(ISNUMBER(SEARCH("Data Science",F593)),ISNUMBER(SEARCH("DS",F593))),11,
ISNUMBER(SEARCH("Generative AI",F593)),12
))))</f>
        <v>8</v>
      </c>
      <c r="X593" s="3">
        <v>10</v>
      </c>
      <c r="Y593" s="3">
        <v>65</v>
      </c>
      <c r="Z593" s="3" t="s">
        <v>35</v>
      </c>
    </row>
    <row r="594" spans="1:26" x14ac:dyDescent="0.3">
      <c r="A594" s="2">
        <v>46252</v>
      </c>
      <c r="B594" s="3" t="s">
        <v>39</v>
      </c>
      <c r="C594" s="3">
        <v>2</v>
      </c>
      <c r="D594" s="4">
        <v>0.38541666666666702</v>
      </c>
      <c r="E594" s="4">
        <v>0.42708333333333298</v>
      </c>
      <c r="F594" s="3" t="s">
        <v>50</v>
      </c>
      <c r="G594" s="3" t="s">
        <v>51</v>
      </c>
      <c r="H594" s="3" t="s">
        <v>29</v>
      </c>
      <c r="I594" s="3" t="s">
        <v>30</v>
      </c>
      <c r="J594" s="3" t="s">
        <v>84</v>
      </c>
      <c r="K594" s="3" t="s">
        <v>52</v>
      </c>
      <c r="L594" s="5">
        <v>102</v>
      </c>
      <c r="M594" s="5">
        <f t="shared" ca="1" si="45"/>
        <v>77</v>
      </c>
      <c r="N594" s="6">
        <f t="shared" ca="1" si="46"/>
        <v>75.490196078431367</v>
      </c>
      <c r="O594" s="3" cm="1">
        <f t="array" aca="1" ref="O594" ca="1">IFERROR(LOOKUP(2, 1/((F$1:F593=F594)*(J$1:J593=J594)*(ROW(F$1:F593)&lt;ROW(F594))), N$1:N593), "")</f>
        <v>41.17647058823529</v>
      </c>
      <c r="P594" s="3">
        <f t="shared" si="49"/>
        <v>0</v>
      </c>
      <c r="Q594" s="3" t="s">
        <v>43</v>
      </c>
      <c r="R594" s="3" t="s">
        <v>40</v>
      </c>
      <c r="S594" s="3" t="str">
        <f t="shared" si="47"/>
        <v>No</v>
      </c>
      <c r="T594" s="3" t="s">
        <v>40</v>
      </c>
      <c r="U594" s="3" t="str">
        <f t="shared" si="48"/>
        <v>Rainy</v>
      </c>
      <c r="V594" s="3" t="s">
        <v>40</v>
      </c>
      <c r="W594" s="3" cm="1">
        <f t="array" ref="W594">_xlfn.IFS(
OR(F594="Selenium (Hands-on)",F594="Guest Lecture: HR Interview"),6,
OR(F594="Soft Skill",F594="Soft Skill (Examination)",F594="AWS Training",F594="AWS Session"),7,
OR(ISNUMBER(SEARCH("MAD",F594)),ISNUMBER(SEARCH("STQA",F594)),F594="CI/CD Session"),8,
OR(ISNUMBER(SEARCH("Cloud",F594)),F594="Industry Readiness Program",ISNUMBER(SEARCH("Talenlio",F594))),9,
OR(ISNUMBER(SEARCH("Innovation",F594)),F594="Mini Project"),10,
OR(ISNUMBER(SEARCH("Data Science",F594)),ISNUMBER(SEARCH("DS",F594))),11,
ISNUMBER(SEARCH("Generative AI",F594)),12
=_xlfn.IFS(
OR(F594="Selenium (Hands-on)",F594="Guest Lecture: HR Interview"),6,
OR(F594="Soft Skill",F594="Soft Skill (Examination)",F594="AWS Training",F594="AWS Session"),7,
OR(ISNUMBER(SEARCH("MAD",F594)),ISNUMBER(SEARCH("STQA",F594)),F594="CI/CD Session"),8,
OR(ISNUMBER(SEARCH("Cloud",F594)),F594="Industry Readiness Program",ISNUMBER(SEARCH("Talenlio",F594))),9,
OR(ISNUMBER(SEARCH("Innovation",F594)),F594="Mini Project"),10,
OR(ISNUMBER(SEARCH("Data Science",F594)),ISNUMBER(SEARCH("DS",F594))),11,
ISNUMBER(SEARCH("Generative AI",F594)),12
=_xlfn.IFS(
OR(F594="Selenium (Hands-on)",F594="Guest Lecture: HR Interview"),6,
OR(F594="Soft Skill",F594="Soft Skill (Examination)",F594="AWS Training",F594="AWS Session"),7,
OR(ISNUMBER(SEARCH("MAD",F594)),ISNUMBER(SEARCH("STQA",F594)),F594="CI/CD Session"),8,
OR(ISNUMBER(SEARCH("Cloud",F594)),F594="Industry Readiness Program",ISNUMBER(SEARCH("Talenlio",F594))),9,
OR(ISNUMBER(SEARCH("Innovation",F594)),F594="Mini Project"),10,
OR(ISNUMBER(SEARCH("Data Science",F594)),ISNUMBER(SEARCH("DS",F594))),11,
ISNUMBER(SEARCH("Generative AI",F594)),12
=_xlfn.IFS(
OR(F594="Selenium (Hands-on)",F594="Guest Lecture: HR Interview"),6,
OR(F594="Soft Skill",F594="Soft Skill (Examination)",F594="AWS Training",F594="AWS Session"),7,
OR(ISNUMBER(SEARCH("MAD",F594)),ISNUMBER(SEARCH("STQA",F594)),F594="CI/CD Session"),8,
OR(ISNUMBER(SEARCH("Cloud",F594)),F594="Industry Readiness Program",ISNUMBER(SEARCH("Talenlio",F594))),9,
OR(ISNUMBER(SEARCH("Innovation",F594)),F594="Mini Project"),10,
OR(ISNUMBER(SEARCH("Data Science",F594)),ISNUMBER(SEARCH("DS",F594))),11,
ISNUMBER(SEARCH("Generative AI",F594)),12
))))</f>
        <v>8</v>
      </c>
      <c r="X594" s="3">
        <v>10</v>
      </c>
      <c r="Y594" s="3">
        <v>65</v>
      </c>
      <c r="Z594" s="3" t="s">
        <v>35</v>
      </c>
    </row>
    <row r="595" spans="1:26" x14ac:dyDescent="0.3">
      <c r="A595" s="2">
        <v>46252</v>
      </c>
      <c r="B595" s="3" t="s">
        <v>39</v>
      </c>
      <c r="C595" s="3">
        <v>3</v>
      </c>
      <c r="D595" s="4">
        <v>0.42708333333333298</v>
      </c>
      <c r="E595" s="4">
        <v>0.46875</v>
      </c>
      <c r="F595" s="3" t="s">
        <v>57</v>
      </c>
      <c r="G595" s="3" t="s">
        <v>71</v>
      </c>
      <c r="H595" s="3" t="s">
        <v>29</v>
      </c>
      <c r="I595" s="3" t="s">
        <v>30</v>
      </c>
      <c r="J595" s="3" t="s">
        <v>84</v>
      </c>
      <c r="K595" s="3" t="s">
        <v>52</v>
      </c>
      <c r="L595" s="5">
        <v>102</v>
      </c>
      <c r="M595" s="5">
        <f t="shared" ca="1" si="45"/>
        <v>46</v>
      </c>
      <c r="N595" s="6">
        <f t="shared" ca="1" si="46"/>
        <v>45.098039215686278</v>
      </c>
      <c r="O595" s="3" cm="1">
        <f t="array" aca="1" ref="O595" ca="1">IFERROR(LOOKUP(2, 1/((F$1:F594=F595)*(J$1:J594=J595)*(ROW(F$1:F594)&lt;ROW(F595))), N$1:N594), "")</f>
        <v>66.666666666666657</v>
      </c>
      <c r="P595" s="3">
        <f t="shared" si="49"/>
        <v>0</v>
      </c>
      <c r="Q595" s="3" t="s">
        <v>33</v>
      </c>
      <c r="R595" s="3" t="s">
        <v>40</v>
      </c>
      <c r="S595" s="3" t="str">
        <f t="shared" si="47"/>
        <v>No</v>
      </c>
      <c r="T595" s="3" t="s">
        <v>40</v>
      </c>
      <c r="U595" s="3" t="str">
        <f t="shared" si="48"/>
        <v>Rainy</v>
      </c>
      <c r="V595" s="3" t="s">
        <v>40</v>
      </c>
      <c r="W595" s="3" cm="1">
        <f t="array" ref="W595">_xlfn.IFS(
OR(F595="Selenium (Hands-on)",F595="Guest Lecture: HR Interview"),6,
OR(F595="Soft Skill",F595="Soft Skill (Examination)",F595="AWS Training",F595="AWS Session"),7,
OR(ISNUMBER(SEARCH("MAD",F595)),ISNUMBER(SEARCH("STQA",F595)),F595="CI/CD Session"),8,
OR(ISNUMBER(SEARCH("Cloud",F595)),F595="Industry Readiness Program",ISNUMBER(SEARCH("Talenlio",F595))),9,
OR(ISNUMBER(SEARCH("Innovation",F595)),F595="Mini Project"),10,
OR(ISNUMBER(SEARCH("Data Science",F595)),ISNUMBER(SEARCH("DS",F595))),11,
ISNUMBER(SEARCH("Generative AI",F595)),12
=_xlfn.IFS(
OR(F595="Selenium (Hands-on)",F595="Guest Lecture: HR Interview"),6,
OR(F595="Soft Skill",F595="Soft Skill (Examination)",F595="AWS Training",F595="AWS Session"),7,
OR(ISNUMBER(SEARCH("MAD",F595)),ISNUMBER(SEARCH("STQA",F595)),F595="CI/CD Session"),8,
OR(ISNUMBER(SEARCH("Cloud",F595)),F595="Industry Readiness Program",ISNUMBER(SEARCH("Talenlio",F595))),9,
OR(ISNUMBER(SEARCH("Innovation",F595)),F595="Mini Project"),10,
OR(ISNUMBER(SEARCH("Data Science",F595)),ISNUMBER(SEARCH("DS",F595))),11,
ISNUMBER(SEARCH("Generative AI",F595)),12
=_xlfn.IFS(
OR(F595="Selenium (Hands-on)",F595="Guest Lecture: HR Interview"),6,
OR(F595="Soft Skill",F595="Soft Skill (Examination)",F595="AWS Training",F595="AWS Session"),7,
OR(ISNUMBER(SEARCH("MAD",F595)),ISNUMBER(SEARCH("STQA",F595)),F595="CI/CD Session"),8,
OR(ISNUMBER(SEARCH("Cloud",F595)),F595="Industry Readiness Program",ISNUMBER(SEARCH("Talenlio",F595))),9,
OR(ISNUMBER(SEARCH("Innovation",F595)),F595="Mini Project"),10,
OR(ISNUMBER(SEARCH("Data Science",F595)),ISNUMBER(SEARCH("DS",F595))),11,
ISNUMBER(SEARCH("Generative AI",F595)),12
=_xlfn.IFS(
OR(F595="Selenium (Hands-on)",F595="Guest Lecture: HR Interview"),6,
OR(F595="Soft Skill",F595="Soft Skill (Examination)",F595="AWS Training",F595="AWS Session"),7,
OR(ISNUMBER(SEARCH("MAD",F595)),ISNUMBER(SEARCH("STQA",F595)),F595="CI/CD Session"),8,
OR(ISNUMBER(SEARCH("Cloud",F595)),F595="Industry Readiness Program",ISNUMBER(SEARCH("Talenlio",F595))),9,
OR(ISNUMBER(SEARCH("Innovation",F595)),F595="Mini Project"),10,
OR(ISNUMBER(SEARCH("Data Science",F595)),ISNUMBER(SEARCH("DS",F595))),11,
ISNUMBER(SEARCH("Generative AI",F595)),12
))))</f>
        <v>9</v>
      </c>
      <c r="X595" s="3">
        <v>10</v>
      </c>
      <c r="Y595" s="3">
        <v>65</v>
      </c>
      <c r="Z595" s="3" t="s">
        <v>35</v>
      </c>
    </row>
    <row r="596" spans="1:26" x14ac:dyDescent="0.3">
      <c r="A596" s="2">
        <v>46252</v>
      </c>
      <c r="B596" s="3" t="s">
        <v>39</v>
      </c>
      <c r="C596" s="3">
        <v>4</v>
      </c>
      <c r="D596" s="4">
        <v>0.46875</v>
      </c>
      <c r="E596" s="4">
        <v>0.51041666666666696</v>
      </c>
      <c r="F596" s="3" t="s">
        <v>59</v>
      </c>
      <c r="G596" s="3" t="s">
        <v>73</v>
      </c>
      <c r="H596" s="3" t="s">
        <v>29</v>
      </c>
      <c r="I596" s="3" t="s">
        <v>30</v>
      </c>
      <c r="J596" s="3" t="s">
        <v>84</v>
      </c>
      <c r="K596" s="3" t="s">
        <v>52</v>
      </c>
      <c r="L596" s="5">
        <v>102</v>
      </c>
      <c r="M596" s="5">
        <f t="shared" ca="1" si="45"/>
        <v>94</v>
      </c>
      <c r="N596" s="6">
        <f t="shared" ca="1" si="46"/>
        <v>92.156862745098039</v>
      </c>
      <c r="O596" s="3" cm="1">
        <f t="array" aca="1" ref="O596" ca="1">IFERROR(LOOKUP(2, 1/((F$1:F595=F596)*(J$1:J595=J596)*(ROW(F$1:F595)&lt;ROW(F596))), N$1:N595), "")</f>
        <v>64.705882352941174</v>
      </c>
      <c r="P596" s="3">
        <f t="shared" si="49"/>
        <v>0</v>
      </c>
      <c r="Q596" s="3" t="s">
        <v>33</v>
      </c>
      <c r="R596" s="3" t="s">
        <v>40</v>
      </c>
      <c r="S596" s="3" t="str">
        <f t="shared" si="47"/>
        <v>No</v>
      </c>
      <c r="T596" s="3" t="s">
        <v>40</v>
      </c>
      <c r="U596" s="3" t="str">
        <f t="shared" si="48"/>
        <v>Rainy</v>
      </c>
      <c r="V596" s="3" t="s">
        <v>40</v>
      </c>
      <c r="W596" s="3" cm="1">
        <f t="array" ref="W596">_xlfn.IFS(
OR(F596="Selenium (Hands-on)",F596="Guest Lecture: HR Interview"),6,
OR(F596="Soft Skill",F596="Soft Skill (Examination)",F596="AWS Training",F596="AWS Session"),7,
OR(ISNUMBER(SEARCH("MAD",F596)),ISNUMBER(SEARCH("STQA",F596)),F596="CI/CD Session"),8,
OR(ISNUMBER(SEARCH("Cloud",F596)),F596="Industry Readiness Program",ISNUMBER(SEARCH("Talenlio",F596))),9,
OR(ISNUMBER(SEARCH("Innovation",F596)),F596="Mini Project"),10,
OR(ISNUMBER(SEARCH("Data Science",F596)),ISNUMBER(SEARCH("DS",F596))),11,
ISNUMBER(SEARCH("Generative AI",F596)),12
=_xlfn.IFS(
OR(F596="Selenium (Hands-on)",F596="Guest Lecture: HR Interview"),6,
OR(F596="Soft Skill",F596="Soft Skill (Examination)",F596="AWS Training",F596="AWS Session"),7,
OR(ISNUMBER(SEARCH("MAD",F596)),ISNUMBER(SEARCH("STQA",F596)),F596="CI/CD Session"),8,
OR(ISNUMBER(SEARCH("Cloud",F596)),F596="Industry Readiness Program",ISNUMBER(SEARCH("Talenlio",F596))),9,
OR(ISNUMBER(SEARCH("Innovation",F596)),F596="Mini Project"),10,
OR(ISNUMBER(SEARCH("Data Science",F596)),ISNUMBER(SEARCH("DS",F596))),11,
ISNUMBER(SEARCH("Generative AI",F596)),12
=_xlfn.IFS(
OR(F596="Selenium (Hands-on)",F596="Guest Lecture: HR Interview"),6,
OR(F596="Soft Skill",F596="Soft Skill (Examination)",F596="AWS Training",F596="AWS Session"),7,
OR(ISNUMBER(SEARCH("MAD",F596)),ISNUMBER(SEARCH("STQA",F596)),F596="CI/CD Session"),8,
OR(ISNUMBER(SEARCH("Cloud",F596)),F596="Industry Readiness Program",ISNUMBER(SEARCH("Talenlio",F596))),9,
OR(ISNUMBER(SEARCH("Innovation",F596)),F596="Mini Project"),10,
OR(ISNUMBER(SEARCH("Data Science",F596)),ISNUMBER(SEARCH("DS",F596))),11,
ISNUMBER(SEARCH("Generative AI",F596)),12
=_xlfn.IFS(
OR(F596="Selenium (Hands-on)",F596="Guest Lecture: HR Interview"),6,
OR(F596="Soft Skill",F596="Soft Skill (Examination)",F596="AWS Training",F596="AWS Session"),7,
OR(ISNUMBER(SEARCH("MAD",F596)),ISNUMBER(SEARCH("STQA",F596)),F596="CI/CD Session"),8,
OR(ISNUMBER(SEARCH("Cloud",F596)),F596="Industry Readiness Program",ISNUMBER(SEARCH("Talenlio",F596))),9,
OR(ISNUMBER(SEARCH("Innovation",F596)),F596="Mini Project"),10,
OR(ISNUMBER(SEARCH("Data Science",F596)),ISNUMBER(SEARCH("DS",F596))),11,
ISNUMBER(SEARCH("Generative AI",F596)),12
))))</f>
        <v>11</v>
      </c>
      <c r="X596" s="3">
        <v>10</v>
      </c>
      <c r="Y596" s="3">
        <v>65</v>
      </c>
      <c r="Z596" s="3" t="s">
        <v>35</v>
      </c>
    </row>
    <row r="597" spans="1:26" x14ac:dyDescent="0.3">
      <c r="A597" s="2">
        <v>46252</v>
      </c>
      <c r="B597" s="3" t="s">
        <v>39</v>
      </c>
      <c r="C597" s="3">
        <v>5</v>
      </c>
      <c r="D597" s="4">
        <v>0.5625</v>
      </c>
      <c r="E597" s="4">
        <v>0.60416666666666696</v>
      </c>
      <c r="F597" s="3" t="s">
        <v>81</v>
      </c>
      <c r="G597" s="3" t="s">
        <v>289</v>
      </c>
      <c r="H597" s="3" t="s">
        <v>29</v>
      </c>
      <c r="I597" s="3" t="s">
        <v>30</v>
      </c>
      <c r="J597" s="3" t="s">
        <v>84</v>
      </c>
      <c r="K597" s="3" t="s">
        <v>52</v>
      </c>
      <c r="L597" s="5">
        <v>102</v>
      </c>
      <c r="M597" s="5">
        <f t="shared" ca="1" si="45"/>
        <v>51</v>
      </c>
      <c r="N597" s="6">
        <f t="shared" ca="1" si="46"/>
        <v>50</v>
      </c>
      <c r="O597" s="3" cm="1">
        <f t="array" aca="1" ref="O597" ca="1">IFERROR(LOOKUP(2, 1/((F$1:F596=F597)*(J$1:J596=J597)*(ROW(F$1:F596)&lt;ROW(F597))), N$1:N596), "")</f>
        <v>52.941176470588239</v>
      </c>
      <c r="P597" s="3">
        <f t="shared" si="49"/>
        <v>1.25</v>
      </c>
      <c r="Q597" s="3" t="s">
        <v>43</v>
      </c>
      <c r="R597" s="3" t="s">
        <v>40</v>
      </c>
      <c r="S597" s="3" t="str">
        <f t="shared" si="47"/>
        <v>No</v>
      </c>
      <c r="T597" s="3" t="s">
        <v>40</v>
      </c>
      <c r="U597" s="3" t="str">
        <f t="shared" si="48"/>
        <v>Rainy</v>
      </c>
      <c r="V597" s="3" t="s">
        <v>40</v>
      </c>
      <c r="W597" s="3" cm="1">
        <f t="array" ref="W597">_xlfn.IFS(
OR(F597="Selenium (Hands-on)",F597="Guest Lecture: HR Interview"),6,
OR(F597="Soft Skill",F597="Soft Skill (Examination)",F597="AWS Training",F597="AWS Session"),7,
OR(ISNUMBER(SEARCH("MAD",F597)),ISNUMBER(SEARCH("STQA",F597)),F597="CI/CD Session"),8,
OR(ISNUMBER(SEARCH("Cloud",F597)),F597="Industry Readiness Program",ISNUMBER(SEARCH("Talenlio",F597))),9,
OR(ISNUMBER(SEARCH("Innovation",F597)),F597="Mini Project"),10,
OR(ISNUMBER(SEARCH("Data Science",F597)),ISNUMBER(SEARCH("DS",F597))),11,
ISNUMBER(SEARCH("Generative AI",F597)),12
=_xlfn.IFS(
OR(F597="Selenium (Hands-on)",F597="Guest Lecture: HR Interview"),6,
OR(F597="Soft Skill",F597="Soft Skill (Examination)",F597="AWS Training",F597="AWS Session"),7,
OR(ISNUMBER(SEARCH("MAD",F597)),ISNUMBER(SEARCH("STQA",F597)),F597="CI/CD Session"),8,
OR(ISNUMBER(SEARCH("Cloud",F597)),F597="Industry Readiness Program",ISNUMBER(SEARCH("Talenlio",F597))),9,
OR(ISNUMBER(SEARCH("Innovation",F597)),F597="Mini Project"),10,
OR(ISNUMBER(SEARCH("Data Science",F597)),ISNUMBER(SEARCH("DS",F597))),11,
ISNUMBER(SEARCH("Generative AI",F597)),12
=_xlfn.IFS(
OR(F597="Selenium (Hands-on)",F597="Guest Lecture: HR Interview"),6,
OR(F597="Soft Skill",F597="Soft Skill (Examination)",F597="AWS Training",F597="AWS Session"),7,
OR(ISNUMBER(SEARCH("MAD",F597)),ISNUMBER(SEARCH("STQA",F597)),F597="CI/CD Session"),8,
OR(ISNUMBER(SEARCH("Cloud",F597)),F597="Industry Readiness Program",ISNUMBER(SEARCH("Talenlio",F597))),9,
OR(ISNUMBER(SEARCH("Innovation",F597)),F597="Mini Project"),10,
OR(ISNUMBER(SEARCH("Data Science",F597)),ISNUMBER(SEARCH("DS",F597))),11,
ISNUMBER(SEARCH("Generative AI",F597)),12
=_xlfn.IFS(
OR(F597="Selenium (Hands-on)",F597="Guest Lecture: HR Interview"),6,
OR(F597="Soft Skill",F597="Soft Skill (Examination)",F597="AWS Training",F597="AWS Session"),7,
OR(ISNUMBER(SEARCH("MAD",F597)),ISNUMBER(SEARCH("STQA",F597)),F597="CI/CD Session"),8,
OR(ISNUMBER(SEARCH("Cloud",F597)),F597="Industry Readiness Program",ISNUMBER(SEARCH("Talenlio",F597))),9,
OR(ISNUMBER(SEARCH("Innovation",F597)),F597="Mini Project"),10,
OR(ISNUMBER(SEARCH("Data Science",F597)),ISNUMBER(SEARCH("DS",F597))),11,
ISNUMBER(SEARCH("Generative AI",F597)),12
))))</f>
        <v>7</v>
      </c>
      <c r="X597" s="3">
        <v>10</v>
      </c>
      <c r="Y597" s="3">
        <v>65</v>
      </c>
      <c r="Z597" s="3" t="s">
        <v>38</v>
      </c>
    </row>
    <row r="598" spans="1:26" x14ac:dyDescent="0.3">
      <c r="A598" s="2">
        <v>46252</v>
      </c>
      <c r="B598" s="3" t="s">
        <v>39</v>
      </c>
      <c r="C598" s="3">
        <v>6</v>
      </c>
      <c r="D598" s="4">
        <v>0.60416666666666696</v>
      </c>
      <c r="E598" s="4">
        <v>0.64583333333333304</v>
      </c>
      <c r="F598" s="3" t="s">
        <v>81</v>
      </c>
      <c r="G598" s="3" t="s">
        <v>289</v>
      </c>
      <c r="H598" s="3" t="s">
        <v>29</v>
      </c>
      <c r="I598" s="3" t="s">
        <v>30</v>
      </c>
      <c r="J598" s="3" t="s">
        <v>84</v>
      </c>
      <c r="K598" s="3" t="s">
        <v>52</v>
      </c>
      <c r="L598" s="5">
        <v>102</v>
      </c>
      <c r="M598" s="5">
        <f t="shared" ca="1" si="45"/>
        <v>64</v>
      </c>
      <c r="N598" s="6">
        <f t="shared" ca="1" si="46"/>
        <v>62.745098039215684</v>
      </c>
      <c r="O598" s="3" cm="1">
        <f t="array" aca="1" ref="O598" ca="1">IFERROR(LOOKUP(2, 1/((F$1:F597=F598)*(J$1:J597=J598)*(ROW(F$1:F597)&lt;ROW(F598))), N$1:N597), "")</f>
        <v>50</v>
      </c>
      <c r="P598" s="3">
        <f t="shared" si="49"/>
        <v>0</v>
      </c>
      <c r="Q598" s="3" t="s">
        <v>43</v>
      </c>
      <c r="R598" s="3" t="s">
        <v>40</v>
      </c>
      <c r="S598" s="3" t="str">
        <f t="shared" si="47"/>
        <v>No</v>
      </c>
      <c r="T598" s="3" t="s">
        <v>40</v>
      </c>
      <c r="U598" s="3" t="str">
        <f t="shared" si="48"/>
        <v>Rainy</v>
      </c>
      <c r="V598" s="3" t="s">
        <v>40</v>
      </c>
      <c r="W598" s="3" cm="1">
        <f t="array" ref="W598">_xlfn.IFS(
OR(F598="Selenium (Hands-on)",F598="Guest Lecture: HR Interview"),6,
OR(F598="Soft Skill",F598="Soft Skill (Examination)",F598="AWS Training",F598="AWS Session"),7,
OR(ISNUMBER(SEARCH("MAD",F598)),ISNUMBER(SEARCH("STQA",F598)),F598="CI/CD Session"),8,
OR(ISNUMBER(SEARCH("Cloud",F598)),F598="Industry Readiness Program",ISNUMBER(SEARCH("Talenlio",F598))),9,
OR(ISNUMBER(SEARCH("Innovation",F598)),F598="Mini Project"),10,
OR(ISNUMBER(SEARCH("Data Science",F598)),ISNUMBER(SEARCH("DS",F598))),11,
ISNUMBER(SEARCH("Generative AI",F598)),12
=_xlfn.IFS(
OR(F598="Selenium (Hands-on)",F598="Guest Lecture: HR Interview"),6,
OR(F598="Soft Skill",F598="Soft Skill (Examination)",F598="AWS Training",F598="AWS Session"),7,
OR(ISNUMBER(SEARCH("MAD",F598)),ISNUMBER(SEARCH("STQA",F598)),F598="CI/CD Session"),8,
OR(ISNUMBER(SEARCH("Cloud",F598)),F598="Industry Readiness Program",ISNUMBER(SEARCH("Talenlio",F598))),9,
OR(ISNUMBER(SEARCH("Innovation",F598)),F598="Mini Project"),10,
OR(ISNUMBER(SEARCH("Data Science",F598)),ISNUMBER(SEARCH("DS",F598))),11,
ISNUMBER(SEARCH("Generative AI",F598)),12
=_xlfn.IFS(
OR(F598="Selenium (Hands-on)",F598="Guest Lecture: HR Interview"),6,
OR(F598="Soft Skill",F598="Soft Skill (Examination)",F598="AWS Training",F598="AWS Session"),7,
OR(ISNUMBER(SEARCH("MAD",F598)),ISNUMBER(SEARCH("STQA",F598)),F598="CI/CD Session"),8,
OR(ISNUMBER(SEARCH("Cloud",F598)),F598="Industry Readiness Program",ISNUMBER(SEARCH("Talenlio",F598))),9,
OR(ISNUMBER(SEARCH("Innovation",F598)),F598="Mini Project"),10,
OR(ISNUMBER(SEARCH("Data Science",F598)),ISNUMBER(SEARCH("DS",F598))),11,
ISNUMBER(SEARCH("Generative AI",F598)),12
=_xlfn.IFS(
OR(F598="Selenium (Hands-on)",F598="Guest Lecture: HR Interview"),6,
OR(F598="Soft Skill",F598="Soft Skill (Examination)",F598="AWS Training",F598="AWS Session"),7,
OR(ISNUMBER(SEARCH("MAD",F598)),ISNUMBER(SEARCH("STQA",F598)),F598="CI/CD Session"),8,
OR(ISNUMBER(SEARCH("Cloud",F598)),F598="Industry Readiness Program",ISNUMBER(SEARCH("Talenlio",F598))),9,
OR(ISNUMBER(SEARCH("Innovation",F598)),F598="Mini Project"),10,
OR(ISNUMBER(SEARCH("Data Science",F598)),ISNUMBER(SEARCH("DS",F598))),11,
ISNUMBER(SEARCH("Generative AI",F598)),12
))))</f>
        <v>7</v>
      </c>
      <c r="X598" s="3">
        <v>10</v>
      </c>
      <c r="Y598" s="3">
        <v>65</v>
      </c>
      <c r="Z598" s="3" t="s">
        <v>38</v>
      </c>
    </row>
    <row r="599" spans="1:26" x14ac:dyDescent="0.3">
      <c r="A599" s="2">
        <v>46252</v>
      </c>
      <c r="B599" s="3" t="s">
        <v>39</v>
      </c>
      <c r="C599" s="3">
        <v>7</v>
      </c>
      <c r="D599" s="4">
        <v>0.64583333333333304</v>
      </c>
      <c r="E599" s="4">
        <v>0.6875</v>
      </c>
      <c r="F599" s="3" t="s">
        <v>81</v>
      </c>
      <c r="G599" s="3" t="s">
        <v>289</v>
      </c>
      <c r="H599" s="3" t="s">
        <v>29</v>
      </c>
      <c r="I599" s="3" t="s">
        <v>30</v>
      </c>
      <c r="J599" s="3" t="s">
        <v>84</v>
      </c>
      <c r="K599" s="3" t="s">
        <v>52</v>
      </c>
      <c r="L599" s="5">
        <v>102</v>
      </c>
      <c r="M599" s="5">
        <f t="shared" ca="1" si="45"/>
        <v>51</v>
      </c>
      <c r="N599" s="6">
        <f t="shared" ca="1" si="46"/>
        <v>50</v>
      </c>
      <c r="O599" s="3" cm="1">
        <f t="array" aca="1" ref="O599" ca="1">IFERROR(LOOKUP(2, 1/((F$1:F598=F599)*(J$1:J598=J599)*(ROW(F$1:F598)&lt;ROW(F599))), N$1:N598), "")</f>
        <v>62.745098039215684</v>
      </c>
      <c r="P599" s="3">
        <f t="shared" si="49"/>
        <v>0</v>
      </c>
      <c r="Q599" s="3" t="s">
        <v>43</v>
      </c>
      <c r="R599" s="3" t="s">
        <v>40</v>
      </c>
      <c r="S599" s="3" t="str">
        <f t="shared" si="47"/>
        <v>No</v>
      </c>
      <c r="T599" s="3" t="s">
        <v>40</v>
      </c>
      <c r="U599" s="3" t="str">
        <f t="shared" si="48"/>
        <v>Rainy</v>
      </c>
      <c r="V599" s="3" t="s">
        <v>40</v>
      </c>
      <c r="W599" s="3" cm="1">
        <f t="array" ref="W599">_xlfn.IFS(
OR(F599="Selenium (Hands-on)",F599="Guest Lecture: HR Interview"),6,
OR(F599="Soft Skill",F599="Soft Skill (Examination)",F599="AWS Training",F599="AWS Session"),7,
OR(ISNUMBER(SEARCH("MAD",F599)),ISNUMBER(SEARCH("STQA",F599)),F599="CI/CD Session"),8,
OR(ISNUMBER(SEARCH("Cloud",F599)),F599="Industry Readiness Program",ISNUMBER(SEARCH("Talenlio",F599))),9,
OR(ISNUMBER(SEARCH("Innovation",F599)),F599="Mini Project"),10,
OR(ISNUMBER(SEARCH("Data Science",F599)),ISNUMBER(SEARCH("DS",F599))),11,
ISNUMBER(SEARCH("Generative AI",F599)),12
=_xlfn.IFS(
OR(F599="Selenium (Hands-on)",F599="Guest Lecture: HR Interview"),6,
OR(F599="Soft Skill",F599="Soft Skill (Examination)",F599="AWS Training",F599="AWS Session"),7,
OR(ISNUMBER(SEARCH("MAD",F599)),ISNUMBER(SEARCH("STQA",F599)),F599="CI/CD Session"),8,
OR(ISNUMBER(SEARCH("Cloud",F599)),F599="Industry Readiness Program",ISNUMBER(SEARCH("Talenlio",F599))),9,
OR(ISNUMBER(SEARCH("Innovation",F599)),F599="Mini Project"),10,
OR(ISNUMBER(SEARCH("Data Science",F599)),ISNUMBER(SEARCH("DS",F599))),11,
ISNUMBER(SEARCH("Generative AI",F599)),12
=_xlfn.IFS(
OR(F599="Selenium (Hands-on)",F599="Guest Lecture: HR Interview"),6,
OR(F599="Soft Skill",F599="Soft Skill (Examination)",F599="AWS Training",F599="AWS Session"),7,
OR(ISNUMBER(SEARCH("MAD",F599)),ISNUMBER(SEARCH("STQA",F599)),F599="CI/CD Session"),8,
OR(ISNUMBER(SEARCH("Cloud",F599)),F599="Industry Readiness Program",ISNUMBER(SEARCH("Talenlio",F599))),9,
OR(ISNUMBER(SEARCH("Innovation",F599)),F599="Mini Project"),10,
OR(ISNUMBER(SEARCH("Data Science",F599)),ISNUMBER(SEARCH("DS",F599))),11,
ISNUMBER(SEARCH("Generative AI",F599)),12
=_xlfn.IFS(
OR(F599="Selenium (Hands-on)",F599="Guest Lecture: HR Interview"),6,
OR(F599="Soft Skill",F599="Soft Skill (Examination)",F599="AWS Training",F599="AWS Session"),7,
OR(ISNUMBER(SEARCH("MAD",F599)),ISNUMBER(SEARCH("STQA",F599)),F599="CI/CD Session"),8,
OR(ISNUMBER(SEARCH("Cloud",F599)),F599="Industry Readiness Program",ISNUMBER(SEARCH("Talenlio",F599))),9,
OR(ISNUMBER(SEARCH("Innovation",F599)),F599="Mini Project"),10,
OR(ISNUMBER(SEARCH("Data Science",F599)),ISNUMBER(SEARCH("DS",F599))),11,
ISNUMBER(SEARCH("Generative AI",F599)),12
))))</f>
        <v>7</v>
      </c>
      <c r="X599" s="3">
        <v>10</v>
      </c>
      <c r="Y599" s="3">
        <v>65</v>
      </c>
      <c r="Z599" s="3" t="s">
        <v>38</v>
      </c>
    </row>
    <row r="600" spans="1:26" x14ac:dyDescent="0.3">
      <c r="A600" s="2">
        <v>46253</v>
      </c>
      <c r="B600" s="3" t="s">
        <v>44</v>
      </c>
      <c r="C600" s="3">
        <v>1</v>
      </c>
      <c r="D600" s="4">
        <v>0.35416666666666702</v>
      </c>
      <c r="E600" s="4">
        <v>0.38541666666666702</v>
      </c>
      <c r="F600" s="3" t="s">
        <v>50</v>
      </c>
      <c r="G600" s="3" t="s">
        <v>51</v>
      </c>
      <c r="H600" s="3" t="s">
        <v>29</v>
      </c>
      <c r="I600" s="3" t="s">
        <v>30</v>
      </c>
      <c r="J600" s="3" t="s">
        <v>84</v>
      </c>
      <c r="K600" s="3" t="s">
        <v>52</v>
      </c>
      <c r="L600" s="5">
        <v>102</v>
      </c>
      <c r="M600" s="5">
        <f t="shared" ca="1" si="45"/>
        <v>103</v>
      </c>
      <c r="N600" s="6">
        <f t="shared" ca="1" si="46"/>
        <v>100.98039215686273</v>
      </c>
      <c r="O600" s="3" cm="1">
        <f t="array" aca="1" ref="O600" ca="1">IFERROR(LOOKUP(2, 1/((F$1:F599=F600)*(J$1:J599=J600)*(ROW(F$1:F599)&lt;ROW(F600))), N$1:N599), "")</f>
        <v>75.490196078431367</v>
      </c>
      <c r="P600" s="3">
        <f t="shared" si="49"/>
        <v>0</v>
      </c>
      <c r="Q600" s="3" t="s">
        <v>43</v>
      </c>
      <c r="R600" s="3" t="s">
        <v>40</v>
      </c>
      <c r="S600" s="3" t="str">
        <f t="shared" si="47"/>
        <v>No</v>
      </c>
      <c r="T600" s="3" t="s">
        <v>40</v>
      </c>
      <c r="U600" s="3" t="str">
        <f t="shared" si="48"/>
        <v>Rainy</v>
      </c>
      <c r="V600" s="3" t="s">
        <v>40</v>
      </c>
      <c r="W600" s="3" cm="1">
        <f t="array" ref="W600">_xlfn.IFS(
OR(F600="Selenium (Hands-on)",F600="Guest Lecture: HR Interview"),6,
OR(F600="Soft Skill",F600="Soft Skill (Examination)",F600="AWS Training",F600="AWS Session"),7,
OR(ISNUMBER(SEARCH("MAD",F600)),ISNUMBER(SEARCH("STQA",F600)),F600="CI/CD Session"),8,
OR(ISNUMBER(SEARCH("Cloud",F600)),F600="Industry Readiness Program",ISNUMBER(SEARCH("Talenlio",F600))),9,
OR(ISNUMBER(SEARCH("Innovation",F600)),F600="Mini Project"),10,
OR(ISNUMBER(SEARCH("Data Science",F600)),ISNUMBER(SEARCH("DS",F600))),11,
ISNUMBER(SEARCH("Generative AI",F600)),12
=_xlfn.IFS(
OR(F600="Selenium (Hands-on)",F600="Guest Lecture: HR Interview"),6,
OR(F600="Soft Skill",F600="Soft Skill (Examination)",F600="AWS Training",F600="AWS Session"),7,
OR(ISNUMBER(SEARCH("MAD",F600)),ISNUMBER(SEARCH("STQA",F600)),F600="CI/CD Session"),8,
OR(ISNUMBER(SEARCH("Cloud",F600)),F600="Industry Readiness Program",ISNUMBER(SEARCH("Talenlio",F600))),9,
OR(ISNUMBER(SEARCH("Innovation",F600)),F600="Mini Project"),10,
OR(ISNUMBER(SEARCH("Data Science",F600)),ISNUMBER(SEARCH("DS",F600))),11,
ISNUMBER(SEARCH("Generative AI",F600)),12
=_xlfn.IFS(
OR(F600="Selenium (Hands-on)",F600="Guest Lecture: HR Interview"),6,
OR(F600="Soft Skill",F600="Soft Skill (Examination)",F600="AWS Training",F600="AWS Session"),7,
OR(ISNUMBER(SEARCH("MAD",F600)),ISNUMBER(SEARCH("STQA",F600)),F600="CI/CD Session"),8,
OR(ISNUMBER(SEARCH("Cloud",F600)),F600="Industry Readiness Program",ISNUMBER(SEARCH("Talenlio",F600))),9,
OR(ISNUMBER(SEARCH("Innovation",F600)),F600="Mini Project"),10,
OR(ISNUMBER(SEARCH("Data Science",F600)),ISNUMBER(SEARCH("DS",F600))),11,
ISNUMBER(SEARCH("Generative AI",F600)),12
=_xlfn.IFS(
OR(F600="Selenium (Hands-on)",F600="Guest Lecture: HR Interview"),6,
OR(F600="Soft Skill",F600="Soft Skill (Examination)",F600="AWS Training",F600="AWS Session"),7,
OR(ISNUMBER(SEARCH("MAD",F600)),ISNUMBER(SEARCH("STQA",F600)),F600="CI/CD Session"),8,
OR(ISNUMBER(SEARCH("Cloud",F600)),F600="Industry Readiness Program",ISNUMBER(SEARCH("Talenlio",F600))),9,
OR(ISNUMBER(SEARCH("Innovation",F600)),F600="Mini Project"),10,
OR(ISNUMBER(SEARCH("Data Science",F600)),ISNUMBER(SEARCH("DS",F600))),11,
ISNUMBER(SEARCH("Generative AI",F600)),12
))))</f>
        <v>8</v>
      </c>
      <c r="X600" s="3">
        <v>10</v>
      </c>
      <c r="Y600" s="3">
        <v>66</v>
      </c>
      <c r="Z600" s="3" t="s">
        <v>35</v>
      </c>
    </row>
    <row r="601" spans="1:26" x14ac:dyDescent="0.3">
      <c r="A601" s="2">
        <v>46253</v>
      </c>
      <c r="B601" s="3" t="s">
        <v>44</v>
      </c>
      <c r="C601" s="3">
        <v>2</v>
      </c>
      <c r="D601" s="4">
        <v>0.38541666666666702</v>
      </c>
      <c r="E601" s="4">
        <v>0.42708333333333298</v>
      </c>
      <c r="F601" s="3" t="s">
        <v>50</v>
      </c>
      <c r="G601" s="3" t="s">
        <v>51</v>
      </c>
      <c r="H601" s="3" t="s">
        <v>29</v>
      </c>
      <c r="I601" s="3" t="s">
        <v>30</v>
      </c>
      <c r="J601" s="3" t="s">
        <v>84</v>
      </c>
      <c r="K601" s="3" t="s">
        <v>52</v>
      </c>
      <c r="L601" s="5">
        <v>102</v>
      </c>
      <c r="M601" s="5">
        <f t="shared" ca="1" si="45"/>
        <v>41</v>
      </c>
      <c r="N601" s="6">
        <f t="shared" ca="1" si="46"/>
        <v>40.196078431372548</v>
      </c>
      <c r="O601" s="3" cm="1">
        <f t="array" aca="1" ref="O601" ca="1">IFERROR(LOOKUP(2, 1/((F$1:F600=F601)*(J$1:J600=J601)*(ROW(F$1:F600)&lt;ROW(F601))), N$1:N600), "")</f>
        <v>100.98039215686273</v>
      </c>
      <c r="P601" s="3">
        <f t="shared" si="49"/>
        <v>0</v>
      </c>
      <c r="Q601" s="3" t="s">
        <v>43</v>
      </c>
      <c r="R601" s="3" t="s">
        <v>40</v>
      </c>
      <c r="S601" s="3" t="str">
        <f t="shared" si="47"/>
        <v>No</v>
      </c>
      <c r="T601" s="3" t="s">
        <v>40</v>
      </c>
      <c r="U601" s="3" t="str">
        <f t="shared" si="48"/>
        <v>Rainy</v>
      </c>
      <c r="V601" s="3" t="s">
        <v>40</v>
      </c>
      <c r="W601" s="3" cm="1">
        <f t="array" ref="W601">_xlfn.IFS(
OR(F601="Selenium (Hands-on)",F601="Guest Lecture: HR Interview"),6,
OR(F601="Soft Skill",F601="Soft Skill (Examination)",F601="AWS Training",F601="AWS Session"),7,
OR(ISNUMBER(SEARCH("MAD",F601)),ISNUMBER(SEARCH("STQA",F601)),F601="CI/CD Session"),8,
OR(ISNUMBER(SEARCH("Cloud",F601)),F601="Industry Readiness Program",ISNUMBER(SEARCH("Talenlio",F601))),9,
OR(ISNUMBER(SEARCH("Innovation",F601)),F601="Mini Project"),10,
OR(ISNUMBER(SEARCH("Data Science",F601)),ISNUMBER(SEARCH("DS",F601))),11,
ISNUMBER(SEARCH("Generative AI",F601)),12
=_xlfn.IFS(
OR(F601="Selenium (Hands-on)",F601="Guest Lecture: HR Interview"),6,
OR(F601="Soft Skill",F601="Soft Skill (Examination)",F601="AWS Training",F601="AWS Session"),7,
OR(ISNUMBER(SEARCH("MAD",F601)),ISNUMBER(SEARCH("STQA",F601)),F601="CI/CD Session"),8,
OR(ISNUMBER(SEARCH("Cloud",F601)),F601="Industry Readiness Program",ISNUMBER(SEARCH("Talenlio",F601))),9,
OR(ISNUMBER(SEARCH("Innovation",F601)),F601="Mini Project"),10,
OR(ISNUMBER(SEARCH("Data Science",F601)),ISNUMBER(SEARCH("DS",F601))),11,
ISNUMBER(SEARCH("Generative AI",F601)),12
=_xlfn.IFS(
OR(F601="Selenium (Hands-on)",F601="Guest Lecture: HR Interview"),6,
OR(F601="Soft Skill",F601="Soft Skill (Examination)",F601="AWS Training",F601="AWS Session"),7,
OR(ISNUMBER(SEARCH("MAD",F601)),ISNUMBER(SEARCH("STQA",F601)),F601="CI/CD Session"),8,
OR(ISNUMBER(SEARCH("Cloud",F601)),F601="Industry Readiness Program",ISNUMBER(SEARCH("Talenlio",F601))),9,
OR(ISNUMBER(SEARCH("Innovation",F601)),F601="Mini Project"),10,
OR(ISNUMBER(SEARCH("Data Science",F601)),ISNUMBER(SEARCH("DS",F601))),11,
ISNUMBER(SEARCH("Generative AI",F601)),12
=_xlfn.IFS(
OR(F601="Selenium (Hands-on)",F601="Guest Lecture: HR Interview"),6,
OR(F601="Soft Skill",F601="Soft Skill (Examination)",F601="AWS Training",F601="AWS Session"),7,
OR(ISNUMBER(SEARCH("MAD",F601)),ISNUMBER(SEARCH("STQA",F601)),F601="CI/CD Session"),8,
OR(ISNUMBER(SEARCH("Cloud",F601)),F601="Industry Readiness Program",ISNUMBER(SEARCH("Talenlio",F601))),9,
OR(ISNUMBER(SEARCH("Innovation",F601)),F601="Mini Project"),10,
OR(ISNUMBER(SEARCH("Data Science",F601)),ISNUMBER(SEARCH("DS",F601))),11,
ISNUMBER(SEARCH("Generative AI",F601)),12
))))</f>
        <v>8</v>
      </c>
      <c r="X601" s="3">
        <v>10</v>
      </c>
      <c r="Y601" s="3">
        <v>66</v>
      </c>
      <c r="Z601" s="3" t="s">
        <v>35</v>
      </c>
    </row>
    <row r="602" spans="1:26" x14ac:dyDescent="0.3">
      <c r="A602" s="2">
        <v>46253</v>
      </c>
      <c r="B602" s="3" t="s">
        <v>44</v>
      </c>
      <c r="C602" s="3">
        <v>3</v>
      </c>
      <c r="D602" s="4">
        <v>0.42708333333333298</v>
      </c>
      <c r="E602" s="4">
        <v>0.46875</v>
      </c>
      <c r="F602" s="3" t="s">
        <v>62</v>
      </c>
      <c r="G602" s="3" t="s">
        <v>77</v>
      </c>
      <c r="H602" s="3" t="s">
        <v>29</v>
      </c>
      <c r="I602" s="3" t="s">
        <v>30</v>
      </c>
      <c r="J602" s="3" t="s">
        <v>84</v>
      </c>
      <c r="K602" s="3" t="s">
        <v>52</v>
      </c>
      <c r="L602" s="5">
        <v>102</v>
      </c>
      <c r="M602" s="5">
        <f t="shared" ca="1" si="45"/>
        <v>68</v>
      </c>
      <c r="N602" s="6">
        <f t="shared" ca="1" si="46"/>
        <v>66.666666666666657</v>
      </c>
      <c r="O602" s="3" cm="1">
        <f t="array" aca="1" ref="O602" ca="1">IFERROR(LOOKUP(2, 1/((F$1:F601=F602)*(J$1:J601=J602)*(ROW(F$1:F601)&lt;ROW(F602))), N$1:N601), "")</f>
        <v>99.019607843137265</v>
      </c>
      <c r="P602" s="3">
        <f t="shared" si="49"/>
        <v>0</v>
      </c>
      <c r="Q602" s="3" t="s">
        <v>33</v>
      </c>
      <c r="R602" s="3" t="s">
        <v>40</v>
      </c>
      <c r="S602" s="3" t="str">
        <f t="shared" si="47"/>
        <v>No</v>
      </c>
      <c r="T602" s="3" t="s">
        <v>40</v>
      </c>
      <c r="U602" s="3" t="str">
        <f t="shared" si="48"/>
        <v>Rainy</v>
      </c>
      <c r="V602" s="3" t="s">
        <v>40</v>
      </c>
      <c r="W602" s="3">
        <v>7</v>
      </c>
      <c r="X602" s="3">
        <v>10</v>
      </c>
      <c r="Y602" s="3">
        <v>66</v>
      </c>
      <c r="Z602" s="3" t="s">
        <v>35</v>
      </c>
    </row>
    <row r="603" spans="1:26" x14ac:dyDescent="0.3">
      <c r="A603" s="2">
        <v>46253</v>
      </c>
      <c r="B603" s="3" t="s">
        <v>44</v>
      </c>
      <c r="C603" s="3">
        <v>4</v>
      </c>
      <c r="D603" s="4">
        <v>0.46875</v>
      </c>
      <c r="E603" s="4">
        <v>0.51041666666666696</v>
      </c>
      <c r="F603" s="3" t="s">
        <v>57</v>
      </c>
      <c r="G603" s="3" t="s">
        <v>71</v>
      </c>
      <c r="H603" s="3" t="s">
        <v>29</v>
      </c>
      <c r="I603" s="3" t="s">
        <v>30</v>
      </c>
      <c r="J603" s="3" t="s">
        <v>84</v>
      </c>
      <c r="K603" s="3" t="s">
        <v>52</v>
      </c>
      <c r="L603" s="5">
        <v>102</v>
      </c>
      <c r="M603" s="5">
        <f t="shared" ca="1" si="45"/>
        <v>93</v>
      </c>
      <c r="N603" s="6">
        <f t="shared" ca="1" si="46"/>
        <v>91.17647058823529</v>
      </c>
      <c r="O603" s="3" cm="1">
        <f t="array" aca="1" ref="O603" ca="1">IFERROR(LOOKUP(2, 1/((F$1:F602=F603)*(J$1:J602=J603)*(ROW(F$1:F602)&lt;ROW(F603))), N$1:N602), "")</f>
        <v>45.098039215686278</v>
      </c>
      <c r="P603" s="3">
        <f t="shared" si="49"/>
        <v>0</v>
      </c>
      <c r="Q603" s="3" t="s">
        <v>33</v>
      </c>
      <c r="R603" s="3" t="s">
        <v>40</v>
      </c>
      <c r="S603" s="3" t="str">
        <f t="shared" si="47"/>
        <v>No</v>
      </c>
      <c r="T603" s="3" t="s">
        <v>40</v>
      </c>
      <c r="U603" s="3" t="str">
        <f t="shared" si="48"/>
        <v>Rainy</v>
      </c>
      <c r="V603" s="3" t="s">
        <v>40</v>
      </c>
      <c r="W603" s="3" cm="1">
        <f t="array" ref="W603">_xlfn.IFS(
OR(F603="Selenium (Hands-on)",F603="Guest Lecture: HR Interview"),6,
OR(F603="Soft Skill",F603="Soft Skill (Examination)",F603="AWS Training",F603="AWS Session"),7,
OR(ISNUMBER(SEARCH("MAD",F603)),ISNUMBER(SEARCH("STQA",F603)),F603="CI/CD Session"),8,
OR(ISNUMBER(SEARCH("Cloud",F603)),F603="Industry Readiness Program",ISNUMBER(SEARCH("Talenlio",F603))),9,
OR(ISNUMBER(SEARCH("Innovation",F603)),F603="Mini Project"),10,
OR(ISNUMBER(SEARCH("Data Science",F603)),ISNUMBER(SEARCH("DS",F603))),11,
ISNUMBER(SEARCH("Generative AI",F603)),12
=_xlfn.IFS(
OR(F603="Selenium (Hands-on)",F603="Guest Lecture: HR Interview"),6,
OR(F603="Soft Skill",F603="Soft Skill (Examination)",F603="AWS Training",F603="AWS Session"),7,
OR(ISNUMBER(SEARCH("MAD",F603)),ISNUMBER(SEARCH("STQA",F603)),F603="CI/CD Session"),8,
OR(ISNUMBER(SEARCH("Cloud",F603)),F603="Industry Readiness Program",ISNUMBER(SEARCH("Talenlio",F603))),9,
OR(ISNUMBER(SEARCH("Innovation",F603)),F603="Mini Project"),10,
OR(ISNUMBER(SEARCH("Data Science",F603)),ISNUMBER(SEARCH("DS",F603))),11,
ISNUMBER(SEARCH("Generative AI",F603)),12
=_xlfn.IFS(
OR(F603="Selenium (Hands-on)",F603="Guest Lecture: HR Interview"),6,
OR(F603="Soft Skill",F603="Soft Skill (Examination)",F603="AWS Training",F603="AWS Session"),7,
OR(ISNUMBER(SEARCH("MAD",F603)),ISNUMBER(SEARCH("STQA",F603)),F603="CI/CD Session"),8,
OR(ISNUMBER(SEARCH("Cloud",F603)),F603="Industry Readiness Program",ISNUMBER(SEARCH("Talenlio",F603))),9,
OR(ISNUMBER(SEARCH("Innovation",F603)),F603="Mini Project"),10,
OR(ISNUMBER(SEARCH("Data Science",F603)),ISNUMBER(SEARCH("DS",F603))),11,
ISNUMBER(SEARCH("Generative AI",F603)),12
=_xlfn.IFS(
OR(F603="Selenium (Hands-on)",F603="Guest Lecture: HR Interview"),6,
OR(F603="Soft Skill",F603="Soft Skill (Examination)",F603="AWS Training",F603="AWS Session"),7,
OR(ISNUMBER(SEARCH("MAD",F603)),ISNUMBER(SEARCH("STQA",F603)),F603="CI/CD Session"),8,
OR(ISNUMBER(SEARCH("Cloud",F603)),F603="Industry Readiness Program",ISNUMBER(SEARCH("Talenlio",F603))),9,
OR(ISNUMBER(SEARCH("Innovation",F603)),F603="Mini Project"),10,
OR(ISNUMBER(SEARCH("Data Science",F603)),ISNUMBER(SEARCH("DS",F603))),11,
ISNUMBER(SEARCH("Generative AI",F603)),12
))))</f>
        <v>9</v>
      </c>
      <c r="X603" s="3">
        <v>10</v>
      </c>
      <c r="Y603" s="3">
        <v>66</v>
      </c>
      <c r="Z603" s="3" t="s">
        <v>35</v>
      </c>
    </row>
    <row r="604" spans="1:26" x14ac:dyDescent="0.3">
      <c r="A604" s="2">
        <v>46253</v>
      </c>
      <c r="B604" s="3" t="s">
        <v>44</v>
      </c>
      <c r="C604" s="3">
        <v>5</v>
      </c>
      <c r="D604" s="4">
        <v>0.5625</v>
      </c>
      <c r="E604" s="4">
        <v>0.60416666666666696</v>
      </c>
      <c r="F604" s="3" t="s">
        <v>81</v>
      </c>
      <c r="G604" s="3" t="s">
        <v>289</v>
      </c>
      <c r="H604" s="3" t="s">
        <v>29</v>
      </c>
      <c r="I604" s="3" t="s">
        <v>30</v>
      </c>
      <c r="J604" s="3" t="s">
        <v>84</v>
      </c>
      <c r="K604" s="3" t="s">
        <v>52</v>
      </c>
      <c r="L604" s="5">
        <v>102</v>
      </c>
      <c r="M604" s="5">
        <f t="shared" ca="1" si="45"/>
        <v>53</v>
      </c>
      <c r="N604" s="6">
        <f t="shared" ca="1" si="46"/>
        <v>51.960784313725497</v>
      </c>
      <c r="O604" s="3" cm="1">
        <f t="array" aca="1" ref="O604" ca="1">IFERROR(LOOKUP(2, 1/((F$1:F603=F604)*(J$1:J603=J604)*(ROW(F$1:F603)&lt;ROW(F604))), N$1:N603), "")</f>
        <v>50</v>
      </c>
      <c r="P604" s="3">
        <f t="shared" si="49"/>
        <v>1.25</v>
      </c>
      <c r="Q604" s="3" t="s">
        <v>43</v>
      </c>
      <c r="R604" s="3" t="s">
        <v>40</v>
      </c>
      <c r="S604" s="3" t="str">
        <f t="shared" si="47"/>
        <v>No</v>
      </c>
      <c r="T604" s="3" t="s">
        <v>40</v>
      </c>
      <c r="U604" s="3" t="str">
        <f t="shared" si="48"/>
        <v>Rainy</v>
      </c>
      <c r="V604" s="3" t="s">
        <v>40</v>
      </c>
      <c r="W604" s="3" cm="1">
        <f t="array" ref="W604">_xlfn.IFS(
OR(F604="Selenium (Hands-on)",F604="Guest Lecture: HR Interview"),6,
OR(F604="Soft Skill",F604="Soft Skill (Examination)",F604="AWS Training",F604="AWS Session"),7,
OR(ISNUMBER(SEARCH("MAD",F604)),ISNUMBER(SEARCH("STQA",F604)),F604="CI/CD Session"),8,
OR(ISNUMBER(SEARCH("Cloud",F604)),F604="Industry Readiness Program",ISNUMBER(SEARCH("Talenlio",F604))),9,
OR(ISNUMBER(SEARCH("Innovation",F604)),F604="Mini Project"),10,
OR(ISNUMBER(SEARCH("Data Science",F604)),ISNUMBER(SEARCH("DS",F604))),11,
ISNUMBER(SEARCH("Generative AI",F604)),12
=_xlfn.IFS(
OR(F604="Selenium (Hands-on)",F604="Guest Lecture: HR Interview"),6,
OR(F604="Soft Skill",F604="Soft Skill (Examination)",F604="AWS Training",F604="AWS Session"),7,
OR(ISNUMBER(SEARCH("MAD",F604)),ISNUMBER(SEARCH("STQA",F604)),F604="CI/CD Session"),8,
OR(ISNUMBER(SEARCH("Cloud",F604)),F604="Industry Readiness Program",ISNUMBER(SEARCH("Talenlio",F604))),9,
OR(ISNUMBER(SEARCH("Innovation",F604)),F604="Mini Project"),10,
OR(ISNUMBER(SEARCH("Data Science",F604)),ISNUMBER(SEARCH("DS",F604))),11,
ISNUMBER(SEARCH("Generative AI",F604)),12
=_xlfn.IFS(
OR(F604="Selenium (Hands-on)",F604="Guest Lecture: HR Interview"),6,
OR(F604="Soft Skill",F604="Soft Skill (Examination)",F604="AWS Training",F604="AWS Session"),7,
OR(ISNUMBER(SEARCH("MAD",F604)),ISNUMBER(SEARCH("STQA",F604)),F604="CI/CD Session"),8,
OR(ISNUMBER(SEARCH("Cloud",F604)),F604="Industry Readiness Program",ISNUMBER(SEARCH("Talenlio",F604))),9,
OR(ISNUMBER(SEARCH("Innovation",F604)),F604="Mini Project"),10,
OR(ISNUMBER(SEARCH("Data Science",F604)),ISNUMBER(SEARCH("DS",F604))),11,
ISNUMBER(SEARCH("Generative AI",F604)),12
=_xlfn.IFS(
OR(F604="Selenium (Hands-on)",F604="Guest Lecture: HR Interview"),6,
OR(F604="Soft Skill",F604="Soft Skill (Examination)",F604="AWS Training",F604="AWS Session"),7,
OR(ISNUMBER(SEARCH("MAD",F604)),ISNUMBER(SEARCH("STQA",F604)),F604="CI/CD Session"),8,
OR(ISNUMBER(SEARCH("Cloud",F604)),F604="Industry Readiness Program",ISNUMBER(SEARCH("Talenlio",F604))),9,
OR(ISNUMBER(SEARCH("Innovation",F604)),F604="Mini Project"),10,
OR(ISNUMBER(SEARCH("Data Science",F604)),ISNUMBER(SEARCH("DS",F604))),11,
ISNUMBER(SEARCH("Generative AI",F604)),12
))))</f>
        <v>7</v>
      </c>
      <c r="X604" s="3">
        <v>10</v>
      </c>
      <c r="Y604" s="3">
        <v>66</v>
      </c>
      <c r="Z604" s="3" t="s">
        <v>38</v>
      </c>
    </row>
    <row r="605" spans="1:26" x14ac:dyDescent="0.3">
      <c r="A605" s="2">
        <v>46253</v>
      </c>
      <c r="B605" s="3" t="s">
        <v>44</v>
      </c>
      <c r="C605" s="3">
        <v>6</v>
      </c>
      <c r="D605" s="4">
        <v>0.60416666666666696</v>
      </c>
      <c r="E605" s="4">
        <v>0.64583333333333304</v>
      </c>
      <c r="F605" s="3" t="s">
        <v>81</v>
      </c>
      <c r="G605" s="3" t="s">
        <v>289</v>
      </c>
      <c r="H605" s="3" t="s">
        <v>29</v>
      </c>
      <c r="I605" s="3" t="s">
        <v>30</v>
      </c>
      <c r="J605" s="3" t="s">
        <v>84</v>
      </c>
      <c r="K605" s="3" t="s">
        <v>52</v>
      </c>
      <c r="L605" s="5">
        <v>102</v>
      </c>
      <c r="M605" s="5">
        <f t="shared" ca="1" si="45"/>
        <v>74</v>
      </c>
      <c r="N605" s="6">
        <f t="shared" ca="1" si="46"/>
        <v>72.549019607843135</v>
      </c>
      <c r="O605" s="3" cm="1">
        <f t="array" aca="1" ref="O605" ca="1">IFERROR(LOOKUP(2, 1/((F$1:F604=F605)*(J$1:J604=J605)*(ROW(F$1:F604)&lt;ROW(F605))), N$1:N604), "")</f>
        <v>51.960784313725497</v>
      </c>
      <c r="P605" s="3">
        <f t="shared" si="49"/>
        <v>0</v>
      </c>
      <c r="Q605" s="3" t="s">
        <v>43</v>
      </c>
      <c r="R605" s="3" t="s">
        <v>40</v>
      </c>
      <c r="S605" s="3" t="str">
        <f t="shared" si="47"/>
        <v>No</v>
      </c>
      <c r="T605" s="3" t="s">
        <v>40</v>
      </c>
      <c r="U605" s="3" t="str">
        <f t="shared" si="48"/>
        <v>Rainy</v>
      </c>
      <c r="V605" s="3" t="s">
        <v>40</v>
      </c>
      <c r="W605" s="3" cm="1">
        <f t="array" ref="W605">_xlfn.IFS(
OR(F605="Selenium (Hands-on)",F605="Guest Lecture: HR Interview"),6,
OR(F605="Soft Skill",F605="Soft Skill (Examination)",F605="AWS Training",F605="AWS Session"),7,
OR(ISNUMBER(SEARCH("MAD",F605)),ISNUMBER(SEARCH("STQA",F605)),F605="CI/CD Session"),8,
OR(ISNUMBER(SEARCH("Cloud",F605)),F605="Industry Readiness Program",ISNUMBER(SEARCH("Talenlio",F605))),9,
OR(ISNUMBER(SEARCH("Innovation",F605)),F605="Mini Project"),10,
OR(ISNUMBER(SEARCH("Data Science",F605)),ISNUMBER(SEARCH("DS",F605))),11,
ISNUMBER(SEARCH("Generative AI",F605)),12
=_xlfn.IFS(
OR(F605="Selenium (Hands-on)",F605="Guest Lecture: HR Interview"),6,
OR(F605="Soft Skill",F605="Soft Skill (Examination)",F605="AWS Training",F605="AWS Session"),7,
OR(ISNUMBER(SEARCH("MAD",F605)),ISNUMBER(SEARCH("STQA",F605)),F605="CI/CD Session"),8,
OR(ISNUMBER(SEARCH("Cloud",F605)),F605="Industry Readiness Program",ISNUMBER(SEARCH("Talenlio",F605))),9,
OR(ISNUMBER(SEARCH("Innovation",F605)),F605="Mini Project"),10,
OR(ISNUMBER(SEARCH("Data Science",F605)),ISNUMBER(SEARCH("DS",F605))),11,
ISNUMBER(SEARCH("Generative AI",F605)),12
=_xlfn.IFS(
OR(F605="Selenium (Hands-on)",F605="Guest Lecture: HR Interview"),6,
OR(F605="Soft Skill",F605="Soft Skill (Examination)",F605="AWS Training",F605="AWS Session"),7,
OR(ISNUMBER(SEARCH("MAD",F605)),ISNUMBER(SEARCH("STQA",F605)),F605="CI/CD Session"),8,
OR(ISNUMBER(SEARCH("Cloud",F605)),F605="Industry Readiness Program",ISNUMBER(SEARCH("Talenlio",F605))),9,
OR(ISNUMBER(SEARCH("Innovation",F605)),F605="Mini Project"),10,
OR(ISNUMBER(SEARCH("Data Science",F605)),ISNUMBER(SEARCH("DS",F605))),11,
ISNUMBER(SEARCH("Generative AI",F605)),12
=_xlfn.IFS(
OR(F605="Selenium (Hands-on)",F605="Guest Lecture: HR Interview"),6,
OR(F605="Soft Skill",F605="Soft Skill (Examination)",F605="AWS Training",F605="AWS Session"),7,
OR(ISNUMBER(SEARCH("MAD",F605)),ISNUMBER(SEARCH("STQA",F605)),F605="CI/CD Session"),8,
OR(ISNUMBER(SEARCH("Cloud",F605)),F605="Industry Readiness Program",ISNUMBER(SEARCH("Talenlio",F605))),9,
OR(ISNUMBER(SEARCH("Innovation",F605)),F605="Mini Project"),10,
OR(ISNUMBER(SEARCH("Data Science",F605)),ISNUMBER(SEARCH("DS",F605))),11,
ISNUMBER(SEARCH("Generative AI",F605)),12
))))</f>
        <v>7</v>
      </c>
      <c r="X605" s="3">
        <v>10</v>
      </c>
      <c r="Y605" s="3">
        <v>66</v>
      </c>
      <c r="Z605" s="3" t="s">
        <v>38</v>
      </c>
    </row>
    <row r="606" spans="1:26" x14ac:dyDescent="0.3">
      <c r="A606" s="2">
        <v>46253</v>
      </c>
      <c r="B606" s="3" t="s">
        <v>44</v>
      </c>
      <c r="C606" s="3">
        <v>7</v>
      </c>
      <c r="D606" s="4">
        <v>0.64583333333333304</v>
      </c>
      <c r="E606" s="4">
        <v>0.6875</v>
      </c>
      <c r="F606" s="3" t="s">
        <v>81</v>
      </c>
      <c r="G606" s="3" t="s">
        <v>289</v>
      </c>
      <c r="H606" s="3" t="s">
        <v>29</v>
      </c>
      <c r="I606" s="3" t="s">
        <v>30</v>
      </c>
      <c r="J606" s="3" t="s">
        <v>84</v>
      </c>
      <c r="K606" s="3" t="s">
        <v>52</v>
      </c>
      <c r="L606" s="5">
        <v>102</v>
      </c>
      <c r="M606" s="5">
        <f t="shared" ca="1" si="45"/>
        <v>102</v>
      </c>
      <c r="N606" s="6">
        <f t="shared" ca="1" si="46"/>
        <v>100</v>
      </c>
      <c r="O606" s="3" cm="1">
        <f t="array" aca="1" ref="O606" ca="1">IFERROR(LOOKUP(2, 1/((F$1:F605=F606)*(J$1:J605=J606)*(ROW(F$1:F605)&lt;ROW(F606))), N$1:N605), "")</f>
        <v>72.549019607843135</v>
      </c>
      <c r="P606" s="3">
        <f t="shared" si="49"/>
        <v>0</v>
      </c>
      <c r="Q606" s="3" t="s">
        <v>43</v>
      </c>
      <c r="R606" s="3" t="s">
        <v>40</v>
      </c>
      <c r="S606" s="3" t="str">
        <f t="shared" si="47"/>
        <v>No</v>
      </c>
      <c r="T606" s="3" t="s">
        <v>40</v>
      </c>
      <c r="U606" s="3" t="str">
        <f t="shared" si="48"/>
        <v>Rainy</v>
      </c>
      <c r="V606" s="3" t="s">
        <v>40</v>
      </c>
      <c r="W606" s="3" cm="1">
        <f t="array" ref="W606">_xlfn.IFS(
OR(F606="Selenium (Hands-on)",F606="Guest Lecture: HR Interview"),6,
OR(F606="Soft Skill",F606="Soft Skill (Examination)",F606="AWS Training",F606="AWS Session"),7,
OR(ISNUMBER(SEARCH("MAD",F606)),ISNUMBER(SEARCH("STQA",F606)),F606="CI/CD Session"),8,
OR(ISNUMBER(SEARCH("Cloud",F606)),F606="Industry Readiness Program",ISNUMBER(SEARCH("Talenlio",F606))),9,
OR(ISNUMBER(SEARCH("Innovation",F606)),F606="Mini Project"),10,
OR(ISNUMBER(SEARCH("Data Science",F606)),ISNUMBER(SEARCH("DS",F606))),11,
ISNUMBER(SEARCH("Generative AI",F606)),12
=_xlfn.IFS(
OR(F606="Selenium (Hands-on)",F606="Guest Lecture: HR Interview"),6,
OR(F606="Soft Skill",F606="Soft Skill (Examination)",F606="AWS Training",F606="AWS Session"),7,
OR(ISNUMBER(SEARCH("MAD",F606)),ISNUMBER(SEARCH("STQA",F606)),F606="CI/CD Session"),8,
OR(ISNUMBER(SEARCH("Cloud",F606)),F606="Industry Readiness Program",ISNUMBER(SEARCH("Talenlio",F606))),9,
OR(ISNUMBER(SEARCH("Innovation",F606)),F606="Mini Project"),10,
OR(ISNUMBER(SEARCH("Data Science",F606)),ISNUMBER(SEARCH("DS",F606))),11,
ISNUMBER(SEARCH("Generative AI",F606)),12
=_xlfn.IFS(
OR(F606="Selenium (Hands-on)",F606="Guest Lecture: HR Interview"),6,
OR(F606="Soft Skill",F606="Soft Skill (Examination)",F606="AWS Training",F606="AWS Session"),7,
OR(ISNUMBER(SEARCH("MAD",F606)),ISNUMBER(SEARCH("STQA",F606)),F606="CI/CD Session"),8,
OR(ISNUMBER(SEARCH("Cloud",F606)),F606="Industry Readiness Program",ISNUMBER(SEARCH("Talenlio",F606))),9,
OR(ISNUMBER(SEARCH("Innovation",F606)),F606="Mini Project"),10,
OR(ISNUMBER(SEARCH("Data Science",F606)),ISNUMBER(SEARCH("DS",F606))),11,
ISNUMBER(SEARCH("Generative AI",F606)),12
=_xlfn.IFS(
OR(F606="Selenium (Hands-on)",F606="Guest Lecture: HR Interview"),6,
OR(F606="Soft Skill",F606="Soft Skill (Examination)",F606="AWS Training",F606="AWS Session"),7,
OR(ISNUMBER(SEARCH("MAD",F606)),ISNUMBER(SEARCH("STQA",F606)),F606="CI/CD Session"),8,
OR(ISNUMBER(SEARCH("Cloud",F606)),F606="Industry Readiness Program",ISNUMBER(SEARCH("Talenlio",F606))),9,
OR(ISNUMBER(SEARCH("Innovation",F606)),F606="Mini Project"),10,
OR(ISNUMBER(SEARCH("Data Science",F606)),ISNUMBER(SEARCH("DS",F606))),11,
ISNUMBER(SEARCH("Generative AI",F606)),12
))))</f>
        <v>7</v>
      </c>
      <c r="X606" s="3">
        <v>10</v>
      </c>
      <c r="Y606" s="3">
        <v>66</v>
      </c>
      <c r="Z606" s="3" t="s">
        <v>38</v>
      </c>
    </row>
    <row r="607" spans="1:26" x14ac:dyDescent="0.3">
      <c r="A607" s="2">
        <v>46254</v>
      </c>
      <c r="B607" s="3" t="s">
        <v>45</v>
      </c>
      <c r="C607" s="3">
        <v>1</v>
      </c>
      <c r="D607" s="4">
        <v>0.35416666666666702</v>
      </c>
      <c r="E607" s="4">
        <v>0.38541666666666702</v>
      </c>
      <c r="F607" s="3" t="s">
        <v>50</v>
      </c>
      <c r="G607" s="3" t="s">
        <v>51</v>
      </c>
      <c r="H607" s="3" t="s">
        <v>29</v>
      </c>
      <c r="I607" s="3" t="s">
        <v>30</v>
      </c>
      <c r="J607" s="3" t="s">
        <v>84</v>
      </c>
      <c r="K607" s="3" t="s">
        <v>52</v>
      </c>
      <c r="L607" s="5">
        <v>102</v>
      </c>
      <c r="M607" s="5">
        <f t="shared" ca="1" si="45"/>
        <v>101</v>
      </c>
      <c r="N607" s="6">
        <f t="shared" ca="1" si="46"/>
        <v>99.019607843137265</v>
      </c>
      <c r="O607" s="3" cm="1">
        <f t="array" aca="1" ref="O607" ca="1">IFERROR(LOOKUP(2, 1/((F$1:F606=F607)*(J$1:J606=J607)*(ROW(F$1:F606)&lt;ROW(F607))), N$1:N606), "")</f>
        <v>40.196078431372548</v>
      </c>
      <c r="P607" s="3">
        <f t="shared" si="49"/>
        <v>0</v>
      </c>
      <c r="Q607" s="3" t="s">
        <v>43</v>
      </c>
      <c r="R607" s="3" t="s">
        <v>40</v>
      </c>
      <c r="S607" s="3" t="str">
        <f t="shared" si="47"/>
        <v>No</v>
      </c>
      <c r="T607" s="3" t="s">
        <v>40</v>
      </c>
      <c r="U607" s="3" t="str">
        <f t="shared" si="48"/>
        <v>Rainy</v>
      </c>
      <c r="V607" s="3" t="s">
        <v>40</v>
      </c>
      <c r="W607" s="3" cm="1">
        <f t="array" ref="W607">_xlfn.IFS(
OR(F607="Selenium (Hands-on)",F607="Guest Lecture: HR Interview"),6,
OR(F607="Soft Skill",F607="Soft Skill (Examination)",F607="AWS Training",F607="AWS Session"),7,
OR(ISNUMBER(SEARCH("MAD",F607)),ISNUMBER(SEARCH("STQA",F607)),F607="CI/CD Session"),8,
OR(ISNUMBER(SEARCH("Cloud",F607)),F607="Industry Readiness Program",ISNUMBER(SEARCH("Talenlio",F607))),9,
OR(ISNUMBER(SEARCH("Innovation",F607)),F607="Mini Project"),10,
OR(ISNUMBER(SEARCH("Data Science",F607)),ISNUMBER(SEARCH("DS",F607))),11,
ISNUMBER(SEARCH("Generative AI",F607)),12
=_xlfn.IFS(
OR(F607="Selenium (Hands-on)",F607="Guest Lecture: HR Interview"),6,
OR(F607="Soft Skill",F607="Soft Skill (Examination)",F607="AWS Training",F607="AWS Session"),7,
OR(ISNUMBER(SEARCH("MAD",F607)),ISNUMBER(SEARCH("STQA",F607)),F607="CI/CD Session"),8,
OR(ISNUMBER(SEARCH("Cloud",F607)),F607="Industry Readiness Program",ISNUMBER(SEARCH("Talenlio",F607))),9,
OR(ISNUMBER(SEARCH("Innovation",F607)),F607="Mini Project"),10,
OR(ISNUMBER(SEARCH("Data Science",F607)),ISNUMBER(SEARCH("DS",F607))),11,
ISNUMBER(SEARCH("Generative AI",F607)),12
=_xlfn.IFS(
OR(F607="Selenium (Hands-on)",F607="Guest Lecture: HR Interview"),6,
OR(F607="Soft Skill",F607="Soft Skill (Examination)",F607="AWS Training",F607="AWS Session"),7,
OR(ISNUMBER(SEARCH("MAD",F607)),ISNUMBER(SEARCH("STQA",F607)),F607="CI/CD Session"),8,
OR(ISNUMBER(SEARCH("Cloud",F607)),F607="Industry Readiness Program",ISNUMBER(SEARCH("Talenlio",F607))),9,
OR(ISNUMBER(SEARCH("Innovation",F607)),F607="Mini Project"),10,
OR(ISNUMBER(SEARCH("Data Science",F607)),ISNUMBER(SEARCH("DS",F607))),11,
ISNUMBER(SEARCH("Generative AI",F607)),12
=_xlfn.IFS(
OR(F607="Selenium (Hands-on)",F607="Guest Lecture: HR Interview"),6,
OR(F607="Soft Skill",F607="Soft Skill (Examination)",F607="AWS Training",F607="AWS Session"),7,
OR(ISNUMBER(SEARCH("MAD",F607)),ISNUMBER(SEARCH("STQA",F607)),F607="CI/CD Session"),8,
OR(ISNUMBER(SEARCH("Cloud",F607)),F607="Industry Readiness Program",ISNUMBER(SEARCH("Talenlio",F607))),9,
OR(ISNUMBER(SEARCH("Innovation",F607)),F607="Mini Project"),10,
OR(ISNUMBER(SEARCH("Data Science",F607)),ISNUMBER(SEARCH("DS",F607))),11,
ISNUMBER(SEARCH("Generative AI",F607)),12
))))</f>
        <v>8</v>
      </c>
      <c r="X607" s="3">
        <v>10</v>
      </c>
      <c r="Y607" s="3">
        <v>67</v>
      </c>
      <c r="Z607" s="3" t="s">
        <v>35</v>
      </c>
    </row>
    <row r="608" spans="1:26" x14ac:dyDescent="0.3">
      <c r="A608" s="2">
        <v>46254</v>
      </c>
      <c r="B608" s="3" t="s">
        <v>45</v>
      </c>
      <c r="C608" s="3">
        <v>2</v>
      </c>
      <c r="D608" s="4">
        <v>0.38541666666666702</v>
      </c>
      <c r="E608" s="4">
        <v>0.42708333333333298</v>
      </c>
      <c r="F608" s="3" t="s">
        <v>50</v>
      </c>
      <c r="G608" s="3" t="s">
        <v>51</v>
      </c>
      <c r="H608" s="3" t="s">
        <v>29</v>
      </c>
      <c r="I608" s="3" t="s">
        <v>30</v>
      </c>
      <c r="J608" s="3" t="s">
        <v>84</v>
      </c>
      <c r="K608" s="3" t="s">
        <v>52</v>
      </c>
      <c r="L608" s="5">
        <v>102</v>
      </c>
      <c r="M608" s="5">
        <f t="shared" ca="1" si="45"/>
        <v>85</v>
      </c>
      <c r="N608" s="6">
        <f t="shared" ca="1" si="46"/>
        <v>83.333333333333343</v>
      </c>
      <c r="O608" s="3" cm="1">
        <f t="array" aca="1" ref="O608" ca="1">IFERROR(LOOKUP(2, 1/((F$1:F607=F608)*(J$1:J607=J608)*(ROW(F$1:F607)&lt;ROW(F608))), N$1:N607), "")</f>
        <v>99.019607843137265</v>
      </c>
      <c r="P608" s="3">
        <f t="shared" si="49"/>
        <v>0</v>
      </c>
      <c r="Q608" s="3" t="s">
        <v>43</v>
      </c>
      <c r="R608" s="3" t="s">
        <v>40</v>
      </c>
      <c r="S608" s="3" t="str">
        <f t="shared" si="47"/>
        <v>No</v>
      </c>
      <c r="T608" s="3" t="s">
        <v>40</v>
      </c>
      <c r="U608" s="3" t="str">
        <f t="shared" si="48"/>
        <v>Rainy</v>
      </c>
      <c r="V608" s="3" t="s">
        <v>40</v>
      </c>
      <c r="W608" s="3" cm="1">
        <f t="array" ref="W608">_xlfn.IFS(
OR(F608="Selenium (Hands-on)",F608="Guest Lecture: HR Interview"),6,
OR(F608="Soft Skill",F608="Soft Skill (Examination)",F608="AWS Training",F608="AWS Session"),7,
OR(ISNUMBER(SEARCH("MAD",F608)),ISNUMBER(SEARCH("STQA",F608)),F608="CI/CD Session"),8,
OR(ISNUMBER(SEARCH("Cloud",F608)),F608="Industry Readiness Program",ISNUMBER(SEARCH("Talenlio",F608))),9,
OR(ISNUMBER(SEARCH("Innovation",F608)),F608="Mini Project"),10,
OR(ISNUMBER(SEARCH("Data Science",F608)),ISNUMBER(SEARCH("DS",F608))),11,
ISNUMBER(SEARCH("Generative AI",F608)),12
=_xlfn.IFS(
OR(F608="Selenium (Hands-on)",F608="Guest Lecture: HR Interview"),6,
OR(F608="Soft Skill",F608="Soft Skill (Examination)",F608="AWS Training",F608="AWS Session"),7,
OR(ISNUMBER(SEARCH("MAD",F608)),ISNUMBER(SEARCH("STQA",F608)),F608="CI/CD Session"),8,
OR(ISNUMBER(SEARCH("Cloud",F608)),F608="Industry Readiness Program",ISNUMBER(SEARCH("Talenlio",F608))),9,
OR(ISNUMBER(SEARCH("Innovation",F608)),F608="Mini Project"),10,
OR(ISNUMBER(SEARCH("Data Science",F608)),ISNUMBER(SEARCH("DS",F608))),11,
ISNUMBER(SEARCH("Generative AI",F608)),12
=_xlfn.IFS(
OR(F608="Selenium (Hands-on)",F608="Guest Lecture: HR Interview"),6,
OR(F608="Soft Skill",F608="Soft Skill (Examination)",F608="AWS Training",F608="AWS Session"),7,
OR(ISNUMBER(SEARCH("MAD",F608)),ISNUMBER(SEARCH("STQA",F608)),F608="CI/CD Session"),8,
OR(ISNUMBER(SEARCH("Cloud",F608)),F608="Industry Readiness Program",ISNUMBER(SEARCH("Talenlio",F608))),9,
OR(ISNUMBER(SEARCH("Innovation",F608)),F608="Mini Project"),10,
OR(ISNUMBER(SEARCH("Data Science",F608)),ISNUMBER(SEARCH("DS",F608))),11,
ISNUMBER(SEARCH("Generative AI",F608)),12
=_xlfn.IFS(
OR(F608="Selenium (Hands-on)",F608="Guest Lecture: HR Interview"),6,
OR(F608="Soft Skill",F608="Soft Skill (Examination)",F608="AWS Training",F608="AWS Session"),7,
OR(ISNUMBER(SEARCH("MAD",F608)),ISNUMBER(SEARCH("STQA",F608)),F608="CI/CD Session"),8,
OR(ISNUMBER(SEARCH("Cloud",F608)),F608="Industry Readiness Program",ISNUMBER(SEARCH("Talenlio",F608))),9,
OR(ISNUMBER(SEARCH("Innovation",F608)),F608="Mini Project"),10,
OR(ISNUMBER(SEARCH("Data Science",F608)),ISNUMBER(SEARCH("DS",F608))),11,
ISNUMBER(SEARCH("Generative AI",F608)),12
))))</f>
        <v>8</v>
      </c>
      <c r="X608" s="3">
        <v>10</v>
      </c>
      <c r="Y608" s="3">
        <v>67</v>
      </c>
      <c r="Z608" s="3" t="s">
        <v>35</v>
      </c>
    </row>
    <row r="609" spans="1:26" x14ac:dyDescent="0.3">
      <c r="A609" s="2">
        <v>46254</v>
      </c>
      <c r="B609" s="3" t="s">
        <v>45</v>
      </c>
      <c r="C609" s="3">
        <v>3</v>
      </c>
      <c r="D609" s="4">
        <v>0.42708333333333298</v>
      </c>
      <c r="E609" s="4">
        <v>0.46875</v>
      </c>
      <c r="F609" s="3" t="s">
        <v>59</v>
      </c>
      <c r="G609" s="3" t="s">
        <v>73</v>
      </c>
      <c r="H609" s="3" t="s">
        <v>29</v>
      </c>
      <c r="I609" s="3" t="s">
        <v>30</v>
      </c>
      <c r="J609" s="3" t="s">
        <v>84</v>
      </c>
      <c r="K609" s="3" t="s">
        <v>52</v>
      </c>
      <c r="L609" s="5">
        <v>102</v>
      </c>
      <c r="M609" s="5">
        <f t="shared" ca="1" si="45"/>
        <v>51</v>
      </c>
      <c r="N609" s="6">
        <f t="shared" ca="1" si="46"/>
        <v>50</v>
      </c>
      <c r="O609" s="3" cm="1">
        <f t="array" aca="1" ref="O609" ca="1">IFERROR(LOOKUP(2, 1/((F$1:F608=F609)*(J$1:J608=J609)*(ROW(F$1:F608)&lt;ROW(F609))), N$1:N608), "")</f>
        <v>92.156862745098039</v>
      </c>
      <c r="P609" s="3">
        <f t="shared" si="49"/>
        <v>0</v>
      </c>
      <c r="Q609" s="3" t="s">
        <v>33</v>
      </c>
      <c r="R609" s="3" t="s">
        <v>40</v>
      </c>
      <c r="S609" s="3" t="str">
        <f t="shared" si="47"/>
        <v>No</v>
      </c>
      <c r="T609" s="3" t="s">
        <v>40</v>
      </c>
      <c r="U609" s="3" t="str">
        <f t="shared" si="48"/>
        <v>Rainy</v>
      </c>
      <c r="V609" s="3" t="s">
        <v>40</v>
      </c>
      <c r="W609" s="3" cm="1">
        <f t="array" ref="W609">_xlfn.IFS(
OR(F609="Selenium (Hands-on)",F609="Guest Lecture: HR Interview"),6,
OR(F609="Soft Skill",F609="Soft Skill (Examination)",F609="AWS Training",F609="AWS Session"),7,
OR(ISNUMBER(SEARCH("MAD",F609)),ISNUMBER(SEARCH("STQA",F609)),F609="CI/CD Session"),8,
OR(ISNUMBER(SEARCH("Cloud",F609)),F609="Industry Readiness Program",ISNUMBER(SEARCH("Talenlio",F609))),9,
OR(ISNUMBER(SEARCH("Innovation",F609)),F609="Mini Project"),10,
OR(ISNUMBER(SEARCH("Data Science",F609)),ISNUMBER(SEARCH("DS",F609))),11,
ISNUMBER(SEARCH("Generative AI",F609)),12
=_xlfn.IFS(
OR(F609="Selenium (Hands-on)",F609="Guest Lecture: HR Interview"),6,
OR(F609="Soft Skill",F609="Soft Skill (Examination)",F609="AWS Training",F609="AWS Session"),7,
OR(ISNUMBER(SEARCH("MAD",F609)),ISNUMBER(SEARCH("STQA",F609)),F609="CI/CD Session"),8,
OR(ISNUMBER(SEARCH("Cloud",F609)),F609="Industry Readiness Program",ISNUMBER(SEARCH("Talenlio",F609))),9,
OR(ISNUMBER(SEARCH("Innovation",F609)),F609="Mini Project"),10,
OR(ISNUMBER(SEARCH("Data Science",F609)),ISNUMBER(SEARCH("DS",F609))),11,
ISNUMBER(SEARCH("Generative AI",F609)),12
=_xlfn.IFS(
OR(F609="Selenium (Hands-on)",F609="Guest Lecture: HR Interview"),6,
OR(F609="Soft Skill",F609="Soft Skill (Examination)",F609="AWS Training",F609="AWS Session"),7,
OR(ISNUMBER(SEARCH("MAD",F609)),ISNUMBER(SEARCH("STQA",F609)),F609="CI/CD Session"),8,
OR(ISNUMBER(SEARCH("Cloud",F609)),F609="Industry Readiness Program",ISNUMBER(SEARCH("Talenlio",F609))),9,
OR(ISNUMBER(SEARCH("Innovation",F609)),F609="Mini Project"),10,
OR(ISNUMBER(SEARCH("Data Science",F609)),ISNUMBER(SEARCH("DS",F609))),11,
ISNUMBER(SEARCH("Generative AI",F609)),12
=_xlfn.IFS(
OR(F609="Selenium (Hands-on)",F609="Guest Lecture: HR Interview"),6,
OR(F609="Soft Skill",F609="Soft Skill (Examination)",F609="AWS Training",F609="AWS Session"),7,
OR(ISNUMBER(SEARCH("MAD",F609)),ISNUMBER(SEARCH("STQA",F609)),F609="CI/CD Session"),8,
OR(ISNUMBER(SEARCH("Cloud",F609)),F609="Industry Readiness Program",ISNUMBER(SEARCH("Talenlio",F609))),9,
OR(ISNUMBER(SEARCH("Innovation",F609)),F609="Mini Project"),10,
OR(ISNUMBER(SEARCH("Data Science",F609)),ISNUMBER(SEARCH("DS",F609))),11,
ISNUMBER(SEARCH("Generative AI",F609)),12
))))</f>
        <v>11</v>
      </c>
      <c r="X609" s="3">
        <v>10</v>
      </c>
      <c r="Y609" s="3">
        <v>67</v>
      </c>
      <c r="Z609" s="3" t="s">
        <v>35</v>
      </c>
    </row>
    <row r="610" spans="1:26" x14ac:dyDescent="0.3">
      <c r="A610" s="2">
        <v>46254</v>
      </c>
      <c r="B610" s="3" t="s">
        <v>45</v>
      </c>
      <c r="C610" s="3">
        <v>4</v>
      </c>
      <c r="D610" s="4">
        <v>0.46875</v>
      </c>
      <c r="E610" s="4">
        <v>0.51041666666666696</v>
      </c>
      <c r="F610" s="3" t="s">
        <v>62</v>
      </c>
      <c r="G610" s="3" t="s">
        <v>77</v>
      </c>
      <c r="H610" s="3" t="s">
        <v>29</v>
      </c>
      <c r="I610" s="3" t="s">
        <v>30</v>
      </c>
      <c r="J610" s="3" t="s">
        <v>84</v>
      </c>
      <c r="K610" s="3" t="s">
        <v>52</v>
      </c>
      <c r="L610" s="5">
        <v>102</v>
      </c>
      <c r="M610" s="5">
        <f t="shared" ca="1" si="45"/>
        <v>103</v>
      </c>
      <c r="N610" s="6">
        <f t="shared" ca="1" si="46"/>
        <v>100.98039215686273</v>
      </c>
      <c r="O610" s="3" cm="1">
        <f t="array" aca="1" ref="O610" ca="1">IFERROR(LOOKUP(2, 1/((F$1:F609=F610)*(J$1:J609=J610)*(ROW(F$1:F609)&lt;ROW(F610))), N$1:N609), "")</f>
        <v>66.666666666666657</v>
      </c>
      <c r="P610" s="3">
        <f t="shared" si="49"/>
        <v>0</v>
      </c>
      <c r="Q610" s="3" t="s">
        <v>33</v>
      </c>
      <c r="R610" s="3" t="s">
        <v>40</v>
      </c>
      <c r="S610" s="3" t="str">
        <f t="shared" si="47"/>
        <v>No</v>
      </c>
      <c r="T610" s="3" t="s">
        <v>40</v>
      </c>
      <c r="U610" s="3" t="str">
        <f t="shared" si="48"/>
        <v>Rainy</v>
      </c>
      <c r="V610" s="3" t="s">
        <v>40</v>
      </c>
      <c r="W610" s="3">
        <v>7</v>
      </c>
      <c r="X610" s="3">
        <v>10</v>
      </c>
      <c r="Y610" s="3">
        <v>67</v>
      </c>
      <c r="Z610" s="3" t="s">
        <v>35</v>
      </c>
    </row>
    <row r="611" spans="1:26" x14ac:dyDescent="0.3">
      <c r="A611" s="2">
        <v>46254</v>
      </c>
      <c r="B611" s="3" t="s">
        <v>45</v>
      </c>
      <c r="C611" s="3">
        <v>5</v>
      </c>
      <c r="D611" s="4">
        <v>0.5625</v>
      </c>
      <c r="E611" s="4">
        <v>0.60416666666666696</v>
      </c>
      <c r="F611" s="3" t="s">
        <v>81</v>
      </c>
      <c r="G611" s="3" t="s">
        <v>289</v>
      </c>
      <c r="H611" s="3" t="s">
        <v>29</v>
      </c>
      <c r="I611" s="3" t="s">
        <v>30</v>
      </c>
      <c r="J611" s="3" t="s">
        <v>84</v>
      </c>
      <c r="K611" s="3" t="s">
        <v>52</v>
      </c>
      <c r="L611" s="5">
        <v>102</v>
      </c>
      <c r="M611" s="5">
        <f t="shared" ca="1" si="45"/>
        <v>94</v>
      </c>
      <c r="N611" s="6">
        <f t="shared" ca="1" si="46"/>
        <v>92.156862745098039</v>
      </c>
      <c r="O611" s="3" cm="1">
        <f t="array" aca="1" ref="O611" ca="1">IFERROR(LOOKUP(2, 1/((F$1:F610=F611)*(J$1:J610=J611)*(ROW(F$1:F610)&lt;ROW(F611))), N$1:N610), "")</f>
        <v>100</v>
      </c>
      <c r="P611" s="3">
        <f t="shared" si="49"/>
        <v>1.25</v>
      </c>
      <c r="Q611" s="3" t="s">
        <v>43</v>
      </c>
      <c r="R611" s="3" t="s">
        <v>40</v>
      </c>
      <c r="S611" s="3" t="str">
        <f t="shared" si="47"/>
        <v>No</v>
      </c>
      <c r="T611" s="3" t="s">
        <v>40</v>
      </c>
      <c r="U611" s="3" t="str">
        <f t="shared" si="48"/>
        <v>Rainy</v>
      </c>
      <c r="V611" s="3" t="s">
        <v>40</v>
      </c>
      <c r="W611" s="3" cm="1">
        <f t="array" ref="W611">_xlfn.IFS(
OR(F611="Selenium (Hands-on)",F611="Guest Lecture: HR Interview"),6,
OR(F611="Soft Skill",F611="Soft Skill (Examination)",F611="AWS Training",F611="AWS Session"),7,
OR(ISNUMBER(SEARCH("MAD",F611)),ISNUMBER(SEARCH("STQA",F611)),F611="CI/CD Session"),8,
OR(ISNUMBER(SEARCH("Cloud",F611)),F611="Industry Readiness Program",ISNUMBER(SEARCH("Talenlio",F611))),9,
OR(ISNUMBER(SEARCH("Innovation",F611)),F611="Mini Project"),10,
OR(ISNUMBER(SEARCH("Data Science",F611)),ISNUMBER(SEARCH("DS",F611))),11,
ISNUMBER(SEARCH("Generative AI",F611)),12
=_xlfn.IFS(
OR(F611="Selenium (Hands-on)",F611="Guest Lecture: HR Interview"),6,
OR(F611="Soft Skill",F611="Soft Skill (Examination)",F611="AWS Training",F611="AWS Session"),7,
OR(ISNUMBER(SEARCH("MAD",F611)),ISNUMBER(SEARCH("STQA",F611)),F611="CI/CD Session"),8,
OR(ISNUMBER(SEARCH("Cloud",F611)),F611="Industry Readiness Program",ISNUMBER(SEARCH("Talenlio",F611))),9,
OR(ISNUMBER(SEARCH("Innovation",F611)),F611="Mini Project"),10,
OR(ISNUMBER(SEARCH("Data Science",F611)),ISNUMBER(SEARCH("DS",F611))),11,
ISNUMBER(SEARCH("Generative AI",F611)),12
=_xlfn.IFS(
OR(F611="Selenium (Hands-on)",F611="Guest Lecture: HR Interview"),6,
OR(F611="Soft Skill",F611="Soft Skill (Examination)",F611="AWS Training",F611="AWS Session"),7,
OR(ISNUMBER(SEARCH("MAD",F611)),ISNUMBER(SEARCH("STQA",F611)),F611="CI/CD Session"),8,
OR(ISNUMBER(SEARCH("Cloud",F611)),F611="Industry Readiness Program",ISNUMBER(SEARCH("Talenlio",F611))),9,
OR(ISNUMBER(SEARCH("Innovation",F611)),F611="Mini Project"),10,
OR(ISNUMBER(SEARCH("Data Science",F611)),ISNUMBER(SEARCH("DS",F611))),11,
ISNUMBER(SEARCH("Generative AI",F611)),12
=_xlfn.IFS(
OR(F611="Selenium (Hands-on)",F611="Guest Lecture: HR Interview"),6,
OR(F611="Soft Skill",F611="Soft Skill (Examination)",F611="AWS Training",F611="AWS Session"),7,
OR(ISNUMBER(SEARCH("MAD",F611)),ISNUMBER(SEARCH("STQA",F611)),F611="CI/CD Session"),8,
OR(ISNUMBER(SEARCH("Cloud",F611)),F611="Industry Readiness Program",ISNUMBER(SEARCH("Talenlio",F611))),9,
OR(ISNUMBER(SEARCH("Innovation",F611)),F611="Mini Project"),10,
OR(ISNUMBER(SEARCH("Data Science",F611)),ISNUMBER(SEARCH("DS",F611))),11,
ISNUMBER(SEARCH("Generative AI",F611)),12
))))</f>
        <v>7</v>
      </c>
      <c r="X611" s="3">
        <v>10</v>
      </c>
      <c r="Y611" s="3">
        <v>67</v>
      </c>
      <c r="Z611" s="3" t="s">
        <v>38</v>
      </c>
    </row>
    <row r="612" spans="1:26" x14ac:dyDescent="0.3">
      <c r="A612" s="2">
        <v>46254</v>
      </c>
      <c r="B612" s="3" t="s">
        <v>45</v>
      </c>
      <c r="C612" s="3">
        <v>6</v>
      </c>
      <c r="D612" s="4">
        <v>0.60416666666666696</v>
      </c>
      <c r="E612" s="4">
        <v>0.64583333333333304</v>
      </c>
      <c r="F612" s="3" t="s">
        <v>81</v>
      </c>
      <c r="G612" s="3" t="s">
        <v>289</v>
      </c>
      <c r="H612" s="3" t="s">
        <v>29</v>
      </c>
      <c r="I612" s="3" t="s">
        <v>30</v>
      </c>
      <c r="J612" s="3" t="s">
        <v>84</v>
      </c>
      <c r="K612" s="3" t="s">
        <v>52</v>
      </c>
      <c r="L612" s="5">
        <v>102</v>
      </c>
      <c r="M612" s="5">
        <f t="shared" ca="1" si="45"/>
        <v>85</v>
      </c>
      <c r="N612" s="6">
        <f t="shared" ca="1" si="46"/>
        <v>83.333333333333343</v>
      </c>
      <c r="O612" s="3" cm="1">
        <f t="array" aca="1" ref="O612" ca="1">IFERROR(LOOKUP(2, 1/((F$1:F611=F612)*(J$1:J611=J612)*(ROW(F$1:F611)&lt;ROW(F612))), N$1:N611), "")</f>
        <v>92.156862745098039</v>
      </c>
      <c r="P612" s="3">
        <f t="shared" si="49"/>
        <v>0</v>
      </c>
      <c r="Q612" s="3" t="s">
        <v>43</v>
      </c>
      <c r="R612" s="3" t="s">
        <v>40</v>
      </c>
      <c r="S612" s="3" t="str">
        <f t="shared" si="47"/>
        <v>No</v>
      </c>
      <c r="T612" s="3" t="s">
        <v>40</v>
      </c>
      <c r="U612" s="3" t="str">
        <f t="shared" si="48"/>
        <v>Rainy</v>
      </c>
      <c r="V612" s="3" t="s">
        <v>40</v>
      </c>
      <c r="W612" s="3" cm="1">
        <f t="array" ref="W612">_xlfn.IFS(
OR(F612="Selenium (Hands-on)",F612="Guest Lecture: HR Interview"),6,
OR(F612="Soft Skill",F612="Soft Skill (Examination)",F612="AWS Training",F612="AWS Session"),7,
OR(ISNUMBER(SEARCH("MAD",F612)),ISNUMBER(SEARCH("STQA",F612)),F612="CI/CD Session"),8,
OR(ISNUMBER(SEARCH("Cloud",F612)),F612="Industry Readiness Program",ISNUMBER(SEARCH("Talenlio",F612))),9,
OR(ISNUMBER(SEARCH("Innovation",F612)),F612="Mini Project"),10,
OR(ISNUMBER(SEARCH("Data Science",F612)),ISNUMBER(SEARCH("DS",F612))),11,
ISNUMBER(SEARCH("Generative AI",F612)),12
=_xlfn.IFS(
OR(F612="Selenium (Hands-on)",F612="Guest Lecture: HR Interview"),6,
OR(F612="Soft Skill",F612="Soft Skill (Examination)",F612="AWS Training",F612="AWS Session"),7,
OR(ISNUMBER(SEARCH("MAD",F612)),ISNUMBER(SEARCH("STQA",F612)),F612="CI/CD Session"),8,
OR(ISNUMBER(SEARCH("Cloud",F612)),F612="Industry Readiness Program",ISNUMBER(SEARCH("Talenlio",F612))),9,
OR(ISNUMBER(SEARCH("Innovation",F612)),F612="Mini Project"),10,
OR(ISNUMBER(SEARCH("Data Science",F612)),ISNUMBER(SEARCH("DS",F612))),11,
ISNUMBER(SEARCH("Generative AI",F612)),12
=_xlfn.IFS(
OR(F612="Selenium (Hands-on)",F612="Guest Lecture: HR Interview"),6,
OR(F612="Soft Skill",F612="Soft Skill (Examination)",F612="AWS Training",F612="AWS Session"),7,
OR(ISNUMBER(SEARCH("MAD",F612)),ISNUMBER(SEARCH("STQA",F612)),F612="CI/CD Session"),8,
OR(ISNUMBER(SEARCH("Cloud",F612)),F612="Industry Readiness Program",ISNUMBER(SEARCH("Talenlio",F612))),9,
OR(ISNUMBER(SEARCH("Innovation",F612)),F612="Mini Project"),10,
OR(ISNUMBER(SEARCH("Data Science",F612)),ISNUMBER(SEARCH("DS",F612))),11,
ISNUMBER(SEARCH("Generative AI",F612)),12
=_xlfn.IFS(
OR(F612="Selenium (Hands-on)",F612="Guest Lecture: HR Interview"),6,
OR(F612="Soft Skill",F612="Soft Skill (Examination)",F612="AWS Training",F612="AWS Session"),7,
OR(ISNUMBER(SEARCH("MAD",F612)),ISNUMBER(SEARCH("STQA",F612)),F612="CI/CD Session"),8,
OR(ISNUMBER(SEARCH("Cloud",F612)),F612="Industry Readiness Program",ISNUMBER(SEARCH("Talenlio",F612))),9,
OR(ISNUMBER(SEARCH("Innovation",F612)),F612="Mini Project"),10,
OR(ISNUMBER(SEARCH("Data Science",F612)),ISNUMBER(SEARCH("DS",F612))),11,
ISNUMBER(SEARCH("Generative AI",F612)),12
))))</f>
        <v>7</v>
      </c>
      <c r="X612" s="3">
        <v>10</v>
      </c>
      <c r="Y612" s="3">
        <v>67</v>
      </c>
      <c r="Z612" s="3" t="s">
        <v>38</v>
      </c>
    </row>
    <row r="613" spans="1:26" x14ac:dyDescent="0.3">
      <c r="A613" s="2">
        <v>46254</v>
      </c>
      <c r="B613" s="3" t="s">
        <v>45</v>
      </c>
      <c r="C613" s="3">
        <v>7</v>
      </c>
      <c r="D613" s="4">
        <v>0.64583333333333304</v>
      </c>
      <c r="E613" s="4">
        <v>0.6875</v>
      </c>
      <c r="F613" s="3" t="s">
        <v>81</v>
      </c>
      <c r="G613" s="3" t="s">
        <v>289</v>
      </c>
      <c r="H613" s="3" t="s">
        <v>29</v>
      </c>
      <c r="I613" s="3" t="s">
        <v>30</v>
      </c>
      <c r="J613" s="3" t="s">
        <v>84</v>
      </c>
      <c r="K613" s="3" t="s">
        <v>52</v>
      </c>
      <c r="L613" s="5">
        <v>102</v>
      </c>
      <c r="M613" s="5">
        <f t="shared" ca="1" si="45"/>
        <v>48</v>
      </c>
      <c r="N613" s="6">
        <f t="shared" ca="1" si="46"/>
        <v>47.058823529411761</v>
      </c>
      <c r="O613" s="3" cm="1">
        <f t="array" aca="1" ref="O613" ca="1">IFERROR(LOOKUP(2, 1/((F$1:F612=F613)*(J$1:J612=J613)*(ROW(F$1:F612)&lt;ROW(F613))), N$1:N612), "")</f>
        <v>83.333333333333343</v>
      </c>
      <c r="P613" s="3">
        <f t="shared" si="49"/>
        <v>0</v>
      </c>
      <c r="Q613" s="3" t="s">
        <v>43</v>
      </c>
      <c r="R613" s="3" t="s">
        <v>40</v>
      </c>
      <c r="S613" s="3" t="str">
        <f t="shared" si="47"/>
        <v>No</v>
      </c>
      <c r="T613" s="3" t="s">
        <v>40</v>
      </c>
      <c r="U613" s="3" t="str">
        <f t="shared" si="48"/>
        <v>Rainy</v>
      </c>
      <c r="V613" s="3" t="s">
        <v>40</v>
      </c>
      <c r="W613" s="3" cm="1">
        <f t="array" ref="W613">_xlfn.IFS(
OR(F613="Selenium (Hands-on)",F613="Guest Lecture: HR Interview"),6,
OR(F613="Soft Skill",F613="Soft Skill (Examination)",F613="AWS Training",F613="AWS Session"),7,
OR(ISNUMBER(SEARCH("MAD",F613)),ISNUMBER(SEARCH("STQA",F613)),F613="CI/CD Session"),8,
OR(ISNUMBER(SEARCH("Cloud",F613)),F613="Industry Readiness Program",ISNUMBER(SEARCH("Talenlio",F613))),9,
OR(ISNUMBER(SEARCH("Innovation",F613)),F613="Mini Project"),10,
OR(ISNUMBER(SEARCH("Data Science",F613)),ISNUMBER(SEARCH("DS",F613))),11,
ISNUMBER(SEARCH("Generative AI",F613)),12
=_xlfn.IFS(
OR(F613="Selenium (Hands-on)",F613="Guest Lecture: HR Interview"),6,
OR(F613="Soft Skill",F613="Soft Skill (Examination)",F613="AWS Training",F613="AWS Session"),7,
OR(ISNUMBER(SEARCH("MAD",F613)),ISNUMBER(SEARCH("STQA",F613)),F613="CI/CD Session"),8,
OR(ISNUMBER(SEARCH("Cloud",F613)),F613="Industry Readiness Program",ISNUMBER(SEARCH("Talenlio",F613))),9,
OR(ISNUMBER(SEARCH("Innovation",F613)),F613="Mini Project"),10,
OR(ISNUMBER(SEARCH("Data Science",F613)),ISNUMBER(SEARCH("DS",F613))),11,
ISNUMBER(SEARCH("Generative AI",F613)),12
=_xlfn.IFS(
OR(F613="Selenium (Hands-on)",F613="Guest Lecture: HR Interview"),6,
OR(F613="Soft Skill",F613="Soft Skill (Examination)",F613="AWS Training",F613="AWS Session"),7,
OR(ISNUMBER(SEARCH("MAD",F613)),ISNUMBER(SEARCH("STQA",F613)),F613="CI/CD Session"),8,
OR(ISNUMBER(SEARCH("Cloud",F613)),F613="Industry Readiness Program",ISNUMBER(SEARCH("Talenlio",F613))),9,
OR(ISNUMBER(SEARCH("Innovation",F613)),F613="Mini Project"),10,
OR(ISNUMBER(SEARCH("Data Science",F613)),ISNUMBER(SEARCH("DS",F613))),11,
ISNUMBER(SEARCH("Generative AI",F613)),12
=_xlfn.IFS(
OR(F613="Selenium (Hands-on)",F613="Guest Lecture: HR Interview"),6,
OR(F613="Soft Skill",F613="Soft Skill (Examination)",F613="AWS Training",F613="AWS Session"),7,
OR(ISNUMBER(SEARCH("MAD",F613)),ISNUMBER(SEARCH("STQA",F613)),F613="CI/CD Session"),8,
OR(ISNUMBER(SEARCH("Cloud",F613)),F613="Industry Readiness Program",ISNUMBER(SEARCH("Talenlio",F613))),9,
OR(ISNUMBER(SEARCH("Innovation",F613)),F613="Mini Project"),10,
OR(ISNUMBER(SEARCH("Data Science",F613)),ISNUMBER(SEARCH("DS",F613))),11,
ISNUMBER(SEARCH("Generative AI",F613)),12
))))</f>
        <v>7</v>
      </c>
      <c r="X613" s="3">
        <v>10</v>
      </c>
      <c r="Y613" s="3">
        <v>67</v>
      </c>
      <c r="Z613" s="3" t="s">
        <v>38</v>
      </c>
    </row>
  </sheetData>
  <dataValidations count="3">
    <dataValidation type="list" allowBlank="1" sqref="Q2:Q613" xr:uid="{00000000-0002-0000-0000-000000000000}">
      <formula1>"Practical,Theory"</formula1>
      <formula2>0</formula2>
    </dataValidation>
    <dataValidation type="list" allowBlank="1" sqref="R2:T613 V2:V613" xr:uid="{00000000-0002-0000-0000-000001000000}">
      <formula1>"Yes,No"</formula1>
      <formula2>0</formula2>
    </dataValidation>
    <dataValidation type="list" allowBlank="1" sqref="U2:U613" xr:uid="{00000000-0002-0000-0000-000002000000}">
      <formula1>"Sunny,Cloudy,Rainy,Other"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55" customWidth="1"/>
    <col min="3" max="3" width="14" customWidth="1"/>
    <col min="4" max="4" width="16" customWidth="1"/>
    <col min="5" max="5" width="55" customWidth="1"/>
  </cols>
  <sheetData>
    <row r="1" spans="1:5" x14ac:dyDescent="0.3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 x14ac:dyDescent="0.3">
      <c r="A2" s="7" t="s">
        <v>0</v>
      </c>
      <c r="B2" s="7" t="s">
        <v>90</v>
      </c>
      <c r="C2" s="7" t="s">
        <v>0</v>
      </c>
      <c r="D2" s="7" t="s">
        <v>91</v>
      </c>
      <c r="E2" s="7" t="s">
        <v>92</v>
      </c>
    </row>
    <row r="3" spans="1:5" x14ac:dyDescent="0.3">
      <c r="A3" s="7" t="s">
        <v>1</v>
      </c>
      <c r="B3" s="7" t="s">
        <v>93</v>
      </c>
      <c r="C3" s="7" t="s">
        <v>94</v>
      </c>
      <c r="D3" s="7" t="s">
        <v>26</v>
      </c>
      <c r="E3" s="7" t="s">
        <v>95</v>
      </c>
    </row>
    <row r="4" spans="1:5" ht="26.4" x14ac:dyDescent="0.3">
      <c r="A4" s="7" t="s">
        <v>2</v>
      </c>
      <c r="B4" s="7" t="s">
        <v>96</v>
      </c>
      <c r="C4" s="7" t="s">
        <v>97</v>
      </c>
      <c r="D4" s="7" t="s">
        <v>98</v>
      </c>
      <c r="E4" s="7" t="s">
        <v>99</v>
      </c>
    </row>
    <row r="5" spans="1:5" x14ac:dyDescent="0.3">
      <c r="A5" s="7" t="s">
        <v>3</v>
      </c>
      <c r="B5" s="7" t="s">
        <v>100</v>
      </c>
      <c r="C5" s="7" t="s">
        <v>101</v>
      </c>
      <c r="D5" s="7" t="s">
        <v>102</v>
      </c>
      <c r="E5" s="7" t="s">
        <v>103</v>
      </c>
    </row>
    <row r="6" spans="1:5" x14ac:dyDescent="0.3">
      <c r="A6" s="7" t="s">
        <v>4</v>
      </c>
      <c r="B6" s="7" t="s">
        <v>104</v>
      </c>
      <c r="C6" s="7" t="s">
        <v>101</v>
      </c>
      <c r="D6" s="7" t="s">
        <v>105</v>
      </c>
      <c r="E6" s="7" t="s">
        <v>103</v>
      </c>
    </row>
    <row r="7" spans="1:5" x14ac:dyDescent="0.3">
      <c r="A7" s="7" t="s">
        <v>5</v>
      </c>
      <c r="B7" s="7" t="s">
        <v>106</v>
      </c>
      <c r="C7" s="7" t="s">
        <v>94</v>
      </c>
      <c r="D7" s="7" t="s">
        <v>107</v>
      </c>
      <c r="E7" s="7" t="s">
        <v>108</v>
      </c>
    </row>
    <row r="8" spans="1:5" x14ac:dyDescent="0.3">
      <c r="A8" s="7" t="s">
        <v>6</v>
      </c>
      <c r="B8" s="7" t="s">
        <v>109</v>
      </c>
      <c r="C8" s="7" t="s">
        <v>94</v>
      </c>
      <c r="D8" s="7" t="s">
        <v>110</v>
      </c>
      <c r="E8" s="7" t="s">
        <v>111</v>
      </c>
    </row>
    <row r="9" spans="1:5" x14ac:dyDescent="0.3">
      <c r="A9" s="7" t="s">
        <v>7</v>
      </c>
      <c r="B9" s="7" t="s">
        <v>112</v>
      </c>
      <c r="C9" s="7" t="s">
        <v>94</v>
      </c>
      <c r="D9" s="7" t="s">
        <v>29</v>
      </c>
      <c r="E9" s="7" t="s">
        <v>113</v>
      </c>
    </row>
    <row r="10" spans="1:5" x14ac:dyDescent="0.3">
      <c r="A10" s="7" t="s">
        <v>8</v>
      </c>
      <c r="B10" s="7" t="s">
        <v>114</v>
      </c>
      <c r="C10" s="7" t="s">
        <v>94</v>
      </c>
      <c r="D10" s="7" t="s">
        <v>30</v>
      </c>
      <c r="E10" s="7" t="s">
        <v>115</v>
      </c>
    </row>
    <row r="11" spans="1:5" ht="26.4" x14ac:dyDescent="0.3">
      <c r="A11" s="7" t="s">
        <v>9</v>
      </c>
      <c r="B11" s="7" t="s">
        <v>116</v>
      </c>
      <c r="C11" s="7" t="s">
        <v>94</v>
      </c>
      <c r="D11" s="7" t="s">
        <v>117</v>
      </c>
      <c r="E11" s="7" t="s">
        <v>118</v>
      </c>
    </row>
    <row r="12" spans="1:5" ht="39.6" x14ac:dyDescent="0.3">
      <c r="A12" s="7" t="s">
        <v>10</v>
      </c>
      <c r="B12" s="7" t="s">
        <v>119</v>
      </c>
      <c r="C12" s="7" t="s">
        <v>94</v>
      </c>
      <c r="D12" s="7" t="s">
        <v>52</v>
      </c>
      <c r="E12" s="7" t="s">
        <v>120</v>
      </c>
    </row>
    <row r="13" spans="1:5" x14ac:dyDescent="0.3">
      <c r="A13" s="7" t="s">
        <v>11</v>
      </c>
      <c r="B13" s="7" t="s">
        <v>121</v>
      </c>
      <c r="C13" s="7" t="s">
        <v>97</v>
      </c>
      <c r="D13" s="7" t="s">
        <v>122</v>
      </c>
      <c r="E13" s="7" t="s">
        <v>123</v>
      </c>
    </row>
    <row r="14" spans="1:5" x14ac:dyDescent="0.3">
      <c r="A14" s="7" t="s">
        <v>12</v>
      </c>
      <c r="B14" s="7" t="s">
        <v>124</v>
      </c>
      <c r="C14" s="7" t="s">
        <v>97</v>
      </c>
      <c r="D14" s="7" t="s">
        <v>125</v>
      </c>
      <c r="E14" s="7" t="s">
        <v>123</v>
      </c>
    </row>
    <row r="15" spans="1:5" ht="39.6" x14ac:dyDescent="0.3">
      <c r="A15" s="7" t="s">
        <v>13</v>
      </c>
      <c r="B15" s="7" t="s">
        <v>126</v>
      </c>
      <c r="C15" s="7" t="s">
        <v>127</v>
      </c>
      <c r="D15" s="7" t="s">
        <v>128</v>
      </c>
      <c r="E15" s="7" t="s">
        <v>129</v>
      </c>
    </row>
    <row r="16" spans="1:5" ht="39.6" x14ac:dyDescent="0.3">
      <c r="A16" s="7" t="s">
        <v>14</v>
      </c>
      <c r="B16" s="7" t="s">
        <v>130</v>
      </c>
      <c r="C16" s="7" t="s">
        <v>127</v>
      </c>
      <c r="D16" s="7" t="s">
        <v>131</v>
      </c>
      <c r="E16" s="7" t="s">
        <v>132</v>
      </c>
    </row>
    <row r="17" spans="1:5" ht="39.6" x14ac:dyDescent="0.3">
      <c r="A17" s="7" t="s">
        <v>15</v>
      </c>
      <c r="B17" s="7" t="s">
        <v>133</v>
      </c>
      <c r="C17" s="7" t="s">
        <v>134</v>
      </c>
      <c r="D17" s="7" t="s">
        <v>135</v>
      </c>
      <c r="E17" s="7" t="s">
        <v>136</v>
      </c>
    </row>
    <row r="18" spans="1:5" x14ac:dyDescent="0.3">
      <c r="A18" s="7" t="s">
        <v>16</v>
      </c>
      <c r="B18" s="7" t="s">
        <v>137</v>
      </c>
      <c r="C18" s="7" t="s">
        <v>138</v>
      </c>
      <c r="D18" s="7" t="s">
        <v>43</v>
      </c>
      <c r="E18" s="7" t="s">
        <v>139</v>
      </c>
    </row>
    <row r="19" spans="1:5" ht="39.6" x14ac:dyDescent="0.3">
      <c r="A19" s="7" t="s">
        <v>17</v>
      </c>
      <c r="B19" s="7" t="s">
        <v>140</v>
      </c>
      <c r="C19" s="7" t="s">
        <v>141</v>
      </c>
      <c r="D19" s="7" t="s">
        <v>34</v>
      </c>
      <c r="E19" s="7" t="s">
        <v>142</v>
      </c>
    </row>
    <row r="20" spans="1:5" ht="26.4" x14ac:dyDescent="0.3">
      <c r="A20" s="7" t="s">
        <v>18</v>
      </c>
      <c r="B20" s="7" t="s">
        <v>143</v>
      </c>
      <c r="C20" s="7" t="s">
        <v>141</v>
      </c>
      <c r="D20" s="7"/>
      <c r="E20" s="7" t="s">
        <v>144</v>
      </c>
    </row>
    <row r="21" spans="1:5" ht="39.6" x14ac:dyDescent="0.3">
      <c r="A21" s="7" t="s">
        <v>19</v>
      </c>
      <c r="B21" s="7" t="s">
        <v>145</v>
      </c>
      <c r="C21" s="7" t="s">
        <v>141</v>
      </c>
      <c r="D21" s="7" t="s">
        <v>34</v>
      </c>
      <c r="E21" s="7" t="s">
        <v>146</v>
      </c>
    </row>
    <row r="22" spans="1:5" ht="26.4" x14ac:dyDescent="0.3">
      <c r="A22" s="7" t="s">
        <v>20</v>
      </c>
      <c r="B22" s="7" t="s">
        <v>147</v>
      </c>
      <c r="C22" s="7" t="s">
        <v>138</v>
      </c>
      <c r="D22" s="7"/>
      <c r="E22" s="7" t="s">
        <v>148</v>
      </c>
    </row>
    <row r="23" spans="1:5" ht="26.4" x14ac:dyDescent="0.3">
      <c r="A23" s="7" t="s">
        <v>21</v>
      </c>
      <c r="B23" s="7" t="s">
        <v>149</v>
      </c>
      <c r="C23" s="7" t="s">
        <v>150</v>
      </c>
      <c r="D23" s="7" t="s">
        <v>49</v>
      </c>
      <c r="E23" s="7" t="s">
        <v>151</v>
      </c>
    </row>
    <row r="24" spans="1:5" ht="26.4" x14ac:dyDescent="0.3">
      <c r="A24" s="7" t="s">
        <v>22</v>
      </c>
      <c r="B24" s="7" t="s">
        <v>152</v>
      </c>
      <c r="C24" s="7" t="s">
        <v>153</v>
      </c>
      <c r="D24" s="7"/>
      <c r="E24" s="7" t="s">
        <v>154</v>
      </c>
    </row>
    <row r="25" spans="1:5" ht="26.4" x14ac:dyDescent="0.3">
      <c r="A25" s="7" t="s">
        <v>23</v>
      </c>
      <c r="B25" s="7" t="s">
        <v>155</v>
      </c>
      <c r="C25" s="7" t="s">
        <v>97</v>
      </c>
      <c r="D25" s="7" t="s">
        <v>98</v>
      </c>
      <c r="E25" s="7" t="s">
        <v>156</v>
      </c>
    </row>
    <row r="26" spans="1:5" ht="26.4" x14ac:dyDescent="0.3">
      <c r="A26" s="7" t="s">
        <v>24</v>
      </c>
      <c r="B26" s="7" t="s">
        <v>157</v>
      </c>
      <c r="C26" s="7" t="s">
        <v>97</v>
      </c>
      <c r="D26" s="7" t="s">
        <v>98</v>
      </c>
      <c r="E26" s="7" t="s">
        <v>158</v>
      </c>
    </row>
    <row r="27" spans="1:5" x14ac:dyDescent="0.3">
      <c r="A27" s="7" t="s">
        <v>25</v>
      </c>
      <c r="B27" s="7" t="s">
        <v>159</v>
      </c>
      <c r="C27" s="7" t="s">
        <v>138</v>
      </c>
      <c r="D27" s="7" t="s">
        <v>35</v>
      </c>
      <c r="E27" s="7" t="s">
        <v>160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60" customWidth="1"/>
  </cols>
  <sheetData>
    <row r="1" spans="1:3" x14ac:dyDescent="0.3">
      <c r="A1" s="1" t="s">
        <v>6</v>
      </c>
      <c r="B1" s="1" t="s">
        <v>161</v>
      </c>
      <c r="C1" s="1" t="s">
        <v>162</v>
      </c>
    </row>
    <row r="2" spans="1:3" x14ac:dyDescent="0.3">
      <c r="A2" s="3" t="s">
        <v>77</v>
      </c>
      <c r="B2" s="3" t="s">
        <v>77</v>
      </c>
      <c r="C2" s="3" t="s">
        <v>163</v>
      </c>
    </row>
    <row r="3" spans="1:3" x14ac:dyDescent="0.3">
      <c r="A3" s="3" t="s">
        <v>37</v>
      </c>
      <c r="B3" s="3" t="s">
        <v>164</v>
      </c>
      <c r="C3" s="3"/>
    </row>
    <row r="4" spans="1:3" x14ac:dyDescent="0.3">
      <c r="A4" s="3" t="s">
        <v>56</v>
      </c>
      <c r="B4" s="3" t="s">
        <v>56</v>
      </c>
      <c r="C4" s="3" t="s">
        <v>163</v>
      </c>
    </row>
    <row r="5" spans="1:3" x14ac:dyDescent="0.3">
      <c r="A5" s="3" t="s">
        <v>54</v>
      </c>
      <c r="B5" s="3" t="s">
        <v>54</v>
      </c>
      <c r="C5" s="3" t="s">
        <v>163</v>
      </c>
    </row>
    <row r="6" spans="1:3" x14ac:dyDescent="0.3">
      <c r="A6" s="3" t="s">
        <v>75</v>
      </c>
      <c r="B6" s="3" t="s">
        <v>165</v>
      </c>
      <c r="C6" s="3"/>
    </row>
    <row r="7" spans="1:3" x14ac:dyDescent="0.3">
      <c r="A7" s="3" t="s">
        <v>71</v>
      </c>
      <c r="B7" s="3" t="s">
        <v>71</v>
      </c>
      <c r="C7" s="3" t="s">
        <v>163</v>
      </c>
    </row>
    <row r="8" spans="1:3" x14ac:dyDescent="0.3">
      <c r="A8" s="3" t="s">
        <v>60</v>
      </c>
      <c r="B8" s="3" t="s">
        <v>60</v>
      </c>
      <c r="C8" s="3" t="s">
        <v>163</v>
      </c>
    </row>
    <row r="9" spans="1:3" x14ac:dyDescent="0.3">
      <c r="A9" s="3" t="s">
        <v>67</v>
      </c>
      <c r="B9" s="3" t="s">
        <v>67</v>
      </c>
      <c r="C9" s="3" t="s">
        <v>163</v>
      </c>
    </row>
    <row r="10" spans="1:3" x14ac:dyDescent="0.3">
      <c r="A10" s="3" t="s">
        <v>51</v>
      </c>
      <c r="B10" s="3" t="s">
        <v>166</v>
      </c>
      <c r="C10" s="3"/>
    </row>
    <row r="11" spans="1:3" x14ac:dyDescent="0.3">
      <c r="A11" s="3" t="s">
        <v>70</v>
      </c>
      <c r="B11" s="3" t="s">
        <v>167</v>
      </c>
      <c r="C11" s="3"/>
    </row>
    <row r="12" spans="1:3" x14ac:dyDescent="0.3">
      <c r="A12" s="3" t="s">
        <v>68</v>
      </c>
      <c r="B12" s="3" t="s">
        <v>168</v>
      </c>
      <c r="C12" s="3"/>
    </row>
    <row r="13" spans="1:3" x14ac:dyDescent="0.3">
      <c r="A13" s="3" t="s">
        <v>58</v>
      </c>
      <c r="B13" s="3" t="s">
        <v>58</v>
      </c>
      <c r="C13" s="3" t="s">
        <v>163</v>
      </c>
    </row>
    <row r="14" spans="1:3" x14ac:dyDescent="0.3">
      <c r="A14" s="3" t="s">
        <v>28</v>
      </c>
      <c r="B14" s="3" t="s">
        <v>169</v>
      </c>
      <c r="C14" s="3"/>
    </row>
    <row r="15" spans="1:3" x14ac:dyDescent="0.3">
      <c r="A15" s="3" t="s">
        <v>73</v>
      </c>
      <c r="B15" s="3" t="s">
        <v>73</v>
      </c>
      <c r="C15" s="3" t="s">
        <v>163</v>
      </c>
    </row>
    <row r="16" spans="1:3" x14ac:dyDescent="0.3">
      <c r="A16" s="3" t="s">
        <v>64</v>
      </c>
      <c r="B16" s="3" t="s">
        <v>64</v>
      </c>
      <c r="C16" s="3" t="s">
        <v>170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30" customWidth="1"/>
    <col min="3" max="3" width="60" customWidth="1"/>
    <col min="4" max="4" width="45" customWidth="1"/>
  </cols>
  <sheetData>
    <row r="1" spans="1:4" x14ac:dyDescent="0.3">
      <c r="A1" s="1" t="s">
        <v>0</v>
      </c>
      <c r="B1" s="1" t="s">
        <v>171</v>
      </c>
      <c r="C1" s="1" t="s">
        <v>172</v>
      </c>
      <c r="D1" s="1" t="s">
        <v>173</v>
      </c>
    </row>
    <row r="2" spans="1:4" ht="26.4" x14ac:dyDescent="0.3">
      <c r="A2" s="7" t="s">
        <v>174</v>
      </c>
      <c r="B2" s="7" t="s">
        <v>175</v>
      </c>
      <c r="C2" s="7" t="s">
        <v>176</v>
      </c>
      <c r="D2" s="7" t="s">
        <v>177</v>
      </c>
    </row>
    <row r="3" spans="1:4" ht="26.4" x14ac:dyDescent="0.3">
      <c r="A3" s="7" t="s">
        <v>178</v>
      </c>
      <c r="B3" s="7" t="s">
        <v>175</v>
      </c>
      <c r="C3" s="7" t="s">
        <v>176</v>
      </c>
      <c r="D3" s="7" t="s">
        <v>177</v>
      </c>
    </row>
    <row r="4" spans="1:4" ht="26.4" x14ac:dyDescent="0.3">
      <c r="A4" s="7" t="s">
        <v>179</v>
      </c>
      <c r="B4" s="7" t="s">
        <v>175</v>
      </c>
      <c r="C4" s="7" t="s">
        <v>176</v>
      </c>
      <c r="D4" s="7" t="s">
        <v>177</v>
      </c>
    </row>
    <row r="5" spans="1:4" ht="26.4" x14ac:dyDescent="0.3">
      <c r="A5" s="7" t="s">
        <v>180</v>
      </c>
      <c r="B5" s="7" t="s">
        <v>175</v>
      </c>
      <c r="C5" s="7" t="s">
        <v>176</v>
      </c>
      <c r="D5" s="7" t="s">
        <v>177</v>
      </c>
    </row>
    <row r="6" spans="1:4" ht="26.4" x14ac:dyDescent="0.3">
      <c r="A6" s="7" t="s">
        <v>181</v>
      </c>
      <c r="B6" s="7" t="s">
        <v>48</v>
      </c>
      <c r="C6" s="7" t="s">
        <v>182</v>
      </c>
      <c r="D6" s="7" t="s">
        <v>183</v>
      </c>
    </row>
    <row r="7" spans="1:4" ht="39.6" x14ac:dyDescent="0.3">
      <c r="A7" s="7" t="s">
        <v>184</v>
      </c>
      <c r="B7" s="7" t="s">
        <v>185</v>
      </c>
      <c r="C7" s="7" t="s">
        <v>186</v>
      </c>
      <c r="D7" s="7" t="s">
        <v>187</v>
      </c>
    </row>
    <row r="8" spans="1:4" ht="52.8" x14ac:dyDescent="0.3">
      <c r="A8" s="7" t="s">
        <v>184</v>
      </c>
      <c r="B8" s="7" t="s">
        <v>188</v>
      </c>
      <c r="C8" s="7" t="s">
        <v>189</v>
      </c>
      <c r="D8" s="7" t="s">
        <v>190</v>
      </c>
    </row>
    <row r="9" spans="1:4" ht="26.4" x14ac:dyDescent="0.3">
      <c r="A9" s="7" t="s">
        <v>191</v>
      </c>
      <c r="B9" s="7" t="s">
        <v>192</v>
      </c>
      <c r="C9" s="7" t="s">
        <v>193</v>
      </c>
      <c r="D9" s="7" t="s">
        <v>194</v>
      </c>
    </row>
    <row r="10" spans="1:4" ht="52.8" x14ac:dyDescent="0.3">
      <c r="A10" s="7" t="s">
        <v>191</v>
      </c>
      <c r="B10" s="7" t="s">
        <v>188</v>
      </c>
      <c r="C10" s="7" t="s">
        <v>189</v>
      </c>
      <c r="D10" s="7" t="s">
        <v>190</v>
      </c>
    </row>
    <row r="11" spans="1:4" ht="26.4" x14ac:dyDescent="0.3">
      <c r="A11" s="7" t="s">
        <v>195</v>
      </c>
      <c r="B11" s="7" t="s">
        <v>196</v>
      </c>
      <c r="C11" s="7" t="s">
        <v>193</v>
      </c>
      <c r="D11" s="7" t="s">
        <v>197</v>
      </c>
    </row>
    <row r="12" spans="1:4" ht="52.8" x14ac:dyDescent="0.3">
      <c r="A12" s="7" t="s">
        <v>195</v>
      </c>
      <c r="B12" s="7" t="s">
        <v>188</v>
      </c>
      <c r="C12" s="7" t="s">
        <v>189</v>
      </c>
      <c r="D12" s="7" t="s">
        <v>190</v>
      </c>
    </row>
    <row r="13" spans="1:4" ht="26.4" x14ac:dyDescent="0.3">
      <c r="A13" s="7" t="s">
        <v>198</v>
      </c>
      <c r="B13" s="7" t="s">
        <v>192</v>
      </c>
      <c r="C13" s="7" t="s">
        <v>193</v>
      </c>
      <c r="D13" s="7" t="s">
        <v>194</v>
      </c>
    </row>
    <row r="14" spans="1:4" ht="52.8" x14ac:dyDescent="0.3">
      <c r="A14" s="7" t="s">
        <v>198</v>
      </c>
      <c r="B14" s="7" t="s">
        <v>188</v>
      </c>
      <c r="C14" s="7" t="s">
        <v>189</v>
      </c>
      <c r="D14" s="7" t="s">
        <v>190</v>
      </c>
    </row>
    <row r="15" spans="1:4" ht="26.4" x14ac:dyDescent="0.3">
      <c r="A15" s="7" t="s">
        <v>199</v>
      </c>
      <c r="B15" s="7" t="s">
        <v>200</v>
      </c>
      <c r="C15" s="7" t="s">
        <v>201</v>
      </c>
      <c r="D15" s="7" t="s">
        <v>202</v>
      </c>
    </row>
    <row r="16" spans="1:4" ht="26.4" x14ac:dyDescent="0.3">
      <c r="A16" s="7" t="s">
        <v>199</v>
      </c>
      <c r="B16" s="7" t="s">
        <v>203</v>
      </c>
      <c r="C16" s="7" t="s">
        <v>204</v>
      </c>
      <c r="D16" s="7" t="s">
        <v>205</v>
      </c>
    </row>
    <row r="17" spans="1:4" ht="39.6" x14ac:dyDescent="0.3">
      <c r="A17" s="7" t="s">
        <v>206</v>
      </c>
      <c r="B17" s="7" t="s">
        <v>207</v>
      </c>
      <c r="C17" s="7" t="s">
        <v>208</v>
      </c>
      <c r="D17" s="7" t="s">
        <v>209</v>
      </c>
    </row>
    <row r="18" spans="1:4" ht="26.4" x14ac:dyDescent="0.3">
      <c r="A18" s="7" t="s">
        <v>210</v>
      </c>
      <c r="B18" s="7" t="s">
        <v>192</v>
      </c>
      <c r="C18" s="7" t="s">
        <v>193</v>
      </c>
      <c r="D18" s="7" t="s">
        <v>194</v>
      </c>
    </row>
    <row r="19" spans="1:4" ht="52.8" x14ac:dyDescent="0.3">
      <c r="A19" s="7" t="s">
        <v>210</v>
      </c>
      <c r="B19" s="7" t="s">
        <v>188</v>
      </c>
      <c r="C19" s="7" t="s">
        <v>189</v>
      </c>
      <c r="D19" s="7" t="s">
        <v>190</v>
      </c>
    </row>
    <row r="20" spans="1:4" ht="26.4" x14ac:dyDescent="0.3">
      <c r="A20" s="7" t="s">
        <v>211</v>
      </c>
      <c r="B20" s="7" t="s">
        <v>212</v>
      </c>
      <c r="C20" s="7" t="s">
        <v>213</v>
      </c>
      <c r="D20" s="7" t="s">
        <v>214</v>
      </c>
    </row>
    <row r="21" spans="1:4" x14ac:dyDescent="0.3">
      <c r="A21" s="7" t="s">
        <v>215</v>
      </c>
      <c r="B21" s="7" t="s">
        <v>216</v>
      </c>
      <c r="C21" s="7" t="s">
        <v>217</v>
      </c>
      <c r="D21" s="7" t="s">
        <v>218</v>
      </c>
    </row>
    <row r="22" spans="1:4" ht="39.6" x14ac:dyDescent="0.3">
      <c r="A22" s="7" t="s">
        <v>219</v>
      </c>
      <c r="B22" s="7" t="s">
        <v>220</v>
      </c>
      <c r="C22" s="7" t="s">
        <v>221</v>
      </c>
      <c r="D22" s="7" t="s">
        <v>222</v>
      </c>
    </row>
    <row r="23" spans="1:4" ht="52.8" x14ac:dyDescent="0.3">
      <c r="A23" s="7" t="s">
        <v>219</v>
      </c>
      <c r="B23" s="7" t="s">
        <v>223</v>
      </c>
      <c r="C23" s="7" t="s">
        <v>224</v>
      </c>
      <c r="D23" s="7" t="s">
        <v>225</v>
      </c>
    </row>
    <row r="24" spans="1:4" ht="39.6" x14ac:dyDescent="0.3">
      <c r="A24" s="7" t="s">
        <v>219</v>
      </c>
      <c r="B24" s="7" t="s">
        <v>226</v>
      </c>
      <c r="C24" s="7" t="s">
        <v>227</v>
      </c>
      <c r="D24" s="7" t="s">
        <v>228</v>
      </c>
    </row>
    <row r="25" spans="1:4" x14ac:dyDescent="0.3">
      <c r="A25" s="7" t="s">
        <v>229</v>
      </c>
      <c r="B25" s="7" t="s">
        <v>230</v>
      </c>
      <c r="C25" s="7" t="s">
        <v>231</v>
      </c>
      <c r="D25" s="7" t="s">
        <v>218</v>
      </c>
    </row>
    <row r="26" spans="1:4" x14ac:dyDescent="0.3">
      <c r="A26" s="7" t="s">
        <v>229</v>
      </c>
      <c r="B26" s="7" t="s">
        <v>232</v>
      </c>
      <c r="C26" s="7" t="s">
        <v>233</v>
      </c>
      <c r="D26" s="7" t="s">
        <v>218</v>
      </c>
    </row>
    <row r="27" spans="1:4" x14ac:dyDescent="0.3">
      <c r="A27" s="7" t="s">
        <v>234</v>
      </c>
      <c r="B27" s="7" t="s">
        <v>230</v>
      </c>
      <c r="C27" s="7" t="s">
        <v>231</v>
      </c>
      <c r="D27" s="7" t="s">
        <v>218</v>
      </c>
    </row>
    <row r="28" spans="1:4" x14ac:dyDescent="0.3">
      <c r="A28" s="7" t="s">
        <v>234</v>
      </c>
      <c r="B28" s="7" t="s">
        <v>232</v>
      </c>
      <c r="C28" s="7" t="s">
        <v>233</v>
      </c>
      <c r="D28" s="7" t="s">
        <v>218</v>
      </c>
    </row>
    <row r="29" spans="1:4" x14ac:dyDescent="0.3">
      <c r="A29" s="7" t="s">
        <v>235</v>
      </c>
      <c r="B29" s="7" t="s">
        <v>236</v>
      </c>
      <c r="C29" s="7" t="s">
        <v>231</v>
      </c>
      <c r="D29" s="7" t="s">
        <v>218</v>
      </c>
    </row>
    <row r="30" spans="1:4" ht="26.4" x14ac:dyDescent="0.3">
      <c r="A30" s="7" t="s">
        <v>235</v>
      </c>
      <c r="B30" s="7" t="s">
        <v>38</v>
      </c>
      <c r="C30" s="7" t="s">
        <v>237</v>
      </c>
      <c r="D30" s="7" t="s">
        <v>238</v>
      </c>
    </row>
    <row r="31" spans="1:4" x14ac:dyDescent="0.3">
      <c r="A31" s="7" t="s">
        <v>239</v>
      </c>
      <c r="B31" s="7" t="s">
        <v>236</v>
      </c>
      <c r="C31" s="7" t="s">
        <v>231</v>
      </c>
      <c r="D31" s="7" t="s">
        <v>218</v>
      </c>
    </row>
    <row r="32" spans="1:4" ht="26.4" x14ac:dyDescent="0.3">
      <c r="A32" s="7" t="s">
        <v>239</v>
      </c>
      <c r="B32" s="7" t="s">
        <v>38</v>
      </c>
      <c r="C32" s="7" t="s">
        <v>237</v>
      </c>
      <c r="D32" s="7" t="s">
        <v>238</v>
      </c>
    </row>
    <row r="33" spans="1:4" x14ac:dyDescent="0.3">
      <c r="A33" s="7" t="s">
        <v>240</v>
      </c>
      <c r="B33" s="7" t="s">
        <v>241</v>
      </c>
      <c r="C33" s="7" t="s">
        <v>231</v>
      </c>
      <c r="D33" s="7" t="s">
        <v>218</v>
      </c>
    </row>
    <row r="34" spans="1:4" ht="26.4" x14ac:dyDescent="0.3">
      <c r="A34" s="7" t="s">
        <v>240</v>
      </c>
      <c r="B34" s="7" t="s">
        <v>38</v>
      </c>
      <c r="C34" s="7" t="s">
        <v>237</v>
      </c>
      <c r="D34" s="7" t="s">
        <v>238</v>
      </c>
    </row>
    <row r="35" spans="1:4" x14ac:dyDescent="0.3">
      <c r="A35" s="7" t="s">
        <v>242</v>
      </c>
      <c r="B35" s="7" t="s">
        <v>241</v>
      </c>
      <c r="C35" s="7" t="s">
        <v>231</v>
      </c>
      <c r="D35" s="7" t="s">
        <v>218</v>
      </c>
    </row>
    <row r="36" spans="1:4" x14ac:dyDescent="0.3">
      <c r="A36" s="7" t="s">
        <v>242</v>
      </c>
      <c r="B36" s="7" t="s">
        <v>232</v>
      </c>
      <c r="C36" s="7" t="s">
        <v>233</v>
      </c>
      <c r="D36" s="7" t="s">
        <v>218</v>
      </c>
    </row>
    <row r="37" spans="1:4" x14ac:dyDescent="0.3">
      <c r="A37" s="7" t="s">
        <v>243</v>
      </c>
      <c r="B37" s="7" t="s">
        <v>232</v>
      </c>
      <c r="C37" s="7" t="s">
        <v>233</v>
      </c>
      <c r="D37" s="7" t="s">
        <v>218</v>
      </c>
    </row>
    <row r="38" spans="1:4" ht="39.6" x14ac:dyDescent="0.3">
      <c r="A38" s="7" t="s">
        <v>243</v>
      </c>
      <c r="B38" s="7" t="s">
        <v>244</v>
      </c>
      <c r="C38" s="7" t="s">
        <v>245</v>
      </c>
      <c r="D38" s="7" t="s">
        <v>246</v>
      </c>
    </row>
    <row r="39" spans="1:4" x14ac:dyDescent="0.3">
      <c r="A39" s="7" t="s">
        <v>247</v>
      </c>
      <c r="B39" s="7" t="s">
        <v>232</v>
      </c>
      <c r="C39" s="7" t="s">
        <v>233</v>
      </c>
      <c r="D39" s="7" t="s">
        <v>218</v>
      </c>
    </row>
    <row r="40" spans="1:4" ht="39.6" x14ac:dyDescent="0.3">
      <c r="A40" s="7" t="s">
        <v>247</v>
      </c>
      <c r="B40" s="7" t="s">
        <v>244</v>
      </c>
      <c r="C40" s="7" t="s">
        <v>245</v>
      </c>
      <c r="D40" s="7" t="s">
        <v>246</v>
      </c>
    </row>
    <row r="41" spans="1:4" x14ac:dyDescent="0.3">
      <c r="A41" s="7" t="s">
        <v>248</v>
      </c>
      <c r="B41" s="7" t="s">
        <v>232</v>
      </c>
      <c r="C41" s="7" t="s">
        <v>233</v>
      </c>
      <c r="D41" s="7" t="s">
        <v>218</v>
      </c>
    </row>
    <row r="42" spans="1:4" ht="39.6" x14ac:dyDescent="0.3">
      <c r="A42" s="7" t="s">
        <v>248</v>
      </c>
      <c r="B42" s="7" t="s">
        <v>244</v>
      </c>
      <c r="C42" s="7" t="s">
        <v>245</v>
      </c>
      <c r="D42" s="7" t="s">
        <v>246</v>
      </c>
    </row>
    <row r="43" spans="1:4" x14ac:dyDescent="0.3">
      <c r="A43" s="7" t="s">
        <v>249</v>
      </c>
      <c r="B43" s="7" t="s">
        <v>232</v>
      </c>
      <c r="C43" s="7" t="s">
        <v>233</v>
      </c>
      <c r="D43" s="7" t="s">
        <v>218</v>
      </c>
    </row>
    <row r="44" spans="1:4" ht="39.6" x14ac:dyDescent="0.3">
      <c r="A44" s="7" t="s">
        <v>249</v>
      </c>
      <c r="B44" s="7" t="s">
        <v>244</v>
      </c>
      <c r="C44" s="7" t="s">
        <v>245</v>
      </c>
      <c r="D44" s="7" t="s">
        <v>246</v>
      </c>
    </row>
    <row r="45" spans="1:4" ht="26.4" x14ac:dyDescent="0.3">
      <c r="A45" s="7" t="s">
        <v>250</v>
      </c>
      <c r="B45" s="7" t="s">
        <v>63</v>
      </c>
      <c r="C45" s="7" t="s">
        <v>251</v>
      </c>
      <c r="D45" s="7" t="s">
        <v>252</v>
      </c>
    </row>
    <row r="46" spans="1:4" x14ac:dyDescent="0.3">
      <c r="A46" s="7" t="s">
        <v>250</v>
      </c>
      <c r="B46" s="7" t="s">
        <v>232</v>
      </c>
      <c r="C46" s="7" t="s">
        <v>233</v>
      </c>
      <c r="D46" s="7" t="s">
        <v>218</v>
      </c>
    </row>
    <row r="47" spans="1:4" ht="39.6" x14ac:dyDescent="0.3">
      <c r="A47" s="7" t="s">
        <v>250</v>
      </c>
      <c r="B47" s="7" t="s">
        <v>244</v>
      </c>
      <c r="C47" s="7" t="s">
        <v>245</v>
      </c>
      <c r="D47" s="7" t="s">
        <v>246</v>
      </c>
    </row>
    <row r="48" spans="1:4" x14ac:dyDescent="0.3">
      <c r="A48" s="7" t="s">
        <v>253</v>
      </c>
      <c r="B48" s="7" t="s">
        <v>254</v>
      </c>
      <c r="C48" s="7" t="s">
        <v>255</v>
      </c>
      <c r="D48" s="7" t="s">
        <v>256</v>
      </c>
    </row>
    <row r="49" spans="1:4" ht="26.4" x14ac:dyDescent="0.3">
      <c r="A49" s="7" t="s">
        <v>253</v>
      </c>
      <c r="B49" s="7" t="s">
        <v>257</v>
      </c>
      <c r="C49" s="7" t="s">
        <v>258</v>
      </c>
      <c r="D49" s="7" t="s">
        <v>256</v>
      </c>
    </row>
    <row r="50" spans="1:4" ht="26.4" x14ac:dyDescent="0.3">
      <c r="A50" s="7" t="s">
        <v>253</v>
      </c>
      <c r="B50" s="7" t="s">
        <v>259</v>
      </c>
      <c r="C50" s="7" t="s">
        <v>260</v>
      </c>
      <c r="D50" s="7" t="s">
        <v>256</v>
      </c>
    </row>
    <row r="51" spans="1:4" ht="39.6" x14ac:dyDescent="0.3">
      <c r="A51" s="7" t="s">
        <v>253</v>
      </c>
      <c r="B51" s="7" t="s">
        <v>261</v>
      </c>
      <c r="C51" s="7" t="s">
        <v>262</v>
      </c>
      <c r="D51" s="7" t="s">
        <v>263</v>
      </c>
    </row>
    <row r="52" spans="1:4" ht="52.8" x14ac:dyDescent="0.3">
      <c r="A52" s="7" t="s">
        <v>253</v>
      </c>
      <c r="B52" s="7" t="s">
        <v>264</v>
      </c>
      <c r="C52" s="7" t="s">
        <v>265</v>
      </c>
      <c r="D52" s="7" t="s">
        <v>266</v>
      </c>
    </row>
    <row r="53" spans="1:4" ht="52.8" x14ac:dyDescent="0.3">
      <c r="A53" s="7" t="s">
        <v>253</v>
      </c>
      <c r="B53" s="7" t="s">
        <v>267</v>
      </c>
      <c r="C53" s="7" t="s">
        <v>268</v>
      </c>
      <c r="D53" s="7" t="s">
        <v>269</v>
      </c>
    </row>
    <row r="54" spans="1:4" ht="39.6" x14ac:dyDescent="0.3">
      <c r="A54" s="7" t="s">
        <v>253</v>
      </c>
      <c r="B54" s="7" t="s">
        <v>270</v>
      </c>
      <c r="C54" s="7" t="s">
        <v>271</v>
      </c>
      <c r="D54" s="7" t="s">
        <v>272</v>
      </c>
    </row>
    <row r="55" spans="1:4" ht="39.6" x14ac:dyDescent="0.3">
      <c r="A55" s="7" t="s">
        <v>253</v>
      </c>
      <c r="B55" s="7" t="s">
        <v>273</v>
      </c>
      <c r="C55" s="7" t="s">
        <v>274</v>
      </c>
      <c r="D55" s="7" t="s">
        <v>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4"/>
  <sheetViews>
    <sheetView zoomScaleNormal="100" workbookViewId="0"/>
  </sheetViews>
  <sheetFormatPr defaultColWidth="8.6640625" defaultRowHeight="14.4" x14ac:dyDescent="0.3"/>
  <cols>
    <col min="1" max="1" width="42" customWidth="1"/>
    <col min="2" max="2" width="18" customWidth="1"/>
  </cols>
  <sheetData>
    <row r="1" spans="1:4" ht="17.399999999999999" x14ac:dyDescent="0.3">
      <c r="A1" s="12" t="s">
        <v>276</v>
      </c>
      <c r="B1" s="12"/>
      <c r="C1" s="12"/>
      <c r="D1" s="12"/>
    </row>
    <row r="3" spans="1:4" x14ac:dyDescent="0.3">
      <c r="A3" s="8" t="s">
        <v>277</v>
      </c>
      <c r="B3" s="9">
        <f>COUNTA(Attendance_Data!$A$2:$A$613)</f>
        <v>612</v>
      </c>
    </row>
    <row r="4" spans="1:4" x14ac:dyDescent="0.3">
      <c r="A4" s="8" t="s">
        <v>278</v>
      </c>
      <c r="B4" s="9">
        <f>SUM(Attendance_Data!$L$2:$L$613)</f>
        <v>62730</v>
      </c>
    </row>
    <row r="5" spans="1:4" x14ac:dyDescent="0.3">
      <c r="A5" s="8" t="s">
        <v>279</v>
      </c>
      <c r="B5" s="9">
        <f ca="1">SUM(Attendance_Data!$M$2:$M$613)</f>
        <v>43635</v>
      </c>
    </row>
    <row r="6" spans="1:4" x14ac:dyDescent="0.3">
      <c r="A6" s="8" t="s">
        <v>280</v>
      </c>
      <c r="B6" s="10">
        <f ca="1">IFERROR(AVERAGE(Attendance_Data!$N$2:$N$613),"")</f>
        <v>69.615374159055094</v>
      </c>
    </row>
    <row r="7" spans="1:4" x14ac:dyDescent="0.3">
      <c r="A7" s="8" t="s">
        <v>281</v>
      </c>
      <c r="B7" s="10">
        <f ca="1">IFERROR(MAX(Attendance_Data!$N$2:$N$613),"")</f>
        <v>100.98039215686273</v>
      </c>
    </row>
    <row r="8" spans="1:4" x14ac:dyDescent="0.3">
      <c r="A8" s="8" t="s">
        <v>282</v>
      </c>
      <c r="B8" s="10">
        <f ca="1">IFERROR(MIN(Attendance_Data!$N$2:$N$613),"")</f>
        <v>38.834951456310677</v>
      </c>
    </row>
    <row r="10" spans="1:4" x14ac:dyDescent="0.3">
      <c r="A10" s="11" t="s">
        <v>283</v>
      </c>
    </row>
    <row r="11" spans="1:4" x14ac:dyDescent="0.3">
      <c r="A11" s="8" t="s">
        <v>5</v>
      </c>
      <c r="B11" s="8" t="s">
        <v>284</v>
      </c>
    </row>
    <row r="12" spans="1:4" x14ac:dyDescent="0.3">
      <c r="A12" s="9" t="s">
        <v>82</v>
      </c>
      <c r="B12" s="10">
        <f ca="1">IFERROR(AVERAGEIF(Attendance_Data!$F$2:$F$613,A12,Attendance_Data!$N$2:$N$613),"")</f>
        <v>70.600133257186357</v>
      </c>
    </row>
    <row r="13" spans="1:4" x14ac:dyDescent="0.3">
      <c r="A13" s="9" t="s">
        <v>80</v>
      </c>
      <c r="B13" s="10">
        <f ca="1">IFERROR(AVERAGEIF(Attendance_Data!$F$2:$F$613,A13,Attendance_Data!$N$2:$N$613),"")</f>
        <v>76.662542039469514</v>
      </c>
    </row>
    <row r="14" spans="1:4" x14ac:dyDescent="0.3">
      <c r="A14" s="9" t="s">
        <v>83</v>
      </c>
      <c r="B14" s="10">
        <f ca="1">IFERROR(AVERAGEIF(Attendance_Data!$F$2:$F$613,A14,Attendance_Data!$N$2:$N$613),"")</f>
        <v>64.98270829367344</v>
      </c>
    </row>
    <row r="15" spans="1:4" x14ac:dyDescent="0.3">
      <c r="A15" s="9" t="s">
        <v>81</v>
      </c>
      <c r="B15" s="10">
        <f ca="1">IFERROR(AVERAGEIF(Attendance_Data!$F$2:$F$613,A15,Attendance_Data!$N$2:$N$613),"")</f>
        <v>68.059124944476167</v>
      </c>
    </row>
    <row r="16" spans="1:4" x14ac:dyDescent="0.3">
      <c r="A16" s="9" t="s">
        <v>79</v>
      </c>
      <c r="B16" s="10">
        <f ca="1">IFERROR(AVERAGEIF(Attendance_Data!$F$2:$F$613,A16,Attendance_Data!$N$2:$N$613),"")</f>
        <v>72.479218224506624</v>
      </c>
    </row>
    <row r="17" spans="1:2" x14ac:dyDescent="0.3">
      <c r="A17" s="9" t="s">
        <v>41</v>
      </c>
      <c r="B17" s="10">
        <f ca="1">IFERROR(AVERAGEIF(Attendance_Data!$F$2:$F$613,A17,Attendance_Data!$N$2:$N$613),"")</f>
        <v>77.747834570721494</v>
      </c>
    </row>
    <row r="18" spans="1:2" x14ac:dyDescent="0.3">
      <c r="A18" s="9" t="s">
        <v>61</v>
      </c>
      <c r="B18" s="10">
        <f ca="1">IFERROR(AVERAGEIF(Attendance_Data!$F$2:$F$613,A18,Attendance_Data!$N$2:$N$613),"")</f>
        <v>66.598134399390815</v>
      </c>
    </row>
    <row r="19" spans="1:2" x14ac:dyDescent="0.3">
      <c r="A19" s="9" t="s">
        <v>78</v>
      </c>
      <c r="B19" s="10">
        <f ca="1">IFERROR(AVERAGEIF(Attendance_Data!$F$2:$F$613,A19,Attendance_Data!$N$2:$N$613),"")</f>
        <v>72.437178754997149</v>
      </c>
    </row>
    <row r="20" spans="1:2" x14ac:dyDescent="0.3">
      <c r="A20" s="9" t="s">
        <v>59</v>
      </c>
      <c r="B20" s="10">
        <f ca="1">IFERROR(AVERAGEIF(Attendance_Data!$F$2:$F$613,A20,Attendance_Data!$N$2:$N$613),"")</f>
        <v>73.101275461640995</v>
      </c>
    </row>
    <row r="21" spans="1:2" x14ac:dyDescent="0.3">
      <c r="A21" s="9" t="s">
        <v>69</v>
      </c>
      <c r="B21" s="10">
        <f ca="1">IFERROR(AVERAGEIF(Attendance_Data!$F$2:$F$613,A21,Attendance_Data!$N$2:$N$613),"")</f>
        <v>66.37159718256234</v>
      </c>
    </row>
    <row r="22" spans="1:2" x14ac:dyDescent="0.3">
      <c r="A22" s="9" t="s">
        <v>36</v>
      </c>
      <c r="B22" s="10">
        <f ca="1">IFERROR(AVERAGEIF(Attendance_Data!$F$2:$F$613,A22,Attendance_Data!$N$2:$N$613),"")</f>
        <v>72.0397867885018</v>
      </c>
    </row>
    <row r="23" spans="1:2" x14ac:dyDescent="0.3">
      <c r="A23" s="9" t="s">
        <v>63</v>
      </c>
      <c r="B23" s="10">
        <f ca="1">IFERROR(AVERAGEIF(Attendance_Data!$F$2:$F$613,A23,Attendance_Data!$N$2:$N$613),"")</f>
        <v>67.645155149438409</v>
      </c>
    </row>
    <row r="24" spans="1:2" x14ac:dyDescent="0.3">
      <c r="A24" s="9" t="s">
        <v>53</v>
      </c>
      <c r="B24" s="10">
        <f ca="1">IFERROR(AVERAGEIF(Attendance_Data!$F$2:$F$613,A24,Attendance_Data!$N$2:$N$613),"")</f>
        <v>70.419207457489748</v>
      </c>
    </row>
    <row r="25" spans="1:2" x14ac:dyDescent="0.3">
      <c r="A25" s="9" t="s">
        <v>50</v>
      </c>
      <c r="B25" s="10">
        <f ca="1">IFERROR(AVERAGEIF(Attendance_Data!$F$2:$F$613,A25,Attendance_Data!$N$2:$N$613),"")</f>
        <v>67.786185671679632</v>
      </c>
    </row>
    <row r="26" spans="1:2" x14ac:dyDescent="0.3">
      <c r="A26" s="9" t="s">
        <v>65</v>
      </c>
      <c r="B26" s="10">
        <f ca="1">IFERROR(AVERAGEIF(Attendance_Data!$F$2:$F$613,A26,Attendance_Data!$N$2:$N$613),"")</f>
        <v>72.072761143292254</v>
      </c>
    </row>
    <row r="27" spans="1:2" x14ac:dyDescent="0.3">
      <c r="A27" s="9" t="s">
        <v>66</v>
      </c>
      <c r="B27" s="10">
        <f ca="1">IFERROR(AVERAGEIF(Attendance_Data!$F$2:$F$613,A27,Attendance_Data!$N$2:$N$613),"")</f>
        <v>67.251366566043885</v>
      </c>
    </row>
    <row r="28" spans="1:2" x14ac:dyDescent="0.3">
      <c r="A28" s="9" t="s">
        <v>57</v>
      </c>
      <c r="B28" s="10">
        <f ca="1">IFERROR(AVERAGEIF(Attendance_Data!$F$2:$F$613,A28,Attendance_Data!$N$2:$N$613),"")</f>
        <v>71.569647276386277</v>
      </c>
    </row>
    <row r="29" spans="1:2" x14ac:dyDescent="0.3">
      <c r="A29" s="9" t="s">
        <v>55</v>
      </c>
      <c r="B29" s="10">
        <f ca="1">IFERROR(AVERAGEIF(Attendance_Data!$F$2:$F$613,A29,Attendance_Data!$N$2:$N$613),"")</f>
        <v>65.689843898724533</v>
      </c>
    </row>
    <row r="30" spans="1:2" x14ac:dyDescent="0.3">
      <c r="A30" s="9" t="s">
        <v>74</v>
      </c>
      <c r="B30" s="10">
        <f ca="1">IFERROR(AVERAGEIF(Attendance_Data!$F$2:$F$613,A30,Attendance_Data!$N$2:$N$613),"")</f>
        <v>67.681562916428689</v>
      </c>
    </row>
    <row r="31" spans="1:2" x14ac:dyDescent="0.3">
      <c r="A31" s="9" t="s">
        <v>27</v>
      </c>
      <c r="B31" s="10">
        <f ca="1">IFERROR(AVERAGEIF(Attendance_Data!$F$2:$F$613,A31,Attendance_Data!$N$2:$N$613),"")</f>
        <v>67.571016561964598</v>
      </c>
    </row>
    <row r="32" spans="1:2" x14ac:dyDescent="0.3">
      <c r="A32" s="9" t="s">
        <v>48</v>
      </c>
      <c r="B32" s="10">
        <f ca="1">IFERROR(AVERAGEIF(Attendance_Data!$F$2:$F$613,A32,Attendance_Data!$N$2:$N$613),"")</f>
        <v>80.02569960022845</v>
      </c>
    </row>
    <row r="33" spans="1:2" x14ac:dyDescent="0.3">
      <c r="A33" s="9" t="s">
        <v>62</v>
      </c>
      <c r="B33" s="10">
        <f ca="1">IFERROR(AVERAGEIF(Attendance_Data!$F$2:$F$613,A33,Attendance_Data!$N$2:$N$613),"")</f>
        <v>72.604464115743383</v>
      </c>
    </row>
    <row r="34" spans="1:2" x14ac:dyDescent="0.3">
      <c r="A34" s="9" t="s">
        <v>72</v>
      </c>
      <c r="B34" s="10">
        <f ca="1">IFERROR(AVERAGEIF(Attendance_Data!$F$2:$F$613,A34,Attendance_Data!$N$2:$N$613),"")</f>
        <v>70.255092328193413</v>
      </c>
    </row>
    <row r="36" spans="1:2" x14ac:dyDescent="0.3">
      <c r="A36" s="11" t="s">
        <v>285</v>
      </c>
    </row>
    <row r="37" spans="1:2" x14ac:dyDescent="0.3">
      <c r="A37" s="8" t="s">
        <v>1</v>
      </c>
      <c r="B37" s="8" t="s">
        <v>284</v>
      </c>
    </row>
    <row r="38" spans="1:2" x14ac:dyDescent="0.3">
      <c r="A38" s="9" t="s">
        <v>26</v>
      </c>
      <c r="B38" s="10">
        <f ca="1">IFERROR(AVERAGEIF(Attendance_Data!$B$2:$B$613,A38,Attendance_Data!$N$2:$N$613),"")</f>
        <v>68.951006832074768</v>
      </c>
    </row>
    <row r="39" spans="1:2" x14ac:dyDescent="0.3">
      <c r="A39" s="9" t="s">
        <v>39</v>
      </c>
      <c r="B39" s="10">
        <f ca="1">IFERROR(AVERAGEIF(Attendance_Data!$B$2:$B$613,A39,Attendance_Data!$N$2:$N$613),"")</f>
        <v>67.444933427397203</v>
      </c>
    </row>
    <row r="40" spans="1:2" x14ac:dyDescent="0.3">
      <c r="A40" s="9" t="s">
        <v>44</v>
      </c>
      <c r="B40" s="10">
        <f ca="1">IFERROR(AVERAGEIF(Attendance_Data!$B$2:$B$613,A40,Attendance_Data!$N$2:$N$613),"")</f>
        <v>71.835642790585808</v>
      </c>
    </row>
    <row r="41" spans="1:2" x14ac:dyDescent="0.3">
      <c r="A41" s="9" t="s">
        <v>45</v>
      </c>
      <c r="B41" s="10">
        <f ca="1">IFERROR(AVERAGEIF(Attendance_Data!$B$2:$B$613,A41,Attendance_Data!$N$2:$N$613),"")</f>
        <v>70.381975605776276</v>
      </c>
    </row>
    <row r="42" spans="1:2" x14ac:dyDescent="0.3">
      <c r="A42" s="9" t="s">
        <v>46</v>
      </c>
      <c r="B42" s="10">
        <f ca="1">IFERROR(AVERAGEIF(Attendance_Data!$B$2:$B$613,A42,Attendance_Data!$N$2:$N$613),"")</f>
        <v>69.581191699980948</v>
      </c>
    </row>
    <row r="43" spans="1:2" x14ac:dyDescent="0.3">
      <c r="A43" s="9" t="s">
        <v>47</v>
      </c>
      <c r="B43" s="10">
        <f ca="1">IFERROR(AVERAGEIF(Attendance_Data!$B$2:$B$613,A43,Attendance_Data!$N$2:$N$613),"")</f>
        <v>69.11820045245463</v>
      </c>
    </row>
    <row r="45" spans="1:2" x14ac:dyDescent="0.3">
      <c r="A45" s="11" t="s">
        <v>286</v>
      </c>
    </row>
    <row r="46" spans="1:2" x14ac:dyDescent="0.3">
      <c r="A46" s="8" t="s">
        <v>2</v>
      </c>
      <c r="B46" s="8" t="s">
        <v>284</v>
      </c>
    </row>
    <row r="47" spans="1:2" x14ac:dyDescent="0.3">
      <c r="A47" s="9">
        <v>1</v>
      </c>
      <c r="B47" s="10">
        <f ca="1">IFERROR(AVERAGEIF(Attendance_Data!$C$2:$C$613,A47,Attendance_Data!$N$2:$N$613),"")</f>
        <v>69.596872782652312</v>
      </c>
    </row>
    <row r="48" spans="1:2" x14ac:dyDescent="0.3">
      <c r="A48" s="9">
        <v>2</v>
      </c>
      <c r="B48" s="10">
        <f ca="1">IFERROR(AVERAGEIF(Attendance_Data!$C$2:$C$613,A48,Attendance_Data!$N$2:$N$613),"")</f>
        <v>68.012899154627647</v>
      </c>
    </row>
    <row r="49" spans="1:2" x14ac:dyDescent="0.3">
      <c r="A49" s="9">
        <v>3</v>
      </c>
      <c r="B49" s="10">
        <f ca="1">IFERROR(AVERAGEIF(Attendance_Data!$C$2:$C$613,A49,Attendance_Data!$N$2:$N$613),"")</f>
        <v>72.064199646057617</v>
      </c>
    </row>
    <row r="50" spans="1:2" x14ac:dyDescent="0.3">
      <c r="A50" s="9">
        <v>4</v>
      </c>
      <c r="B50" s="10">
        <f ca="1">IFERROR(AVERAGEIF(Attendance_Data!$C$2:$C$613,A50,Attendance_Data!$N$2:$N$613),"")</f>
        <v>70.63344755377878</v>
      </c>
    </row>
    <row r="51" spans="1:2" x14ac:dyDescent="0.3">
      <c r="A51" s="9">
        <v>5</v>
      </c>
      <c r="B51" s="10">
        <f ca="1">IFERROR(AVERAGEIF(Attendance_Data!$C$2:$C$613,A51,Attendance_Data!$N$2:$N$613),"")</f>
        <v>67.313375041102063</v>
      </c>
    </row>
    <row r="52" spans="1:2" x14ac:dyDescent="0.3">
      <c r="A52" s="9">
        <v>6</v>
      </c>
      <c r="B52" s="10">
        <f ca="1">IFERROR(AVERAGEIF(Attendance_Data!$C$2:$C$613,A52,Attendance_Data!$N$2:$N$613),"")</f>
        <v>70.591164023488403</v>
      </c>
    </row>
    <row r="53" spans="1:2" x14ac:dyDescent="0.3">
      <c r="A53" s="9">
        <v>7</v>
      </c>
      <c r="B53" s="10">
        <f ca="1">IFERROR(AVERAGEIF(Attendance_Data!$C$2:$C$613,A53,Attendance_Data!$N$2:$N$613),"")</f>
        <v>69.926708547496673</v>
      </c>
    </row>
    <row r="54" spans="1:2" x14ac:dyDescent="0.3">
      <c r="A54" s="9">
        <v>8</v>
      </c>
      <c r="B54" s="10">
        <f ca="1">IFERROR(AVERAGEIF(Attendance_Data!$C$2:$C$613,A54,Attendance_Data!$N$2:$N$613),"")</f>
        <v>52.191604797258705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Attendance_Data</vt:lpstr>
      <vt:lpstr>Data_Dictionary</vt:lpstr>
      <vt:lpstr>Faculty_Mapping</vt:lpstr>
      <vt:lpstr>Review_Needed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surajshinde9884@outlook.com</cp:lastModifiedBy>
  <cp:revision>0</cp:revision>
  <dcterms:created xsi:type="dcterms:W3CDTF">2026-08-21T05:01:25Z</dcterms:created>
  <dcterms:modified xsi:type="dcterms:W3CDTF">2026-08-21T18:06:02Z</dcterms:modified>
  <dc:language>en-US</dc:language>
</cp:coreProperties>
</file>